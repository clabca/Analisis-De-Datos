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C:\Users\clabra\Mi unidad\Analisis De Datos\"/>
    </mc:Choice>
  </mc:AlternateContent>
  <xr:revisionPtr revIDLastSave="0" documentId="8_{0150CC9B-EADE-4D8A-A8BD-4092FAB60D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Dinamica1" sheetId="4" r:id="rId1"/>
    <sheet name="TabDinamica2" sheetId="5" r:id="rId2"/>
    <sheet name="TabDinamica3" sheetId="6" r:id="rId3"/>
    <sheet name="ventas" sheetId="1" r:id="rId4"/>
    <sheet name="producto" sheetId="2" r:id="rId5"/>
    <sheet name="regiones" sheetId="3" r:id="rId6"/>
  </sheets>
  <calcPr calcId="191029"/>
  <pivotCaches>
    <pivotCache cacheId="1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2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</calcChain>
</file>

<file path=xl/sharedStrings.xml><?xml version="1.0" encoding="utf-8"?>
<sst xmlns="http://schemas.openxmlformats.org/spreadsheetml/2006/main" count="1172" uniqueCount="72">
  <si>
    <t>IDVenta</t>
  </si>
  <si>
    <t>FechaPedido</t>
  </si>
  <si>
    <t>IDProducto</t>
  </si>
  <si>
    <t>Estado</t>
  </si>
  <si>
    <t>Importe</t>
  </si>
  <si>
    <t>Puebla</t>
  </si>
  <si>
    <t>Michoacán</t>
  </si>
  <si>
    <t>Sonora</t>
  </si>
  <si>
    <t>Nuevo León</t>
  </si>
  <si>
    <t>Paraguay</t>
  </si>
  <si>
    <t>CDMX</t>
  </si>
  <si>
    <t>Jalisco</t>
  </si>
  <si>
    <t>Edo. Mex</t>
  </si>
  <si>
    <t>NombreProducto</t>
  </si>
  <si>
    <t>Categoria</t>
  </si>
  <si>
    <t>Producto_1</t>
  </si>
  <si>
    <t>Hogar</t>
  </si>
  <si>
    <t>Producto_2</t>
  </si>
  <si>
    <t>Deportes</t>
  </si>
  <si>
    <t>Producto_3</t>
  </si>
  <si>
    <t>Producto_4</t>
  </si>
  <si>
    <t>Producto_5</t>
  </si>
  <si>
    <t>Producto_6</t>
  </si>
  <si>
    <t>Electrónica</t>
  </si>
  <si>
    <t>Producto_7</t>
  </si>
  <si>
    <t>Ropa</t>
  </si>
  <si>
    <t>Producto_8</t>
  </si>
  <si>
    <t>Producto_9</t>
  </si>
  <si>
    <t>Producto_10</t>
  </si>
  <si>
    <t>Producto_11</t>
  </si>
  <si>
    <t>Producto_12</t>
  </si>
  <si>
    <t>Producto_13</t>
  </si>
  <si>
    <t>Producto_14</t>
  </si>
  <si>
    <t>Producto_15</t>
  </si>
  <si>
    <t>Producto_16</t>
  </si>
  <si>
    <t>Producto_17</t>
  </si>
  <si>
    <t>Producto_18</t>
  </si>
  <si>
    <t>Producto_19</t>
  </si>
  <si>
    <t>Producto_20</t>
  </si>
  <si>
    <t>Producto_21</t>
  </si>
  <si>
    <t>Producto_22</t>
  </si>
  <si>
    <t>Producto_23</t>
  </si>
  <si>
    <t>Producto_24</t>
  </si>
  <si>
    <t>Producto_25</t>
  </si>
  <si>
    <t>Producto_26</t>
  </si>
  <si>
    <t>Producto_27</t>
  </si>
  <si>
    <t>Producto_28</t>
  </si>
  <si>
    <t>Producto_29</t>
  </si>
  <si>
    <t>Producto_30</t>
  </si>
  <si>
    <t>Producto_31</t>
  </si>
  <si>
    <t>Producto_32</t>
  </si>
  <si>
    <t>Producto</t>
  </si>
  <si>
    <t>Region</t>
  </si>
  <si>
    <t>Norte</t>
  </si>
  <si>
    <t>Sur</t>
  </si>
  <si>
    <t>Centro</t>
  </si>
  <si>
    <t>Occidente</t>
  </si>
  <si>
    <t>Suma de Importe</t>
  </si>
  <si>
    <t>Etiquetas de columna</t>
  </si>
  <si>
    <t>Total general</t>
  </si>
  <si>
    <t>Etiquetas de fila</t>
  </si>
  <si>
    <t>(Todas)</t>
  </si>
  <si>
    <t>Ingresos</t>
  </si>
  <si>
    <t>ene</t>
  </si>
  <si>
    <t>feb</t>
  </si>
  <si>
    <t>mar</t>
  </si>
  <si>
    <t>abr</t>
  </si>
  <si>
    <t>may</t>
  </si>
  <si>
    <t>jun</t>
  </si>
  <si>
    <t>Total Suma de Importe</t>
  </si>
  <si>
    <t>Total Importancia</t>
  </si>
  <si>
    <t>Importancia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</si>
</sst>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$&quot;* #,##0_ ;_ &quot;$&quot;* \-#,##0_ ;_ &quot;$&quot;* &quot;-&quot;_ ;_ @_ "/>
    <numFmt numFmtId="164" formatCode="yyyy\-mm\-dd\ hh:mm:ss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3" fillId="0" borderId="0" xfId="0" applyFont="1"/>
    <xf numFmtId="164" fontId="4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8" fillId="0" borderId="0" xfId="0" applyFont="1"/>
    <xf numFmtId="0" fontId="1" fillId="0" borderId="0" xfId="0" applyFont="1"/>
    <xf numFmtId="0" fontId="6" fillId="0" borderId="1" xfId="0" applyFont="1" applyBorder="1" applyAlignment="1">
      <alignment horizontal="center" vertical="top"/>
    </xf>
    <xf numFmtId="0" fontId="1" fillId="0" borderId="0" xfId="1"/>
    <xf numFmtId="0" fontId="5" fillId="0" borderId="2" xfId="1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0" applyNumberFormat="1"/>
    <xf numFmtId="0" fontId="0" fillId="0" borderId="0" xfId="0" applyNumberFormat="1" applyAlignment="1">
      <alignment horizontal="left"/>
    </xf>
  </cellXfs>
  <cellStyles count="2">
    <cellStyle name="Normal" xfId="0" builtinId="0"/>
    <cellStyle name="Normal 2" xfId="1" xr:uid="{51CD05CB-65FD-4583-94F2-457D1D3C3FC1}"/>
  </cellStyles>
  <dxfs count="22">
    <dxf>
      <alignment horizontal="center"/>
    </dxf>
    <dxf>
      <alignment horizontal="left"/>
    </dxf>
    <dxf>
      <alignment horizontal="general"/>
    </dxf>
    <dxf>
      <alignment horizontal="center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[Ventas_2025_Eshow.xlsx]TabDinamica2!TablaDinámica4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Ventas Por Mes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TabDinamica2!$B$3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TabDinamica2!$A$4:$A$10</c:f>
              <c:strCache>
                <c:ptCount val="6"/>
                <c:pt idx="0">
                  <c:v>ene</c:v>
                </c:pt>
                <c:pt idx="1">
                  <c:v>feb</c:v>
                </c:pt>
                <c:pt idx="2">
                  <c:v>mar</c:v>
                </c:pt>
                <c:pt idx="3">
                  <c:v>abr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TabDinamica2!$B$4:$B$10</c:f>
              <c:numCache>
                <c:formatCode>General</c:formatCode>
                <c:ptCount val="6"/>
                <c:pt idx="0">
                  <c:v>184377</c:v>
                </c:pt>
                <c:pt idx="1">
                  <c:v>198673</c:v>
                </c:pt>
                <c:pt idx="2">
                  <c:v>153957</c:v>
                </c:pt>
                <c:pt idx="3">
                  <c:v>173547</c:v>
                </c:pt>
                <c:pt idx="4">
                  <c:v>168264</c:v>
                </c:pt>
                <c:pt idx="5">
                  <c:v>154206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949-4ED7-9036-7EB747F97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8382287"/>
        <c:axId val="1268383247"/>
      </c:lineChart>
      <c:catAx>
        <c:axId val="12683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68383247"/>
        <c:crosses val="autoZero"/>
        <c:auto val="1"/>
        <c:lblAlgn val="ctr"/>
        <c:lblOffset val="100"/>
        <c:noMultiLvlLbl val="0"/>
      </c:catAx>
      <c:valAx>
        <c:axId val="126838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6838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1133475</xdr:colOff>
      <xdr:row>2</xdr:row>
      <xdr:rowOff>61911</xdr:rowOff>
    </xdr:from>
    <xdr:to>
      <xdr:col>8</xdr:col>
      <xdr:colOff>942975</xdr:colOff>
      <xdr:row>21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0BE8FEB-A996-40F3-47F9-ABFFEF35F0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an Labra Castro" refreshedDate="46044.445732523149" createdVersion="8" refreshedVersion="8" minRefreshableVersion="3" recordCount="1000" xr:uid="{0C8B5417-18A8-4DBD-B7B3-D4143F6A79DB}">
  <cacheSource type="worksheet">
    <worksheetSource name="Tabla1"/>
  </cacheSource>
  <cacheFields count="10">
    <cacheField name="IDVenta" numFmtId="0">
      <sharedItems containsSemiMixedTypes="0" containsString="0" containsNumber="1" containsInteger="1" minValue="200000" maxValue="200999"/>
    </cacheField>
    <cacheField name="FechaPedido" numFmtId="164">
      <sharedItems containsSemiMixedTypes="0" containsNonDate="0" containsDate="1" containsString="0" minDate="2025-01-01T00:00:00" maxDate="2025-06-30T00:00:00" count="180">
        <d v="2025-06-24T00:00:00"/>
        <d v="2025-03-02T00:00:00"/>
        <d v="2025-02-15T00:00:00"/>
        <d v="2025-01-10T00:00:00"/>
        <d v="2025-01-14T00:00:00"/>
        <d v="2025-03-12T00:00:00"/>
        <d v="2025-01-20T00:00:00"/>
        <d v="2025-03-10T00:00:00"/>
        <d v="2025-03-17T00:00:00"/>
        <d v="2025-04-21T00:00:00"/>
        <d v="2025-01-02T00:00:00"/>
        <d v="2025-03-04T00:00:00"/>
        <d v="2025-03-24T00:00:00"/>
        <d v="2025-05-19T00:00:00"/>
        <d v="2025-01-29T00:00:00"/>
        <d v="2025-06-05T00:00:00"/>
        <d v="2025-02-01T00:00:00"/>
        <d v="2025-05-13T00:00:00"/>
        <d v="2025-02-07T00:00:00"/>
        <d v="2025-01-24T00:00:00"/>
        <d v="2025-04-16T00:00:00"/>
        <d v="2025-06-04T00:00:00"/>
        <d v="2025-02-13T00:00:00"/>
        <d v="2025-03-14T00:00:00"/>
        <d v="2025-01-07T00:00:00"/>
        <d v="2025-02-11T00:00:00"/>
        <d v="2025-01-06T00:00:00"/>
        <d v="2025-04-02T00:00:00"/>
        <d v="2025-04-10T00:00:00"/>
        <d v="2025-06-07T00:00:00"/>
        <d v="2025-05-09T00:00:00"/>
        <d v="2025-02-21T00:00:00"/>
        <d v="2025-01-31T00:00:00"/>
        <d v="2025-04-13T00:00:00"/>
        <d v="2025-02-02T00:00:00"/>
        <d v="2025-05-17T00:00:00"/>
        <d v="2025-04-03T00:00:00"/>
        <d v="2025-02-06T00:00:00"/>
        <d v="2025-02-23T00:00:00"/>
        <d v="2025-03-21T00:00:00"/>
        <d v="2025-01-17T00:00:00"/>
        <d v="2025-03-15T00:00:00"/>
        <d v="2025-06-01T00:00:00"/>
        <d v="2025-05-10T00:00:00"/>
        <d v="2025-06-15T00:00:00"/>
        <d v="2025-04-27T00:00:00"/>
        <d v="2025-02-20T00:00:00"/>
        <d v="2025-04-12T00:00:00"/>
        <d v="2025-01-21T00:00:00"/>
        <d v="2025-02-12T00:00:00"/>
        <d v="2025-04-20T00:00:00"/>
        <d v="2025-06-17T00:00:00"/>
        <d v="2025-02-22T00:00:00"/>
        <d v="2025-05-20T00:00:00"/>
        <d v="2025-01-19T00:00:00"/>
        <d v="2025-02-05T00:00:00"/>
        <d v="2025-04-08T00:00:00"/>
        <d v="2025-05-04T00:00:00"/>
        <d v="2025-05-29T00:00:00"/>
        <d v="2025-03-31T00:00:00"/>
        <d v="2025-05-18T00:00:00"/>
        <d v="2025-01-28T00:00:00"/>
        <d v="2025-04-24T00:00:00"/>
        <d v="2025-04-22T00:00:00"/>
        <d v="2025-03-20T00:00:00"/>
        <d v="2025-06-26T00:00:00"/>
        <d v="2025-05-14T00:00:00"/>
        <d v="2025-04-11T00:00:00"/>
        <d v="2025-01-18T00:00:00"/>
        <d v="2025-05-23T00:00:00"/>
        <d v="2025-04-30T00:00:00"/>
        <d v="2025-06-12T00:00:00"/>
        <d v="2025-01-25T00:00:00"/>
        <d v="2025-05-21T00:00:00"/>
        <d v="2025-06-28T00:00:00"/>
        <d v="2025-05-22T00:00:00"/>
        <d v="2025-02-03T00:00:00"/>
        <d v="2025-01-30T00:00:00"/>
        <d v="2025-06-18T00:00:00"/>
        <d v="2025-06-25T00:00:00"/>
        <d v="2025-05-25T00:00:00"/>
        <d v="2025-03-30T00:00:00"/>
        <d v="2025-02-04T00:00:00"/>
        <d v="2025-06-27T00:00:00"/>
        <d v="2025-02-08T00:00:00"/>
        <d v="2025-03-01T00:00:00"/>
        <d v="2025-01-04T00:00:00"/>
        <d v="2025-06-02T00:00:00"/>
        <d v="2025-02-18T00:00:00"/>
        <d v="2025-04-26T00:00:00"/>
        <d v="2025-01-11T00:00:00"/>
        <d v="2025-02-16T00:00:00"/>
        <d v="2025-05-31T00:00:00"/>
        <d v="2025-02-25T00:00:00"/>
        <d v="2025-06-06T00:00:00"/>
        <d v="2025-01-12T00:00:00"/>
        <d v="2025-03-27T00:00:00"/>
        <d v="2025-06-29T00:00:00"/>
        <d v="2025-02-27T00:00:00"/>
        <d v="2025-04-15T00:00:00"/>
        <d v="2025-01-26T00:00:00"/>
        <d v="2025-01-22T00:00:00"/>
        <d v="2025-03-16T00:00:00"/>
        <d v="2025-04-18T00:00:00"/>
        <d v="2025-01-05T00:00:00"/>
        <d v="2025-05-30T00:00:00"/>
        <d v="2025-06-23T00:00:00"/>
        <d v="2025-05-07T00:00:00"/>
        <d v="2025-03-08T00:00:00"/>
        <d v="2025-04-28T00:00:00"/>
        <d v="2025-03-18T00:00:00"/>
        <d v="2025-06-13T00:00:00"/>
        <d v="2025-03-28T00:00:00"/>
        <d v="2025-05-26T00:00:00"/>
        <d v="2025-04-14T00:00:00"/>
        <d v="2025-06-20T00:00:00"/>
        <d v="2025-05-03T00:00:00"/>
        <d v="2025-03-09T00:00:00"/>
        <d v="2025-04-07T00:00:00"/>
        <d v="2025-02-10T00:00:00"/>
        <d v="2025-01-08T00:00:00"/>
        <d v="2025-06-03T00:00:00"/>
        <d v="2025-05-02T00:00:00"/>
        <d v="2025-03-03T00:00:00"/>
        <d v="2025-02-14T00:00:00"/>
        <d v="2025-04-01T00:00:00"/>
        <d v="2025-01-23T00:00:00"/>
        <d v="2025-05-05T00:00:00"/>
        <d v="2025-02-24T00:00:00"/>
        <d v="2025-06-08T00:00:00"/>
        <d v="2025-01-27T00:00:00"/>
        <d v="2025-01-01T00:00:00"/>
        <d v="2025-01-13T00:00:00"/>
        <d v="2025-06-11T00:00:00"/>
        <d v="2025-05-15T00:00:00"/>
        <d v="2025-03-29T00:00:00"/>
        <d v="2025-05-28T00:00:00"/>
        <d v="2025-03-26T00:00:00"/>
        <d v="2025-05-12T00:00:00"/>
        <d v="2025-04-06T00:00:00"/>
        <d v="2025-06-21T00:00:00"/>
        <d v="2025-03-22T00:00:00"/>
        <d v="2025-04-09T00:00:00"/>
        <d v="2025-01-16T00:00:00"/>
        <d v="2025-01-09T00:00:00"/>
        <d v="2025-06-14T00:00:00"/>
        <d v="2025-05-24T00:00:00"/>
        <d v="2025-05-06T00:00:00"/>
        <d v="2025-05-16T00:00:00"/>
        <d v="2025-03-07T00:00:00"/>
        <d v="2025-03-25T00:00:00"/>
        <d v="2025-04-25T00:00:00"/>
        <d v="2025-05-27T00:00:00"/>
        <d v="2025-04-05T00:00:00"/>
        <d v="2025-05-01T00:00:00"/>
        <d v="2025-06-10T00:00:00"/>
        <d v="2025-03-05T00:00:00"/>
        <d v="2025-03-11T00:00:00"/>
        <d v="2025-02-17T00:00:00"/>
        <d v="2025-02-26T00:00:00"/>
        <d v="2025-04-17T00:00:00"/>
        <d v="2025-06-19T00:00:00"/>
        <d v="2025-04-23T00:00:00"/>
        <d v="2025-02-28T00:00:00"/>
        <d v="2025-04-04T00:00:00"/>
        <d v="2025-03-19T00:00:00"/>
        <d v="2025-06-09T00:00:00"/>
        <d v="2025-01-03T00:00:00"/>
        <d v="2025-05-08T00:00:00"/>
        <d v="2025-02-09T00:00:00"/>
        <d v="2025-06-22T00:00:00"/>
        <d v="2025-04-29T00:00:00"/>
        <d v="2025-02-19T00:00:00"/>
        <d v="2025-03-23T00:00:00"/>
        <d v="2025-03-06T00:00:00"/>
        <d v="2025-03-13T00:00:00"/>
        <d v="2025-06-16T00:00:00"/>
        <d v="2025-04-19T00:00:00"/>
        <d v="2025-05-11T00:00:00"/>
        <d v="2025-01-15T00:00:00"/>
      </sharedItems>
      <fieldGroup par="9"/>
    </cacheField>
    <cacheField name="IDProducto" numFmtId="0">
      <sharedItems containsSemiMixedTypes="0" containsString="0" containsNumber="1" containsInteger="1" minValue="1" maxValue="32"/>
    </cacheField>
    <cacheField name="Estado" numFmtId="0">
      <sharedItems/>
    </cacheField>
    <cacheField name="Importe" numFmtId="0">
      <sharedItems containsSemiMixedTypes="0" containsString="0" containsNumber="1" containsInteger="1" minValue="100" maxValue="1995"/>
    </cacheField>
    <cacheField name="Producto" numFmtId="0">
      <sharedItems count="32">
        <s v="Producto_30"/>
        <s v="Producto_12"/>
        <s v="Producto_20"/>
        <s v="Producto_14"/>
        <s v="Producto_32"/>
        <s v="Producto_4"/>
        <s v="Producto_2"/>
        <s v="Producto_22"/>
        <s v="Producto_27"/>
        <s v="Producto_28"/>
        <s v="Producto_9"/>
        <s v="Producto_6"/>
        <s v="Producto_3"/>
        <s v="Producto_21"/>
        <s v="Producto_31"/>
        <s v="Producto_5"/>
        <s v="Producto_25"/>
        <s v="Producto_11"/>
        <s v="Producto_10"/>
        <s v="Producto_16"/>
        <s v="Producto_1"/>
        <s v="Producto_8"/>
        <s v="Producto_29"/>
        <s v="Producto_19"/>
        <s v="Producto_7"/>
        <s v="Producto_15"/>
        <s v="Producto_26"/>
        <s v="Producto_24"/>
        <s v="Producto_17"/>
        <s v="Producto_13"/>
        <s v="Producto_23"/>
        <s v="Producto_18"/>
      </sharedItems>
    </cacheField>
    <cacheField name="Categoria" numFmtId="0">
      <sharedItems count="4">
        <s v="Hogar"/>
        <s v="Deportes"/>
        <s v="Electrónica"/>
        <s v="Ropa"/>
      </sharedItems>
    </cacheField>
    <cacheField name="Region" numFmtId="0">
      <sharedItems count="4">
        <s v="Centro"/>
        <s v="Occidente"/>
        <s v="Norte"/>
        <s v="Sur"/>
      </sharedItems>
    </cacheField>
    <cacheField name="Días (FechaPedido)" numFmtId="0" databaseField="0">
      <fieldGroup base="1">
        <rangePr groupBy="days" startDate="2025-01-01T00:00:00" endDate="2025-06-30T00:00:00"/>
        <groupItems count="368">
          <s v="&lt;01-01-2025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30-06-2025"/>
        </groupItems>
      </fieldGroup>
    </cacheField>
    <cacheField name="Meses (FechaPedido)" numFmtId="0" databaseField="0">
      <fieldGroup base="1">
        <rangePr groupBy="months" startDate="2025-01-01T00:00:00" endDate="2025-06-30T00:00:00"/>
        <groupItems count="14">
          <s v="&lt;01-01-2025"/>
          <s v="ene"/>
          <s v="feb"/>
          <s v="mar"/>
          <s v="abr"/>
          <s v="may"/>
          <s v="jun"/>
          <s v="jul"/>
          <s v="ago"/>
          <s v="sept"/>
          <s v="oct"/>
          <s v="nov"/>
          <s v="dic"/>
          <s v="&gt;30-06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200000"/>
    <x v="0"/>
    <n v="30"/>
    <s v="Puebla"/>
    <n v="641"/>
    <x v="0"/>
    <x v="0"/>
    <x v="0"/>
  </r>
  <r>
    <n v="200001"/>
    <x v="1"/>
    <n v="12"/>
    <s v="Michoacán"/>
    <n v="1247"/>
    <x v="1"/>
    <x v="0"/>
    <x v="1"/>
  </r>
  <r>
    <n v="200002"/>
    <x v="2"/>
    <n v="20"/>
    <s v="Puebla"/>
    <n v="1241"/>
    <x v="2"/>
    <x v="1"/>
    <x v="0"/>
  </r>
  <r>
    <n v="200003"/>
    <x v="3"/>
    <n v="14"/>
    <s v="Sonora"/>
    <n v="712"/>
    <x v="3"/>
    <x v="0"/>
    <x v="2"/>
  </r>
  <r>
    <n v="200004"/>
    <x v="0"/>
    <n v="12"/>
    <s v="Nuevo León"/>
    <n v="1011"/>
    <x v="1"/>
    <x v="0"/>
    <x v="2"/>
  </r>
  <r>
    <n v="200005"/>
    <x v="4"/>
    <n v="32"/>
    <s v="Puebla"/>
    <n v="1305"/>
    <x v="4"/>
    <x v="0"/>
    <x v="0"/>
  </r>
  <r>
    <n v="200006"/>
    <x v="5"/>
    <n v="32"/>
    <s v="Sonora"/>
    <n v="1697"/>
    <x v="4"/>
    <x v="0"/>
    <x v="2"/>
  </r>
  <r>
    <n v="200007"/>
    <x v="6"/>
    <n v="4"/>
    <s v="Puebla"/>
    <n v="1836"/>
    <x v="5"/>
    <x v="1"/>
    <x v="0"/>
  </r>
  <r>
    <n v="200008"/>
    <x v="7"/>
    <n v="2"/>
    <s v="Paraguay"/>
    <n v="1345"/>
    <x v="6"/>
    <x v="1"/>
    <x v="3"/>
  </r>
  <r>
    <n v="200009"/>
    <x v="8"/>
    <n v="22"/>
    <s v="Paraguay"/>
    <n v="1188"/>
    <x v="7"/>
    <x v="0"/>
    <x v="3"/>
  </r>
  <r>
    <n v="200010"/>
    <x v="9"/>
    <n v="27"/>
    <s v="Michoacán"/>
    <n v="1266"/>
    <x v="8"/>
    <x v="2"/>
    <x v="1"/>
  </r>
  <r>
    <n v="200011"/>
    <x v="3"/>
    <n v="28"/>
    <s v="Paraguay"/>
    <n v="1888"/>
    <x v="9"/>
    <x v="0"/>
    <x v="3"/>
  </r>
  <r>
    <n v="200012"/>
    <x v="10"/>
    <n v="9"/>
    <s v="Michoacán"/>
    <n v="437"/>
    <x v="10"/>
    <x v="2"/>
    <x v="1"/>
  </r>
  <r>
    <n v="200013"/>
    <x v="11"/>
    <n v="6"/>
    <s v="Paraguay"/>
    <n v="1659"/>
    <x v="11"/>
    <x v="2"/>
    <x v="3"/>
  </r>
  <r>
    <n v="200014"/>
    <x v="12"/>
    <n v="3"/>
    <s v="Puebla"/>
    <n v="327"/>
    <x v="12"/>
    <x v="1"/>
    <x v="0"/>
  </r>
  <r>
    <n v="200015"/>
    <x v="10"/>
    <n v="21"/>
    <s v="CDMX"/>
    <n v="342"/>
    <x v="13"/>
    <x v="2"/>
    <x v="0"/>
  </r>
  <r>
    <n v="200016"/>
    <x v="13"/>
    <n v="31"/>
    <s v="Paraguay"/>
    <n v="1363"/>
    <x v="14"/>
    <x v="1"/>
    <x v="3"/>
  </r>
  <r>
    <n v="200017"/>
    <x v="14"/>
    <n v="5"/>
    <s v="Michoacán"/>
    <n v="1593"/>
    <x v="15"/>
    <x v="0"/>
    <x v="1"/>
  </r>
  <r>
    <n v="200018"/>
    <x v="15"/>
    <n v="5"/>
    <s v="Michoacán"/>
    <n v="532"/>
    <x v="15"/>
    <x v="0"/>
    <x v="1"/>
  </r>
  <r>
    <n v="200019"/>
    <x v="16"/>
    <n v="22"/>
    <s v="Nuevo León"/>
    <n v="1532"/>
    <x v="7"/>
    <x v="0"/>
    <x v="2"/>
  </r>
  <r>
    <n v="200020"/>
    <x v="17"/>
    <n v="25"/>
    <s v="Sonora"/>
    <n v="906"/>
    <x v="16"/>
    <x v="2"/>
    <x v="2"/>
  </r>
  <r>
    <n v="200021"/>
    <x v="18"/>
    <n v="11"/>
    <s v="Sonora"/>
    <n v="624"/>
    <x v="17"/>
    <x v="3"/>
    <x v="2"/>
  </r>
  <r>
    <n v="200022"/>
    <x v="19"/>
    <n v="10"/>
    <s v="CDMX"/>
    <n v="1746"/>
    <x v="18"/>
    <x v="3"/>
    <x v="0"/>
  </r>
  <r>
    <n v="200023"/>
    <x v="20"/>
    <n v="4"/>
    <s v="Michoacán"/>
    <n v="971"/>
    <x v="5"/>
    <x v="1"/>
    <x v="1"/>
  </r>
  <r>
    <n v="200024"/>
    <x v="21"/>
    <n v="16"/>
    <s v="Jalisco"/>
    <n v="710"/>
    <x v="19"/>
    <x v="3"/>
    <x v="1"/>
  </r>
  <r>
    <n v="200025"/>
    <x v="22"/>
    <n v="1"/>
    <s v="Jalisco"/>
    <n v="1725"/>
    <x v="20"/>
    <x v="0"/>
    <x v="1"/>
  </r>
  <r>
    <n v="200026"/>
    <x v="23"/>
    <n v="25"/>
    <s v="CDMX"/>
    <n v="132"/>
    <x v="16"/>
    <x v="2"/>
    <x v="0"/>
  </r>
  <r>
    <n v="200027"/>
    <x v="24"/>
    <n v="9"/>
    <s v="Puebla"/>
    <n v="115"/>
    <x v="10"/>
    <x v="2"/>
    <x v="0"/>
  </r>
  <r>
    <n v="200028"/>
    <x v="25"/>
    <n v="14"/>
    <s v="Paraguay"/>
    <n v="1068"/>
    <x v="3"/>
    <x v="0"/>
    <x v="3"/>
  </r>
  <r>
    <n v="200029"/>
    <x v="26"/>
    <n v="8"/>
    <s v="CDMX"/>
    <n v="1623"/>
    <x v="21"/>
    <x v="2"/>
    <x v="0"/>
  </r>
  <r>
    <n v="200030"/>
    <x v="27"/>
    <n v="21"/>
    <s v="Sonora"/>
    <n v="514"/>
    <x v="13"/>
    <x v="2"/>
    <x v="2"/>
  </r>
  <r>
    <n v="200031"/>
    <x v="28"/>
    <n v="25"/>
    <s v="Nuevo León"/>
    <n v="1496"/>
    <x v="16"/>
    <x v="2"/>
    <x v="2"/>
  </r>
  <r>
    <n v="200032"/>
    <x v="29"/>
    <n v="16"/>
    <s v="Edo. Mex"/>
    <n v="1451"/>
    <x v="19"/>
    <x v="3"/>
    <x v="0"/>
  </r>
  <r>
    <n v="200033"/>
    <x v="30"/>
    <n v="29"/>
    <s v="Michoacán"/>
    <n v="169"/>
    <x v="22"/>
    <x v="2"/>
    <x v="1"/>
  </r>
  <r>
    <n v="200034"/>
    <x v="31"/>
    <n v="21"/>
    <s v="CDMX"/>
    <n v="664"/>
    <x v="13"/>
    <x v="2"/>
    <x v="0"/>
  </r>
  <r>
    <n v="200035"/>
    <x v="32"/>
    <n v="25"/>
    <s v="Edo. Mex"/>
    <n v="1716"/>
    <x v="16"/>
    <x v="2"/>
    <x v="0"/>
  </r>
  <r>
    <n v="200036"/>
    <x v="33"/>
    <n v="19"/>
    <s v="CDMX"/>
    <n v="1745"/>
    <x v="23"/>
    <x v="3"/>
    <x v="0"/>
  </r>
  <r>
    <n v="200037"/>
    <x v="34"/>
    <n v="3"/>
    <s v="CDMX"/>
    <n v="984"/>
    <x v="12"/>
    <x v="1"/>
    <x v="0"/>
  </r>
  <r>
    <n v="200038"/>
    <x v="35"/>
    <n v="7"/>
    <s v="Michoacán"/>
    <n v="1116"/>
    <x v="24"/>
    <x v="3"/>
    <x v="1"/>
  </r>
  <r>
    <n v="200039"/>
    <x v="36"/>
    <n v="6"/>
    <s v="Paraguay"/>
    <n v="1524"/>
    <x v="11"/>
    <x v="2"/>
    <x v="3"/>
  </r>
  <r>
    <n v="200040"/>
    <x v="23"/>
    <n v="2"/>
    <s v="Michoacán"/>
    <n v="1361"/>
    <x v="6"/>
    <x v="1"/>
    <x v="1"/>
  </r>
  <r>
    <n v="200041"/>
    <x v="37"/>
    <n v="20"/>
    <s v="Jalisco"/>
    <n v="498"/>
    <x v="2"/>
    <x v="1"/>
    <x v="1"/>
  </r>
  <r>
    <n v="200042"/>
    <x v="38"/>
    <n v="32"/>
    <s v="Nuevo León"/>
    <n v="872"/>
    <x v="4"/>
    <x v="0"/>
    <x v="2"/>
  </r>
  <r>
    <n v="200043"/>
    <x v="39"/>
    <n v="27"/>
    <s v="CDMX"/>
    <n v="889"/>
    <x v="8"/>
    <x v="2"/>
    <x v="0"/>
  </r>
  <r>
    <n v="200044"/>
    <x v="40"/>
    <n v="19"/>
    <s v="Edo. Mex"/>
    <n v="327"/>
    <x v="23"/>
    <x v="3"/>
    <x v="0"/>
  </r>
  <r>
    <n v="200045"/>
    <x v="15"/>
    <n v="15"/>
    <s v="Jalisco"/>
    <n v="1004"/>
    <x v="25"/>
    <x v="0"/>
    <x v="1"/>
  </r>
  <r>
    <n v="200046"/>
    <x v="37"/>
    <n v="16"/>
    <s v="Puebla"/>
    <n v="1340"/>
    <x v="19"/>
    <x v="3"/>
    <x v="0"/>
  </r>
  <r>
    <n v="200047"/>
    <x v="41"/>
    <n v="15"/>
    <s v="Sonora"/>
    <n v="1498"/>
    <x v="25"/>
    <x v="0"/>
    <x v="2"/>
  </r>
  <r>
    <n v="200048"/>
    <x v="42"/>
    <n v="26"/>
    <s v="Sonora"/>
    <n v="733"/>
    <x v="26"/>
    <x v="0"/>
    <x v="2"/>
  </r>
  <r>
    <n v="200049"/>
    <x v="43"/>
    <n v="16"/>
    <s v="Michoacán"/>
    <n v="950"/>
    <x v="19"/>
    <x v="3"/>
    <x v="1"/>
  </r>
  <r>
    <n v="200050"/>
    <x v="44"/>
    <n v="25"/>
    <s v="Jalisco"/>
    <n v="902"/>
    <x v="16"/>
    <x v="2"/>
    <x v="1"/>
  </r>
  <r>
    <n v="200051"/>
    <x v="45"/>
    <n v="7"/>
    <s v="Nuevo León"/>
    <n v="444"/>
    <x v="24"/>
    <x v="3"/>
    <x v="2"/>
  </r>
  <r>
    <n v="200052"/>
    <x v="46"/>
    <n v="9"/>
    <s v="Puebla"/>
    <n v="912"/>
    <x v="10"/>
    <x v="2"/>
    <x v="0"/>
  </r>
  <r>
    <n v="200053"/>
    <x v="15"/>
    <n v="25"/>
    <s v="Edo. Mex"/>
    <n v="1556"/>
    <x v="16"/>
    <x v="2"/>
    <x v="0"/>
  </r>
  <r>
    <n v="200054"/>
    <x v="47"/>
    <n v="22"/>
    <s v="CDMX"/>
    <n v="678"/>
    <x v="7"/>
    <x v="0"/>
    <x v="0"/>
  </r>
  <r>
    <n v="200055"/>
    <x v="17"/>
    <n v="24"/>
    <s v="Puebla"/>
    <n v="1364"/>
    <x v="27"/>
    <x v="3"/>
    <x v="0"/>
  </r>
  <r>
    <n v="200056"/>
    <x v="48"/>
    <n v="19"/>
    <s v="Edo. Mex"/>
    <n v="681"/>
    <x v="23"/>
    <x v="3"/>
    <x v="0"/>
  </r>
  <r>
    <n v="200057"/>
    <x v="49"/>
    <n v="9"/>
    <s v="CDMX"/>
    <n v="144"/>
    <x v="10"/>
    <x v="2"/>
    <x v="0"/>
  </r>
  <r>
    <n v="200058"/>
    <x v="50"/>
    <n v="25"/>
    <s v="Nuevo León"/>
    <n v="898"/>
    <x v="16"/>
    <x v="2"/>
    <x v="2"/>
  </r>
  <r>
    <n v="200059"/>
    <x v="36"/>
    <n v="7"/>
    <s v="Michoacán"/>
    <n v="1329"/>
    <x v="24"/>
    <x v="3"/>
    <x v="1"/>
  </r>
  <r>
    <n v="200060"/>
    <x v="51"/>
    <n v="31"/>
    <s v="Puebla"/>
    <n v="1367"/>
    <x v="14"/>
    <x v="1"/>
    <x v="0"/>
  </r>
  <r>
    <n v="200061"/>
    <x v="52"/>
    <n v="24"/>
    <s v="Edo. Mex"/>
    <n v="552"/>
    <x v="27"/>
    <x v="3"/>
    <x v="0"/>
  </r>
  <r>
    <n v="200062"/>
    <x v="53"/>
    <n v="32"/>
    <s v="CDMX"/>
    <n v="1291"/>
    <x v="4"/>
    <x v="0"/>
    <x v="0"/>
  </r>
  <r>
    <n v="200063"/>
    <x v="39"/>
    <n v="22"/>
    <s v="Jalisco"/>
    <n v="505"/>
    <x v="7"/>
    <x v="0"/>
    <x v="1"/>
  </r>
  <r>
    <n v="200064"/>
    <x v="54"/>
    <n v="19"/>
    <s v="Edo. Mex"/>
    <n v="1577"/>
    <x v="23"/>
    <x v="3"/>
    <x v="0"/>
  </r>
  <r>
    <n v="200065"/>
    <x v="55"/>
    <n v="29"/>
    <s v="CDMX"/>
    <n v="509"/>
    <x v="22"/>
    <x v="2"/>
    <x v="0"/>
  </r>
  <r>
    <n v="200066"/>
    <x v="56"/>
    <n v="31"/>
    <s v="Sonora"/>
    <n v="1229"/>
    <x v="14"/>
    <x v="1"/>
    <x v="2"/>
  </r>
  <r>
    <n v="200067"/>
    <x v="46"/>
    <n v="8"/>
    <s v="Edo. Mex"/>
    <n v="926"/>
    <x v="21"/>
    <x v="2"/>
    <x v="0"/>
  </r>
  <r>
    <n v="200068"/>
    <x v="57"/>
    <n v="8"/>
    <s v="CDMX"/>
    <n v="987"/>
    <x v="21"/>
    <x v="2"/>
    <x v="0"/>
  </r>
  <r>
    <n v="200069"/>
    <x v="18"/>
    <n v="6"/>
    <s v="Jalisco"/>
    <n v="954"/>
    <x v="11"/>
    <x v="2"/>
    <x v="1"/>
  </r>
  <r>
    <n v="200070"/>
    <x v="34"/>
    <n v="5"/>
    <s v="Paraguay"/>
    <n v="336"/>
    <x v="15"/>
    <x v="0"/>
    <x v="3"/>
  </r>
  <r>
    <n v="200071"/>
    <x v="58"/>
    <n v="21"/>
    <s v="Michoacán"/>
    <n v="1463"/>
    <x v="13"/>
    <x v="2"/>
    <x v="1"/>
  </r>
  <r>
    <n v="200072"/>
    <x v="27"/>
    <n v="4"/>
    <s v="Jalisco"/>
    <n v="645"/>
    <x v="5"/>
    <x v="1"/>
    <x v="1"/>
  </r>
  <r>
    <n v="200073"/>
    <x v="5"/>
    <n v="19"/>
    <s v="Jalisco"/>
    <n v="1219"/>
    <x v="23"/>
    <x v="3"/>
    <x v="1"/>
  </r>
  <r>
    <n v="200074"/>
    <x v="59"/>
    <n v="9"/>
    <s v="Nuevo León"/>
    <n v="1090"/>
    <x v="10"/>
    <x v="2"/>
    <x v="2"/>
  </r>
  <r>
    <n v="200075"/>
    <x v="52"/>
    <n v="29"/>
    <s v="Sonora"/>
    <n v="1862"/>
    <x v="22"/>
    <x v="2"/>
    <x v="2"/>
  </r>
  <r>
    <n v="200076"/>
    <x v="60"/>
    <n v="26"/>
    <s v="Sonora"/>
    <n v="447"/>
    <x v="26"/>
    <x v="0"/>
    <x v="2"/>
  </r>
  <r>
    <n v="200077"/>
    <x v="61"/>
    <n v="1"/>
    <s v="Michoacán"/>
    <n v="1136"/>
    <x v="20"/>
    <x v="0"/>
    <x v="1"/>
  </r>
  <r>
    <n v="200078"/>
    <x v="62"/>
    <n v="29"/>
    <s v="Puebla"/>
    <n v="1353"/>
    <x v="22"/>
    <x v="2"/>
    <x v="0"/>
  </r>
  <r>
    <n v="200079"/>
    <x v="63"/>
    <n v="17"/>
    <s v="Michoacán"/>
    <n v="1420"/>
    <x v="28"/>
    <x v="3"/>
    <x v="1"/>
  </r>
  <r>
    <n v="200080"/>
    <x v="64"/>
    <n v="6"/>
    <s v="Puebla"/>
    <n v="638"/>
    <x v="11"/>
    <x v="2"/>
    <x v="0"/>
  </r>
  <r>
    <n v="200081"/>
    <x v="11"/>
    <n v="22"/>
    <s v="Puebla"/>
    <n v="556"/>
    <x v="7"/>
    <x v="0"/>
    <x v="0"/>
  </r>
  <r>
    <n v="200082"/>
    <x v="28"/>
    <n v="3"/>
    <s v="Paraguay"/>
    <n v="1034"/>
    <x v="12"/>
    <x v="1"/>
    <x v="3"/>
  </r>
  <r>
    <n v="200083"/>
    <x v="65"/>
    <n v="2"/>
    <s v="Edo. Mex"/>
    <n v="171"/>
    <x v="6"/>
    <x v="1"/>
    <x v="0"/>
  </r>
  <r>
    <n v="200084"/>
    <x v="19"/>
    <n v="13"/>
    <s v="Paraguay"/>
    <n v="529"/>
    <x v="29"/>
    <x v="1"/>
    <x v="3"/>
  </r>
  <r>
    <n v="200085"/>
    <x v="66"/>
    <n v="7"/>
    <s v="Michoacán"/>
    <n v="130"/>
    <x v="24"/>
    <x v="3"/>
    <x v="1"/>
  </r>
  <r>
    <n v="200086"/>
    <x v="67"/>
    <n v="27"/>
    <s v="Paraguay"/>
    <n v="437"/>
    <x v="8"/>
    <x v="2"/>
    <x v="3"/>
  </r>
  <r>
    <n v="200087"/>
    <x v="68"/>
    <n v="2"/>
    <s v="Nuevo León"/>
    <n v="872"/>
    <x v="6"/>
    <x v="1"/>
    <x v="2"/>
  </r>
  <r>
    <n v="200088"/>
    <x v="69"/>
    <n v="14"/>
    <s v="Nuevo León"/>
    <n v="885"/>
    <x v="3"/>
    <x v="0"/>
    <x v="2"/>
  </r>
  <r>
    <n v="200089"/>
    <x v="70"/>
    <n v="13"/>
    <s v="Nuevo León"/>
    <n v="1421"/>
    <x v="29"/>
    <x v="1"/>
    <x v="2"/>
  </r>
  <r>
    <n v="200090"/>
    <x v="3"/>
    <n v="6"/>
    <s v="Jalisco"/>
    <n v="1564"/>
    <x v="11"/>
    <x v="2"/>
    <x v="1"/>
  </r>
  <r>
    <n v="200091"/>
    <x v="71"/>
    <n v="21"/>
    <s v="CDMX"/>
    <n v="577"/>
    <x v="13"/>
    <x v="2"/>
    <x v="0"/>
  </r>
  <r>
    <n v="200092"/>
    <x v="21"/>
    <n v="9"/>
    <s v="Paraguay"/>
    <n v="1263"/>
    <x v="10"/>
    <x v="2"/>
    <x v="3"/>
  </r>
  <r>
    <n v="200093"/>
    <x v="72"/>
    <n v="10"/>
    <s v="Jalisco"/>
    <n v="333"/>
    <x v="18"/>
    <x v="3"/>
    <x v="1"/>
  </r>
  <r>
    <n v="200094"/>
    <x v="73"/>
    <n v="8"/>
    <s v="Paraguay"/>
    <n v="1837"/>
    <x v="21"/>
    <x v="2"/>
    <x v="3"/>
  </r>
  <r>
    <n v="200095"/>
    <x v="74"/>
    <n v="30"/>
    <s v="Puebla"/>
    <n v="1384"/>
    <x v="0"/>
    <x v="0"/>
    <x v="0"/>
  </r>
  <r>
    <n v="200096"/>
    <x v="75"/>
    <n v="2"/>
    <s v="Sonora"/>
    <n v="245"/>
    <x v="6"/>
    <x v="1"/>
    <x v="2"/>
  </r>
  <r>
    <n v="200097"/>
    <x v="38"/>
    <n v="1"/>
    <s v="CDMX"/>
    <n v="1765"/>
    <x v="20"/>
    <x v="0"/>
    <x v="0"/>
  </r>
  <r>
    <n v="200098"/>
    <x v="76"/>
    <n v="24"/>
    <s v="Michoacán"/>
    <n v="133"/>
    <x v="27"/>
    <x v="3"/>
    <x v="1"/>
  </r>
  <r>
    <n v="200099"/>
    <x v="77"/>
    <n v="6"/>
    <s v="Edo. Mex"/>
    <n v="771"/>
    <x v="11"/>
    <x v="2"/>
    <x v="0"/>
  </r>
  <r>
    <n v="200100"/>
    <x v="43"/>
    <n v="6"/>
    <s v="Edo. Mex"/>
    <n v="1684"/>
    <x v="11"/>
    <x v="2"/>
    <x v="0"/>
  </r>
  <r>
    <n v="200101"/>
    <x v="17"/>
    <n v="9"/>
    <s v="Nuevo León"/>
    <n v="1148"/>
    <x v="10"/>
    <x v="2"/>
    <x v="2"/>
  </r>
  <r>
    <n v="200102"/>
    <x v="78"/>
    <n v="4"/>
    <s v="Paraguay"/>
    <n v="209"/>
    <x v="5"/>
    <x v="1"/>
    <x v="3"/>
  </r>
  <r>
    <n v="200103"/>
    <x v="31"/>
    <n v="12"/>
    <s v="Jalisco"/>
    <n v="177"/>
    <x v="1"/>
    <x v="0"/>
    <x v="1"/>
  </r>
  <r>
    <n v="200104"/>
    <x v="79"/>
    <n v="20"/>
    <s v="Nuevo León"/>
    <n v="913"/>
    <x v="2"/>
    <x v="1"/>
    <x v="2"/>
  </r>
  <r>
    <n v="200105"/>
    <x v="68"/>
    <n v="6"/>
    <s v="CDMX"/>
    <n v="1348"/>
    <x v="11"/>
    <x v="2"/>
    <x v="0"/>
  </r>
  <r>
    <n v="200106"/>
    <x v="80"/>
    <n v="32"/>
    <s v="Michoacán"/>
    <n v="813"/>
    <x v="4"/>
    <x v="0"/>
    <x v="1"/>
  </r>
  <r>
    <n v="200107"/>
    <x v="33"/>
    <n v="2"/>
    <s v="Puebla"/>
    <n v="1786"/>
    <x v="6"/>
    <x v="1"/>
    <x v="0"/>
  </r>
  <r>
    <n v="200108"/>
    <x v="81"/>
    <n v="14"/>
    <s v="Edo. Mex"/>
    <n v="1142"/>
    <x v="3"/>
    <x v="0"/>
    <x v="0"/>
  </r>
  <r>
    <n v="200109"/>
    <x v="82"/>
    <n v="29"/>
    <s v="Michoacán"/>
    <n v="1631"/>
    <x v="22"/>
    <x v="2"/>
    <x v="1"/>
  </r>
  <r>
    <n v="200110"/>
    <x v="80"/>
    <n v="1"/>
    <s v="Puebla"/>
    <n v="367"/>
    <x v="20"/>
    <x v="0"/>
    <x v="0"/>
  </r>
  <r>
    <n v="200111"/>
    <x v="65"/>
    <n v="9"/>
    <s v="Nuevo León"/>
    <n v="1524"/>
    <x v="10"/>
    <x v="2"/>
    <x v="2"/>
  </r>
  <r>
    <n v="200112"/>
    <x v="83"/>
    <n v="22"/>
    <s v="Puebla"/>
    <n v="1243"/>
    <x v="7"/>
    <x v="0"/>
    <x v="0"/>
  </r>
  <r>
    <n v="200113"/>
    <x v="62"/>
    <n v="20"/>
    <s v="Paraguay"/>
    <n v="1400"/>
    <x v="2"/>
    <x v="1"/>
    <x v="3"/>
  </r>
  <r>
    <n v="200114"/>
    <x v="22"/>
    <n v="25"/>
    <s v="Nuevo León"/>
    <n v="1582"/>
    <x v="16"/>
    <x v="2"/>
    <x v="2"/>
  </r>
  <r>
    <n v="200115"/>
    <x v="18"/>
    <n v="16"/>
    <s v="Paraguay"/>
    <n v="1336"/>
    <x v="19"/>
    <x v="3"/>
    <x v="3"/>
  </r>
  <r>
    <n v="200116"/>
    <x v="66"/>
    <n v="31"/>
    <s v="Michoacán"/>
    <n v="1968"/>
    <x v="14"/>
    <x v="1"/>
    <x v="1"/>
  </r>
  <r>
    <n v="200117"/>
    <x v="84"/>
    <n v="16"/>
    <s v="Nuevo León"/>
    <n v="972"/>
    <x v="19"/>
    <x v="3"/>
    <x v="2"/>
  </r>
  <r>
    <n v="200118"/>
    <x v="85"/>
    <n v="2"/>
    <s v="Sonora"/>
    <n v="1922"/>
    <x v="6"/>
    <x v="1"/>
    <x v="2"/>
  </r>
  <r>
    <n v="200119"/>
    <x v="86"/>
    <n v="30"/>
    <s v="Paraguay"/>
    <n v="1409"/>
    <x v="0"/>
    <x v="0"/>
    <x v="3"/>
  </r>
  <r>
    <n v="200120"/>
    <x v="87"/>
    <n v="2"/>
    <s v="CDMX"/>
    <n v="200"/>
    <x v="6"/>
    <x v="1"/>
    <x v="0"/>
  </r>
  <r>
    <n v="200121"/>
    <x v="51"/>
    <n v="22"/>
    <s v="CDMX"/>
    <n v="307"/>
    <x v="7"/>
    <x v="0"/>
    <x v="0"/>
  </r>
  <r>
    <n v="200122"/>
    <x v="34"/>
    <n v="28"/>
    <s v="Nuevo León"/>
    <n v="1073"/>
    <x v="9"/>
    <x v="0"/>
    <x v="2"/>
  </r>
  <r>
    <n v="200123"/>
    <x v="74"/>
    <n v="17"/>
    <s v="CDMX"/>
    <n v="1915"/>
    <x v="28"/>
    <x v="3"/>
    <x v="0"/>
  </r>
  <r>
    <n v="200124"/>
    <x v="88"/>
    <n v="19"/>
    <s v="Jalisco"/>
    <n v="430"/>
    <x v="23"/>
    <x v="3"/>
    <x v="1"/>
  </r>
  <r>
    <n v="200125"/>
    <x v="6"/>
    <n v="27"/>
    <s v="Puebla"/>
    <n v="209"/>
    <x v="8"/>
    <x v="2"/>
    <x v="0"/>
  </r>
  <r>
    <n v="200126"/>
    <x v="89"/>
    <n v="16"/>
    <s v="Sonora"/>
    <n v="1416"/>
    <x v="19"/>
    <x v="3"/>
    <x v="2"/>
  </r>
  <r>
    <n v="200127"/>
    <x v="16"/>
    <n v="26"/>
    <s v="Michoacán"/>
    <n v="688"/>
    <x v="26"/>
    <x v="0"/>
    <x v="1"/>
  </r>
  <r>
    <n v="200128"/>
    <x v="90"/>
    <n v="27"/>
    <s v="Jalisco"/>
    <n v="683"/>
    <x v="8"/>
    <x v="2"/>
    <x v="1"/>
  </r>
  <r>
    <n v="200129"/>
    <x v="91"/>
    <n v="10"/>
    <s v="Jalisco"/>
    <n v="1686"/>
    <x v="18"/>
    <x v="3"/>
    <x v="1"/>
  </r>
  <r>
    <n v="200130"/>
    <x v="92"/>
    <n v="31"/>
    <s v="Jalisco"/>
    <n v="1260"/>
    <x v="14"/>
    <x v="1"/>
    <x v="1"/>
  </r>
  <r>
    <n v="200131"/>
    <x v="93"/>
    <n v="26"/>
    <s v="Paraguay"/>
    <n v="1923"/>
    <x v="26"/>
    <x v="0"/>
    <x v="3"/>
  </r>
  <r>
    <n v="200132"/>
    <x v="94"/>
    <n v="5"/>
    <s v="Puebla"/>
    <n v="1126"/>
    <x v="15"/>
    <x v="0"/>
    <x v="0"/>
  </r>
  <r>
    <n v="200133"/>
    <x v="95"/>
    <n v="11"/>
    <s v="Nuevo León"/>
    <n v="496"/>
    <x v="17"/>
    <x v="3"/>
    <x v="2"/>
  </r>
  <r>
    <n v="200134"/>
    <x v="48"/>
    <n v="3"/>
    <s v="Michoacán"/>
    <n v="1711"/>
    <x v="12"/>
    <x v="1"/>
    <x v="1"/>
  </r>
  <r>
    <n v="200135"/>
    <x v="93"/>
    <n v="26"/>
    <s v="Puebla"/>
    <n v="1596"/>
    <x v="26"/>
    <x v="0"/>
    <x v="0"/>
  </r>
  <r>
    <n v="200136"/>
    <x v="32"/>
    <n v="21"/>
    <s v="Puebla"/>
    <n v="268"/>
    <x v="13"/>
    <x v="2"/>
    <x v="0"/>
  </r>
  <r>
    <n v="200137"/>
    <x v="57"/>
    <n v="9"/>
    <s v="CDMX"/>
    <n v="627"/>
    <x v="10"/>
    <x v="2"/>
    <x v="0"/>
  </r>
  <r>
    <n v="200138"/>
    <x v="77"/>
    <n v="2"/>
    <s v="CDMX"/>
    <n v="1542"/>
    <x v="6"/>
    <x v="1"/>
    <x v="0"/>
  </r>
  <r>
    <n v="200139"/>
    <x v="96"/>
    <n v="32"/>
    <s v="Paraguay"/>
    <n v="1041"/>
    <x v="4"/>
    <x v="0"/>
    <x v="3"/>
  </r>
  <r>
    <n v="200140"/>
    <x v="97"/>
    <n v="6"/>
    <s v="Jalisco"/>
    <n v="1765"/>
    <x v="11"/>
    <x v="2"/>
    <x v="1"/>
  </r>
  <r>
    <n v="200141"/>
    <x v="98"/>
    <n v="10"/>
    <s v="Nuevo León"/>
    <n v="1659"/>
    <x v="18"/>
    <x v="3"/>
    <x v="2"/>
  </r>
  <r>
    <n v="200142"/>
    <x v="99"/>
    <n v="32"/>
    <s v="Paraguay"/>
    <n v="789"/>
    <x v="4"/>
    <x v="0"/>
    <x v="3"/>
  </r>
  <r>
    <n v="200143"/>
    <x v="100"/>
    <n v="11"/>
    <s v="CDMX"/>
    <n v="1069"/>
    <x v="17"/>
    <x v="3"/>
    <x v="0"/>
  </r>
  <r>
    <n v="200144"/>
    <x v="101"/>
    <n v="16"/>
    <s v="Puebla"/>
    <n v="1176"/>
    <x v="19"/>
    <x v="3"/>
    <x v="0"/>
  </r>
  <r>
    <n v="200145"/>
    <x v="102"/>
    <n v="12"/>
    <s v="CDMX"/>
    <n v="656"/>
    <x v="1"/>
    <x v="0"/>
    <x v="0"/>
  </r>
  <r>
    <n v="200146"/>
    <x v="99"/>
    <n v="25"/>
    <s v="Nuevo León"/>
    <n v="151"/>
    <x v="16"/>
    <x v="2"/>
    <x v="2"/>
  </r>
  <r>
    <n v="200147"/>
    <x v="103"/>
    <n v="4"/>
    <s v="Michoacán"/>
    <n v="418"/>
    <x v="5"/>
    <x v="1"/>
    <x v="1"/>
  </r>
  <r>
    <n v="200148"/>
    <x v="104"/>
    <n v="23"/>
    <s v="Sonora"/>
    <n v="925"/>
    <x v="30"/>
    <x v="1"/>
    <x v="2"/>
  </r>
  <r>
    <n v="200149"/>
    <x v="105"/>
    <n v="10"/>
    <s v="Michoacán"/>
    <n v="659"/>
    <x v="18"/>
    <x v="3"/>
    <x v="1"/>
  </r>
  <r>
    <n v="200150"/>
    <x v="106"/>
    <n v="20"/>
    <s v="Jalisco"/>
    <n v="160"/>
    <x v="2"/>
    <x v="1"/>
    <x v="1"/>
  </r>
  <r>
    <n v="200151"/>
    <x v="77"/>
    <n v="21"/>
    <s v="CDMX"/>
    <n v="1185"/>
    <x v="13"/>
    <x v="2"/>
    <x v="0"/>
  </r>
  <r>
    <n v="200152"/>
    <x v="26"/>
    <n v="31"/>
    <s v="Jalisco"/>
    <n v="1355"/>
    <x v="14"/>
    <x v="1"/>
    <x v="1"/>
  </r>
  <r>
    <n v="200153"/>
    <x v="98"/>
    <n v="14"/>
    <s v="Paraguay"/>
    <n v="866"/>
    <x v="3"/>
    <x v="0"/>
    <x v="3"/>
  </r>
  <r>
    <n v="200154"/>
    <x v="1"/>
    <n v="25"/>
    <s v="Paraguay"/>
    <n v="1766"/>
    <x v="16"/>
    <x v="2"/>
    <x v="3"/>
  </r>
  <r>
    <n v="200155"/>
    <x v="69"/>
    <n v="21"/>
    <s v="Jalisco"/>
    <n v="1174"/>
    <x v="13"/>
    <x v="2"/>
    <x v="1"/>
  </r>
  <r>
    <n v="200156"/>
    <x v="56"/>
    <n v="26"/>
    <s v="Sonora"/>
    <n v="624"/>
    <x v="26"/>
    <x v="0"/>
    <x v="2"/>
  </r>
  <r>
    <n v="200157"/>
    <x v="107"/>
    <n v="29"/>
    <s v="CDMX"/>
    <n v="461"/>
    <x v="22"/>
    <x v="2"/>
    <x v="0"/>
  </r>
  <r>
    <n v="200158"/>
    <x v="108"/>
    <n v="17"/>
    <s v="CDMX"/>
    <n v="1114"/>
    <x v="28"/>
    <x v="3"/>
    <x v="0"/>
  </r>
  <r>
    <n v="200159"/>
    <x v="5"/>
    <n v="1"/>
    <s v="Sonora"/>
    <n v="1052"/>
    <x v="20"/>
    <x v="0"/>
    <x v="2"/>
  </r>
  <r>
    <n v="200160"/>
    <x v="109"/>
    <n v="17"/>
    <s v="Jalisco"/>
    <n v="739"/>
    <x v="28"/>
    <x v="3"/>
    <x v="1"/>
  </r>
  <r>
    <n v="200161"/>
    <x v="110"/>
    <n v="3"/>
    <s v="Jalisco"/>
    <n v="671"/>
    <x v="12"/>
    <x v="1"/>
    <x v="1"/>
  </r>
  <r>
    <n v="200162"/>
    <x v="35"/>
    <n v="12"/>
    <s v="Michoacán"/>
    <n v="1572"/>
    <x v="1"/>
    <x v="0"/>
    <x v="1"/>
  </r>
  <r>
    <n v="200163"/>
    <x v="103"/>
    <n v="8"/>
    <s v="Edo. Mex"/>
    <n v="741"/>
    <x v="21"/>
    <x v="2"/>
    <x v="0"/>
  </r>
  <r>
    <n v="200164"/>
    <x v="62"/>
    <n v="27"/>
    <s v="Nuevo León"/>
    <n v="202"/>
    <x v="8"/>
    <x v="2"/>
    <x v="2"/>
  </r>
  <r>
    <n v="200165"/>
    <x v="35"/>
    <n v="18"/>
    <s v="Puebla"/>
    <n v="1367"/>
    <x v="31"/>
    <x v="3"/>
    <x v="0"/>
  </r>
  <r>
    <n v="200166"/>
    <x v="111"/>
    <n v="24"/>
    <s v="Sonora"/>
    <n v="511"/>
    <x v="27"/>
    <x v="3"/>
    <x v="2"/>
  </r>
  <r>
    <n v="200167"/>
    <x v="112"/>
    <n v="28"/>
    <s v="Nuevo León"/>
    <n v="737"/>
    <x v="9"/>
    <x v="0"/>
    <x v="2"/>
  </r>
  <r>
    <n v="200168"/>
    <x v="113"/>
    <n v="9"/>
    <s v="Nuevo León"/>
    <n v="930"/>
    <x v="10"/>
    <x v="2"/>
    <x v="2"/>
  </r>
  <r>
    <n v="200169"/>
    <x v="6"/>
    <n v="13"/>
    <s v="Jalisco"/>
    <n v="635"/>
    <x v="29"/>
    <x v="1"/>
    <x v="1"/>
  </r>
  <r>
    <n v="200170"/>
    <x v="50"/>
    <n v="7"/>
    <s v="Michoacán"/>
    <n v="868"/>
    <x v="24"/>
    <x v="3"/>
    <x v="1"/>
  </r>
  <r>
    <n v="200171"/>
    <x v="114"/>
    <n v="18"/>
    <s v="Paraguay"/>
    <n v="796"/>
    <x v="31"/>
    <x v="3"/>
    <x v="3"/>
  </r>
  <r>
    <n v="200172"/>
    <x v="115"/>
    <n v="4"/>
    <s v="Michoacán"/>
    <n v="947"/>
    <x v="5"/>
    <x v="1"/>
    <x v="1"/>
  </r>
  <r>
    <n v="200173"/>
    <x v="89"/>
    <n v="17"/>
    <s v="CDMX"/>
    <n v="1798"/>
    <x v="28"/>
    <x v="3"/>
    <x v="0"/>
  </r>
  <r>
    <n v="200174"/>
    <x v="116"/>
    <n v="4"/>
    <s v="Nuevo León"/>
    <n v="1638"/>
    <x v="5"/>
    <x v="1"/>
    <x v="2"/>
  </r>
  <r>
    <n v="200175"/>
    <x v="84"/>
    <n v="25"/>
    <s v="Edo. Mex"/>
    <n v="1021"/>
    <x v="16"/>
    <x v="2"/>
    <x v="0"/>
  </r>
  <r>
    <n v="200176"/>
    <x v="12"/>
    <n v="32"/>
    <s v="Jalisco"/>
    <n v="225"/>
    <x v="4"/>
    <x v="0"/>
    <x v="1"/>
  </r>
  <r>
    <n v="200177"/>
    <x v="54"/>
    <n v="23"/>
    <s v="Michoacán"/>
    <n v="1186"/>
    <x v="30"/>
    <x v="1"/>
    <x v="1"/>
  </r>
  <r>
    <n v="200178"/>
    <x v="27"/>
    <n v="15"/>
    <s v="Paraguay"/>
    <n v="689"/>
    <x v="25"/>
    <x v="0"/>
    <x v="3"/>
  </r>
  <r>
    <n v="200179"/>
    <x v="107"/>
    <n v="23"/>
    <s v="CDMX"/>
    <n v="1820"/>
    <x v="30"/>
    <x v="1"/>
    <x v="0"/>
  </r>
  <r>
    <n v="200180"/>
    <x v="70"/>
    <n v="4"/>
    <s v="Michoacán"/>
    <n v="1508"/>
    <x v="5"/>
    <x v="1"/>
    <x v="1"/>
  </r>
  <r>
    <n v="200181"/>
    <x v="117"/>
    <n v="26"/>
    <s v="CDMX"/>
    <n v="1869"/>
    <x v="26"/>
    <x v="0"/>
    <x v="0"/>
  </r>
  <r>
    <n v="200182"/>
    <x v="109"/>
    <n v="32"/>
    <s v="Michoacán"/>
    <n v="353"/>
    <x v="4"/>
    <x v="0"/>
    <x v="1"/>
  </r>
  <r>
    <n v="200183"/>
    <x v="74"/>
    <n v="24"/>
    <s v="Nuevo León"/>
    <n v="619"/>
    <x v="27"/>
    <x v="3"/>
    <x v="2"/>
  </r>
  <r>
    <n v="200184"/>
    <x v="118"/>
    <n v="11"/>
    <s v="Sonora"/>
    <n v="864"/>
    <x v="17"/>
    <x v="3"/>
    <x v="2"/>
  </r>
  <r>
    <n v="200185"/>
    <x v="92"/>
    <n v="1"/>
    <s v="Jalisco"/>
    <n v="920"/>
    <x v="20"/>
    <x v="0"/>
    <x v="1"/>
  </r>
  <r>
    <n v="200186"/>
    <x v="92"/>
    <n v="24"/>
    <s v="Puebla"/>
    <n v="488"/>
    <x v="27"/>
    <x v="3"/>
    <x v="0"/>
  </r>
  <r>
    <n v="200187"/>
    <x v="49"/>
    <n v="26"/>
    <s v="Jalisco"/>
    <n v="1497"/>
    <x v="26"/>
    <x v="0"/>
    <x v="1"/>
  </r>
  <r>
    <n v="200188"/>
    <x v="55"/>
    <n v="6"/>
    <s v="Paraguay"/>
    <n v="1663"/>
    <x v="11"/>
    <x v="2"/>
    <x v="3"/>
  </r>
  <r>
    <n v="200189"/>
    <x v="27"/>
    <n v="9"/>
    <s v="Puebla"/>
    <n v="500"/>
    <x v="10"/>
    <x v="2"/>
    <x v="0"/>
  </r>
  <r>
    <n v="200190"/>
    <x v="44"/>
    <n v="13"/>
    <s v="Jalisco"/>
    <n v="1190"/>
    <x v="29"/>
    <x v="1"/>
    <x v="1"/>
  </r>
  <r>
    <n v="200191"/>
    <x v="119"/>
    <n v="18"/>
    <s v="Paraguay"/>
    <n v="1935"/>
    <x v="31"/>
    <x v="3"/>
    <x v="3"/>
  </r>
  <r>
    <n v="200192"/>
    <x v="65"/>
    <n v="17"/>
    <s v="Paraguay"/>
    <n v="1505"/>
    <x v="28"/>
    <x v="3"/>
    <x v="3"/>
  </r>
  <r>
    <n v="200193"/>
    <x v="2"/>
    <n v="18"/>
    <s v="Jalisco"/>
    <n v="918"/>
    <x v="31"/>
    <x v="3"/>
    <x v="1"/>
  </r>
  <r>
    <n v="200194"/>
    <x v="59"/>
    <n v="5"/>
    <s v="Puebla"/>
    <n v="1947"/>
    <x v="15"/>
    <x v="0"/>
    <x v="0"/>
  </r>
  <r>
    <n v="200195"/>
    <x v="120"/>
    <n v="4"/>
    <s v="Edo. Mex"/>
    <n v="104"/>
    <x v="5"/>
    <x v="1"/>
    <x v="0"/>
  </r>
  <r>
    <n v="200196"/>
    <x v="121"/>
    <n v="21"/>
    <s v="Michoacán"/>
    <n v="356"/>
    <x v="13"/>
    <x v="2"/>
    <x v="1"/>
  </r>
  <r>
    <n v="200197"/>
    <x v="19"/>
    <n v="1"/>
    <s v="Sonora"/>
    <n v="1554"/>
    <x v="20"/>
    <x v="0"/>
    <x v="2"/>
  </r>
  <r>
    <n v="200198"/>
    <x v="83"/>
    <n v="12"/>
    <s v="Jalisco"/>
    <n v="933"/>
    <x v="1"/>
    <x v="0"/>
    <x v="1"/>
  </r>
  <r>
    <n v="200199"/>
    <x v="122"/>
    <n v="27"/>
    <s v="Nuevo León"/>
    <n v="1097"/>
    <x v="8"/>
    <x v="2"/>
    <x v="2"/>
  </r>
  <r>
    <n v="200200"/>
    <x v="123"/>
    <n v="11"/>
    <s v="Michoacán"/>
    <n v="1462"/>
    <x v="17"/>
    <x v="3"/>
    <x v="1"/>
  </r>
  <r>
    <n v="200201"/>
    <x v="124"/>
    <n v="27"/>
    <s v="Paraguay"/>
    <n v="1481"/>
    <x v="8"/>
    <x v="2"/>
    <x v="3"/>
  </r>
  <r>
    <n v="200202"/>
    <x v="125"/>
    <n v="6"/>
    <s v="Puebla"/>
    <n v="1002"/>
    <x v="11"/>
    <x v="2"/>
    <x v="0"/>
  </r>
  <r>
    <n v="200203"/>
    <x v="126"/>
    <n v="8"/>
    <s v="Paraguay"/>
    <n v="1970"/>
    <x v="21"/>
    <x v="2"/>
    <x v="3"/>
  </r>
  <r>
    <n v="200204"/>
    <x v="127"/>
    <n v="3"/>
    <s v="Puebla"/>
    <n v="386"/>
    <x v="12"/>
    <x v="1"/>
    <x v="0"/>
  </r>
  <r>
    <n v="200205"/>
    <x v="27"/>
    <n v="20"/>
    <s v="Nuevo León"/>
    <n v="1435"/>
    <x v="2"/>
    <x v="1"/>
    <x v="2"/>
  </r>
  <r>
    <n v="200206"/>
    <x v="47"/>
    <n v="16"/>
    <s v="Michoacán"/>
    <n v="1993"/>
    <x v="19"/>
    <x v="3"/>
    <x v="1"/>
  </r>
  <r>
    <n v="200207"/>
    <x v="128"/>
    <n v="6"/>
    <s v="Puebla"/>
    <n v="1144"/>
    <x v="11"/>
    <x v="2"/>
    <x v="0"/>
  </r>
  <r>
    <n v="200208"/>
    <x v="129"/>
    <n v="15"/>
    <s v="Edo. Mex"/>
    <n v="645"/>
    <x v="25"/>
    <x v="0"/>
    <x v="0"/>
  </r>
  <r>
    <n v="200209"/>
    <x v="130"/>
    <n v="17"/>
    <s v="CDMX"/>
    <n v="1468"/>
    <x v="28"/>
    <x v="3"/>
    <x v="0"/>
  </r>
  <r>
    <n v="200210"/>
    <x v="131"/>
    <n v="27"/>
    <s v="Jalisco"/>
    <n v="1094"/>
    <x v="8"/>
    <x v="2"/>
    <x v="1"/>
  </r>
  <r>
    <n v="200211"/>
    <x v="115"/>
    <n v="26"/>
    <s v="Paraguay"/>
    <n v="704"/>
    <x v="26"/>
    <x v="0"/>
    <x v="3"/>
  </r>
  <r>
    <n v="200212"/>
    <x v="16"/>
    <n v="14"/>
    <s v="Jalisco"/>
    <n v="1665"/>
    <x v="3"/>
    <x v="0"/>
    <x v="1"/>
  </r>
  <r>
    <n v="200213"/>
    <x v="132"/>
    <n v="16"/>
    <s v="Nuevo León"/>
    <n v="198"/>
    <x v="19"/>
    <x v="3"/>
    <x v="2"/>
  </r>
  <r>
    <n v="200214"/>
    <x v="31"/>
    <n v="14"/>
    <s v="Sonora"/>
    <n v="308"/>
    <x v="3"/>
    <x v="0"/>
    <x v="2"/>
  </r>
  <r>
    <n v="200215"/>
    <x v="74"/>
    <n v="11"/>
    <s v="Michoacán"/>
    <n v="489"/>
    <x v="17"/>
    <x v="3"/>
    <x v="1"/>
  </r>
  <r>
    <n v="200216"/>
    <x v="133"/>
    <n v="16"/>
    <s v="Edo. Mex"/>
    <n v="1557"/>
    <x v="19"/>
    <x v="3"/>
    <x v="0"/>
  </r>
  <r>
    <n v="200217"/>
    <x v="0"/>
    <n v="6"/>
    <s v="Jalisco"/>
    <n v="637"/>
    <x v="11"/>
    <x v="2"/>
    <x v="1"/>
  </r>
  <r>
    <n v="200218"/>
    <x v="26"/>
    <n v="23"/>
    <s v="Edo. Mex"/>
    <n v="771"/>
    <x v="30"/>
    <x v="1"/>
    <x v="0"/>
  </r>
  <r>
    <n v="200219"/>
    <x v="36"/>
    <n v="21"/>
    <s v="Nuevo León"/>
    <n v="554"/>
    <x v="13"/>
    <x v="2"/>
    <x v="2"/>
  </r>
  <r>
    <n v="200220"/>
    <x v="39"/>
    <n v="24"/>
    <s v="Edo. Mex"/>
    <n v="1836"/>
    <x v="27"/>
    <x v="3"/>
    <x v="0"/>
  </r>
  <r>
    <n v="200221"/>
    <x v="97"/>
    <n v="4"/>
    <s v="Edo. Mex"/>
    <n v="479"/>
    <x v="5"/>
    <x v="1"/>
    <x v="0"/>
  </r>
  <r>
    <n v="200222"/>
    <x v="112"/>
    <n v="5"/>
    <s v="Edo. Mex"/>
    <n v="1936"/>
    <x v="15"/>
    <x v="0"/>
    <x v="0"/>
  </r>
  <r>
    <n v="200223"/>
    <x v="12"/>
    <n v="30"/>
    <s v="Puebla"/>
    <n v="1074"/>
    <x v="0"/>
    <x v="0"/>
    <x v="0"/>
  </r>
  <r>
    <n v="200224"/>
    <x v="134"/>
    <n v="30"/>
    <s v="Nuevo León"/>
    <n v="571"/>
    <x v="0"/>
    <x v="0"/>
    <x v="2"/>
  </r>
  <r>
    <n v="200225"/>
    <x v="24"/>
    <n v="11"/>
    <s v="Edo. Mex"/>
    <n v="100"/>
    <x v="17"/>
    <x v="3"/>
    <x v="0"/>
  </r>
  <r>
    <n v="200226"/>
    <x v="135"/>
    <n v="1"/>
    <s v="Jalisco"/>
    <n v="1325"/>
    <x v="20"/>
    <x v="0"/>
    <x v="1"/>
  </r>
  <r>
    <n v="200227"/>
    <x v="80"/>
    <n v="10"/>
    <s v="Sonora"/>
    <n v="1946"/>
    <x v="18"/>
    <x v="3"/>
    <x v="2"/>
  </r>
  <r>
    <n v="200228"/>
    <x v="99"/>
    <n v="13"/>
    <s v="Sonora"/>
    <n v="1626"/>
    <x v="29"/>
    <x v="1"/>
    <x v="2"/>
  </r>
  <r>
    <n v="200229"/>
    <x v="64"/>
    <n v="19"/>
    <s v="CDMX"/>
    <n v="264"/>
    <x v="23"/>
    <x v="3"/>
    <x v="0"/>
  </r>
  <r>
    <n v="200230"/>
    <x v="1"/>
    <n v="7"/>
    <s v="Paraguay"/>
    <n v="820"/>
    <x v="24"/>
    <x v="3"/>
    <x v="3"/>
  </r>
  <r>
    <n v="200231"/>
    <x v="136"/>
    <n v="13"/>
    <s v="Puebla"/>
    <n v="1469"/>
    <x v="29"/>
    <x v="1"/>
    <x v="0"/>
  </r>
  <r>
    <n v="200232"/>
    <x v="49"/>
    <n v="10"/>
    <s v="Sonora"/>
    <n v="1806"/>
    <x v="18"/>
    <x v="3"/>
    <x v="2"/>
  </r>
  <r>
    <n v="200233"/>
    <x v="82"/>
    <n v="22"/>
    <s v="Paraguay"/>
    <n v="1934"/>
    <x v="7"/>
    <x v="0"/>
    <x v="3"/>
  </r>
  <r>
    <n v="200234"/>
    <x v="137"/>
    <n v="31"/>
    <s v="Edo. Mex"/>
    <n v="125"/>
    <x v="14"/>
    <x v="1"/>
    <x v="0"/>
  </r>
  <r>
    <n v="200235"/>
    <x v="61"/>
    <n v="2"/>
    <s v="Edo. Mex"/>
    <n v="647"/>
    <x v="6"/>
    <x v="1"/>
    <x v="0"/>
  </r>
  <r>
    <n v="200236"/>
    <x v="73"/>
    <n v="8"/>
    <s v="Sonora"/>
    <n v="1193"/>
    <x v="21"/>
    <x v="2"/>
    <x v="2"/>
  </r>
  <r>
    <n v="200237"/>
    <x v="138"/>
    <n v="1"/>
    <s v="Puebla"/>
    <n v="769"/>
    <x v="20"/>
    <x v="0"/>
    <x v="0"/>
  </r>
  <r>
    <n v="200238"/>
    <x v="117"/>
    <n v="16"/>
    <s v="Puebla"/>
    <n v="888"/>
    <x v="19"/>
    <x v="3"/>
    <x v="0"/>
  </r>
  <r>
    <n v="200239"/>
    <x v="115"/>
    <n v="25"/>
    <s v="Nuevo León"/>
    <n v="1134"/>
    <x v="16"/>
    <x v="2"/>
    <x v="2"/>
  </r>
  <r>
    <n v="200240"/>
    <x v="139"/>
    <n v="11"/>
    <s v="Paraguay"/>
    <n v="1638"/>
    <x v="17"/>
    <x v="3"/>
    <x v="3"/>
  </r>
  <r>
    <n v="200241"/>
    <x v="140"/>
    <n v="18"/>
    <s v="Puebla"/>
    <n v="1802"/>
    <x v="31"/>
    <x v="3"/>
    <x v="0"/>
  </r>
  <r>
    <n v="200242"/>
    <x v="140"/>
    <n v="11"/>
    <s v="Paraguay"/>
    <n v="254"/>
    <x v="17"/>
    <x v="3"/>
    <x v="3"/>
  </r>
  <r>
    <n v="200243"/>
    <x v="14"/>
    <n v="6"/>
    <s v="CDMX"/>
    <n v="1002"/>
    <x v="11"/>
    <x v="2"/>
    <x v="0"/>
  </r>
  <r>
    <n v="200244"/>
    <x v="73"/>
    <n v="23"/>
    <s v="CDMX"/>
    <n v="585"/>
    <x v="30"/>
    <x v="1"/>
    <x v="0"/>
  </r>
  <r>
    <n v="200245"/>
    <x v="141"/>
    <n v="23"/>
    <s v="Puebla"/>
    <n v="756"/>
    <x v="30"/>
    <x v="1"/>
    <x v="0"/>
  </r>
  <r>
    <n v="200246"/>
    <x v="64"/>
    <n v="2"/>
    <s v="Michoacán"/>
    <n v="616"/>
    <x v="6"/>
    <x v="1"/>
    <x v="1"/>
  </r>
  <r>
    <n v="200247"/>
    <x v="119"/>
    <n v="13"/>
    <s v="Jalisco"/>
    <n v="1324"/>
    <x v="29"/>
    <x v="1"/>
    <x v="1"/>
  </r>
  <r>
    <n v="200248"/>
    <x v="75"/>
    <n v="9"/>
    <s v="Jalisco"/>
    <n v="1366"/>
    <x v="10"/>
    <x v="2"/>
    <x v="1"/>
  </r>
  <r>
    <n v="200249"/>
    <x v="128"/>
    <n v="21"/>
    <s v="Sonora"/>
    <n v="1775"/>
    <x v="13"/>
    <x v="2"/>
    <x v="2"/>
  </r>
  <r>
    <n v="200250"/>
    <x v="66"/>
    <n v="13"/>
    <s v="Paraguay"/>
    <n v="1949"/>
    <x v="29"/>
    <x v="1"/>
    <x v="3"/>
  </r>
  <r>
    <n v="200251"/>
    <x v="23"/>
    <n v="11"/>
    <s v="CDMX"/>
    <n v="1625"/>
    <x v="17"/>
    <x v="3"/>
    <x v="0"/>
  </r>
  <r>
    <n v="200252"/>
    <x v="87"/>
    <n v="22"/>
    <s v="Jalisco"/>
    <n v="294"/>
    <x v="7"/>
    <x v="0"/>
    <x v="1"/>
  </r>
  <r>
    <n v="200253"/>
    <x v="71"/>
    <n v="11"/>
    <s v="Nuevo León"/>
    <n v="1672"/>
    <x v="17"/>
    <x v="3"/>
    <x v="2"/>
  </r>
  <r>
    <n v="200254"/>
    <x v="19"/>
    <n v="30"/>
    <s v="Puebla"/>
    <n v="1840"/>
    <x v="0"/>
    <x v="0"/>
    <x v="0"/>
  </r>
  <r>
    <n v="200255"/>
    <x v="86"/>
    <n v="21"/>
    <s v="CDMX"/>
    <n v="848"/>
    <x v="13"/>
    <x v="2"/>
    <x v="0"/>
  </r>
  <r>
    <n v="200256"/>
    <x v="124"/>
    <n v="12"/>
    <s v="Nuevo León"/>
    <n v="1242"/>
    <x v="1"/>
    <x v="0"/>
    <x v="2"/>
  </r>
  <r>
    <n v="200257"/>
    <x v="83"/>
    <n v="16"/>
    <s v="Sonora"/>
    <n v="1067"/>
    <x v="19"/>
    <x v="3"/>
    <x v="2"/>
  </r>
  <r>
    <n v="200258"/>
    <x v="32"/>
    <n v="14"/>
    <s v="Sonora"/>
    <n v="1942"/>
    <x v="3"/>
    <x v="0"/>
    <x v="2"/>
  </r>
  <r>
    <n v="200259"/>
    <x v="34"/>
    <n v="30"/>
    <s v="Sonora"/>
    <n v="1304"/>
    <x v="0"/>
    <x v="0"/>
    <x v="2"/>
  </r>
  <r>
    <n v="200260"/>
    <x v="142"/>
    <n v="23"/>
    <s v="CDMX"/>
    <n v="1171"/>
    <x v="30"/>
    <x v="1"/>
    <x v="0"/>
  </r>
  <r>
    <n v="200261"/>
    <x v="91"/>
    <n v="2"/>
    <s v="Edo. Mex"/>
    <n v="976"/>
    <x v="6"/>
    <x v="1"/>
    <x v="0"/>
  </r>
  <r>
    <n v="200262"/>
    <x v="53"/>
    <n v="8"/>
    <s v="Nuevo León"/>
    <n v="1557"/>
    <x v="21"/>
    <x v="2"/>
    <x v="2"/>
  </r>
  <r>
    <n v="200263"/>
    <x v="5"/>
    <n v="13"/>
    <s v="Edo. Mex"/>
    <n v="1829"/>
    <x v="29"/>
    <x v="1"/>
    <x v="0"/>
  </r>
  <r>
    <n v="200264"/>
    <x v="135"/>
    <n v="32"/>
    <s v="Edo. Mex"/>
    <n v="354"/>
    <x v="4"/>
    <x v="0"/>
    <x v="0"/>
  </r>
  <r>
    <n v="200265"/>
    <x v="42"/>
    <n v="8"/>
    <s v="Jalisco"/>
    <n v="1753"/>
    <x v="21"/>
    <x v="2"/>
    <x v="1"/>
  </r>
  <r>
    <n v="200266"/>
    <x v="44"/>
    <n v="13"/>
    <s v="Puebla"/>
    <n v="124"/>
    <x v="29"/>
    <x v="1"/>
    <x v="0"/>
  </r>
  <r>
    <n v="200267"/>
    <x v="46"/>
    <n v="2"/>
    <s v="Sonora"/>
    <n v="488"/>
    <x v="6"/>
    <x v="1"/>
    <x v="2"/>
  </r>
  <r>
    <n v="200268"/>
    <x v="89"/>
    <n v="26"/>
    <s v="Edo. Mex"/>
    <n v="814"/>
    <x v="26"/>
    <x v="0"/>
    <x v="0"/>
  </r>
  <r>
    <n v="200269"/>
    <x v="73"/>
    <n v="25"/>
    <s v="Sonora"/>
    <n v="974"/>
    <x v="16"/>
    <x v="2"/>
    <x v="2"/>
  </r>
  <r>
    <n v="200270"/>
    <x v="11"/>
    <n v="17"/>
    <s v="Puebla"/>
    <n v="1292"/>
    <x v="28"/>
    <x v="3"/>
    <x v="0"/>
  </r>
  <r>
    <n v="200271"/>
    <x v="143"/>
    <n v="23"/>
    <s v="Edo. Mex"/>
    <n v="1398"/>
    <x v="30"/>
    <x v="1"/>
    <x v="0"/>
  </r>
  <r>
    <n v="200272"/>
    <x v="138"/>
    <n v="32"/>
    <s v="Paraguay"/>
    <n v="106"/>
    <x v="4"/>
    <x v="0"/>
    <x v="3"/>
  </r>
  <r>
    <n v="200273"/>
    <x v="91"/>
    <n v="11"/>
    <s v="Michoacán"/>
    <n v="1772"/>
    <x v="17"/>
    <x v="3"/>
    <x v="1"/>
  </r>
  <r>
    <n v="200274"/>
    <x v="35"/>
    <n v="5"/>
    <s v="Paraguay"/>
    <n v="1614"/>
    <x v="15"/>
    <x v="0"/>
    <x v="3"/>
  </r>
  <r>
    <n v="200275"/>
    <x v="69"/>
    <n v="5"/>
    <s v="Michoacán"/>
    <n v="1559"/>
    <x v="15"/>
    <x v="0"/>
    <x v="1"/>
  </r>
  <r>
    <n v="200276"/>
    <x v="101"/>
    <n v="5"/>
    <s v="Paraguay"/>
    <n v="148"/>
    <x v="15"/>
    <x v="0"/>
    <x v="3"/>
  </r>
  <r>
    <n v="200277"/>
    <x v="90"/>
    <n v="29"/>
    <s v="Paraguay"/>
    <n v="502"/>
    <x v="22"/>
    <x v="2"/>
    <x v="3"/>
  </r>
  <r>
    <n v="200278"/>
    <x v="53"/>
    <n v="2"/>
    <s v="CDMX"/>
    <n v="637"/>
    <x v="6"/>
    <x v="1"/>
    <x v="0"/>
  </r>
  <r>
    <n v="200279"/>
    <x v="80"/>
    <n v="12"/>
    <s v="Jalisco"/>
    <n v="541"/>
    <x v="1"/>
    <x v="0"/>
    <x v="1"/>
  </r>
  <r>
    <n v="200280"/>
    <x v="23"/>
    <n v="5"/>
    <s v="Nuevo León"/>
    <n v="515"/>
    <x v="15"/>
    <x v="0"/>
    <x v="2"/>
  </r>
  <r>
    <n v="200281"/>
    <x v="99"/>
    <n v="18"/>
    <s v="Sonora"/>
    <n v="1759"/>
    <x v="31"/>
    <x v="3"/>
    <x v="2"/>
  </r>
  <r>
    <n v="200282"/>
    <x v="26"/>
    <n v="16"/>
    <s v="Nuevo León"/>
    <n v="1457"/>
    <x v="19"/>
    <x v="3"/>
    <x v="2"/>
  </r>
  <r>
    <n v="200283"/>
    <x v="144"/>
    <n v="9"/>
    <s v="Edo. Mex"/>
    <n v="1427"/>
    <x v="10"/>
    <x v="2"/>
    <x v="0"/>
  </r>
  <r>
    <n v="200284"/>
    <x v="87"/>
    <n v="5"/>
    <s v="Nuevo León"/>
    <n v="1506"/>
    <x v="15"/>
    <x v="0"/>
    <x v="2"/>
  </r>
  <r>
    <n v="200285"/>
    <x v="40"/>
    <n v="10"/>
    <s v="Sonora"/>
    <n v="757"/>
    <x v="18"/>
    <x v="3"/>
    <x v="2"/>
  </r>
  <r>
    <n v="200286"/>
    <x v="32"/>
    <n v="20"/>
    <s v="Jalisco"/>
    <n v="844"/>
    <x v="2"/>
    <x v="1"/>
    <x v="1"/>
  </r>
  <r>
    <n v="200287"/>
    <x v="130"/>
    <n v="4"/>
    <s v="Nuevo León"/>
    <n v="1824"/>
    <x v="5"/>
    <x v="1"/>
    <x v="2"/>
  </r>
  <r>
    <n v="200288"/>
    <x v="145"/>
    <n v="17"/>
    <s v="Paraguay"/>
    <n v="1239"/>
    <x v="28"/>
    <x v="3"/>
    <x v="3"/>
  </r>
  <r>
    <n v="200289"/>
    <x v="26"/>
    <n v="7"/>
    <s v="Nuevo León"/>
    <n v="522"/>
    <x v="24"/>
    <x v="3"/>
    <x v="2"/>
  </r>
  <r>
    <n v="200290"/>
    <x v="8"/>
    <n v="18"/>
    <s v="Edo. Mex"/>
    <n v="566"/>
    <x v="31"/>
    <x v="3"/>
    <x v="0"/>
  </r>
  <r>
    <n v="200291"/>
    <x v="65"/>
    <n v="32"/>
    <s v="Sonora"/>
    <n v="823"/>
    <x v="4"/>
    <x v="0"/>
    <x v="2"/>
  </r>
  <r>
    <n v="200292"/>
    <x v="65"/>
    <n v="1"/>
    <s v="Sonora"/>
    <n v="580"/>
    <x v="20"/>
    <x v="0"/>
    <x v="2"/>
  </r>
  <r>
    <n v="200293"/>
    <x v="116"/>
    <n v="3"/>
    <s v="Michoacán"/>
    <n v="1617"/>
    <x v="12"/>
    <x v="1"/>
    <x v="1"/>
  </r>
  <r>
    <n v="200294"/>
    <x v="146"/>
    <n v="20"/>
    <s v="Nuevo León"/>
    <n v="1792"/>
    <x v="2"/>
    <x v="1"/>
    <x v="2"/>
  </r>
  <r>
    <n v="200295"/>
    <x v="86"/>
    <n v="13"/>
    <s v="Sonora"/>
    <n v="527"/>
    <x v="29"/>
    <x v="1"/>
    <x v="2"/>
  </r>
  <r>
    <n v="200296"/>
    <x v="23"/>
    <n v="24"/>
    <s v="Michoacán"/>
    <n v="264"/>
    <x v="27"/>
    <x v="3"/>
    <x v="1"/>
  </r>
  <r>
    <n v="200297"/>
    <x v="120"/>
    <n v="26"/>
    <s v="Jalisco"/>
    <n v="665"/>
    <x v="26"/>
    <x v="0"/>
    <x v="1"/>
  </r>
  <r>
    <n v="200298"/>
    <x v="83"/>
    <n v="24"/>
    <s v="Puebla"/>
    <n v="1557"/>
    <x v="27"/>
    <x v="3"/>
    <x v="0"/>
  </r>
  <r>
    <n v="200299"/>
    <x v="12"/>
    <n v="2"/>
    <s v="Nuevo León"/>
    <n v="1457"/>
    <x v="6"/>
    <x v="1"/>
    <x v="2"/>
  </r>
  <r>
    <n v="200300"/>
    <x v="119"/>
    <n v="25"/>
    <s v="Edo. Mex"/>
    <n v="1924"/>
    <x v="16"/>
    <x v="2"/>
    <x v="0"/>
  </r>
  <r>
    <n v="200301"/>
    <x v="43"/>
    <n v="7"/>
    <s v="Nuevo León"/>
    <n v="1317"/>
    <x v="24"/>
    <x v="3"/>
    <x v="2"/>
  </r>
  <r>
    <n v="200302"/>
    <x v="129"/>
    <n v="21"/>
    <s v="Puebla"/>
    <n v="1638"/>
    <x v="13"/>
    <x v="2"/>
    <x v="0"/>
  </r>
  <r>
    <n v="200303"/>
    <x v="60"/>
    <n v="22"/>
    <s v="Puebla"/>
    <n v="1024"/>
    <x v="7"/>
    <x v="0"/>
    <x v="0"/>
  </r>
  <r>
    <n v="200304"/>
    <x v="147"/>
    <n v="30"/>
    <s v="Nuevo León"/>
    <n v="649"/>
    <x v="0"/>
    <x v="0"/>
    <x v="2"/>
  </r>
  <r>
    <n v="200305"/>
    <x v="62"/>
    <n v="31"/>
    <s v="Nuevo León"/>
    <n v="845"/>
    <x v="14"/>
    <x v="1"/>
    <x v="2"/>
  </r>
  <r>
    <n v="200306"/>
    <x v="7"/>
    <n v="9"/>
    <s v="Paraguay"/>
    <n v="1785"/>
    <x v="10"/>
    <x v="2"/>
    <x v="3"/>
  </r>
  <r>
    <n v="200307"/>
    <x v="120"/>
    <n v="18"/>
    <s v="Jalisco"/>
    <n v="1626"/>
    <x v="31"/>
    <x v="3"/>
    <x v="1"/>
  </r>
  <r>
    <n v="200308"/>
    <x v="148"/>
    <n v="12"/>
    <s v="Sonora"/>
    <n v="426"/>
    <x v="1"/>
    <x v="0"/>
    <x v="2"/>
  </r>
  <r>
    <n v="200309"/>
    <x v="25"/>
    <n v="9"/>
    <s v="Sonora"/>
    <n v="1783"/>
    <x v="10"/>
    <x v="2"/>
    <x v="2"/>
  </r>
  <r>
    <n v="200310"/>
    <x v="62"/>
    <n v="25"/>
    <s v="Edo. Mex"/>
    <n v="1878"/>
    <x v="16"/>
    <x v="2"/>
    <x v="0"/>
  </r>
  <r>
    <n v="200311"/>
    <x v="68"/>
    <n v="30"/>
    <s v="CDMX"/>
    <n v="781"/>
    <x v="0"/>
    <x v="0"/>
    <x v="0"/>
  </r>
  <r>
    <n v="200312"/>
    <x v="14"/>
    <n v="5"/>
    <s v="Nuevo León"/>
    <n v="1484"/>
    <x v="15"/>
    <x v="0"/>
    <x v="2"/>
  </r>
  <r>
    <n v="200313"/>
    <x v="133"/>
    <n v="3"/>
    <s v="CDMX"/>
    <n v="924"/>
    <x v="12"/>
    <x v="1"/>
    <x v="0"/>
  </r>
  <r>
    <n v="200314"/>
    <x v="149"/>
    <n v="2"/>
    <s v="CDMX"/>
    <n v="962"/>
    <x v="6"/>
    <x v="1"/>
    <x v="0"/>
  </r>
  <r>
    <n v="200315"/>
    <x v="2"/>
    <n v="28"/>
    <s v="Nuevo León"/>
    <n v="456"/>
    <x v="9"/>
    <x v="0"/>
    <x v="2"/>
  </r>
  <r>
    <n v="200316"/>
    <x v="17"/>
    <n v="10"/>
    <s v="Michoacán"/>
    <n v="676"/>
    <x v="18"/>
    <x v="3"/>
    <x v="1"/>
  </r>
  <r>
    <n v="200317"/>
    <x v="96"/>
    <n v="16"/>
    <s v="Sonora"/>
    <n v="777"/>
    <x v="19"/>
    <x v="3"/>
    <x v="2"/>
  </r>
  <r>
    <n v="200318"/>
    <x v="150"/>
    <n v="28"/>
    <s v="Puebla"/>
    <n v="1200"/>
    <x v="9"/>
    <x v="0"/>
    <x v="0"/>
  </r>
  <r>
    <n v="200319"/>
    <x v="107"/>
    <n v="25"/>
    <s v="Michoacán"/>
    <n v="781"/>
    <x v="16"/>
    <x v="2"/>
    <x v="1"/>
  </r>
  <r>
    <n v="200320"/>
    <x v="116"/>
    <n v="17"/>
    <s v="Edo. Mex"/>
    <n v="979"/>
    <x v="28"/>
    <x v="3"/>
    <x v="0"/>
  </r>
  <r>
    <n v="200321"/>
    <x v="23"/>
    <n v="31"/>
    <s v="Paraguay"/>
    <n v="207"/>
    <x v="14"/>
    <x v="1"/>
    <x v="3"/>
  </r>
  <r>
    <n v="200322"/>
    <x v="95"/>
    <n v="29"/>
    <s v="Jalisco"/>
    <n v="834"/>
    <x v="22"/>
    <x v="2"/>
    <x v="1"/>
  </r>
  <r>
    <n v="200323"/>
    <x v="78"/>
    <n v="29"/>
    <s v="Sonora"/>
    <n v="1802"/>
    <x v="22"/>
    <x v="2"/>
    <x v="2"/>
  </r>
  <r>
    <n v="200324"/>
    <x v="83"/>
    <n v="1"/>
    <s v="Paraguay"/>
    <n v="1952"/>
    <x v="20"/>
    <x v="0"/>
    <x v="3"/>
  </r>
  <r>
    <n v="200325"/>
    <x v="94"/>
    <n v="18"/>
    <s v="Nuevo León"/>
    <n v="696"/>
    <x v="31"/>
    <x v="3"/>
    <x v="2"/>
  </r>
  <r>
    <n v="200326"/>
    <x v="139"/>
    <n v="9"/>
    <s v="Jalisco"/>
    <n v="202"/>
    <x v="10"/>
    <x v="2"/>
    <x v="1"/>
  </r>
  <r>
    <n v="200327"/>
    <x v="56"/>
    <n v="14"/>
    <s v="Puebla"/>
    <n v="1139"/>
    <x v="3"/>
    <x v="0"/>
    <x v="0"/>
  </r>
  <r>
    <n v="200328"/>
    <x v="26"/>
    <n v="7"/>
    <s v="Sonora"/>
    <n v="1844"/>
    <x v="24"/>
    <x v="3"/>
    <x v="2"/>
  </r>
  <r>
    <n v="200329"/>
    <x v="19"/>
    <n v="18"/>
    <s v="Sonora"/>
    <n v="969"/>
    <x v="31"/>
    <x v="3"/>
    <x v="2"/>
  </r>
  <r>
    <n v="200330"/>
    <x v="11"/>
    <n v="25"/>
    <s v="Nuevo León"/>
    <n v="1985"/>
    <x v="16"/>
    <x v="2"/>
    <x v="2"/>
  </r>
  <r>
    <n v="200331"/>
    <x v="35"/>
    <n v="15"/>
    <s v="Nuevo León"/>
    <n v="1741"/>
    <x v="25"/>
    <x v="0"/>
    <x v="2"/>
  </r>
  <r>
    <n v="200332"/>
    <x v="1"/>
    <n v="16"/>
    <s v="Nuevo León"/>
    <n v="250"/>
    <x v="19"/>
    <x v="3"/>
    <x v="2"/>
  </r>
  <r>
    <n v="200333"/>
    <x v="151"/>
    <n v="1"/>
    <s v="Edo. Mex"/>
    <n v="1382"/>
    <x v="20"/>
    <x v="0"/>
    <x v="0"/>
  </r>
  <r>
    <n v="200334"/>
    <x v="97"/>
    <n v="5"/>
    <s v="Puebla"/>
    <n v="1900"/>
    <x v="15"/>
    <x v="0"/>
    <x v="0"/>
  </r>
  <r>
    <n v="200335"/>
    <x v="112"/>
    <n v="9"/>
    <s v="Sonora"/>
    <n v="691"/>
    <x v="10"/>
    <x v="2"/>
    <x v="2"/>
  </r>
  <r>
    <n v="200336"/>
    <x v="130"/>
    <n v="8"/>
    <s v="Sonora"/>
    <n v="1088"/>
    <x v="21"/>
    <x v="2"/>
    <x v="2"/>
  </r>
  <r>
    <n v="200337"/>
    <x v="48"/>
    <n v="4"/>
    <s v="Paraguay"/>
    <n v="1879"/>
    <x v="5"/>
    <x v="1"/>
    <x v="3"/>
  </r>
  <r>
    <n v="200338"/>
    <x v="23"/>
    <n v="28"/>
    <s v="Sonora"/>
    <n v="671"/>
    <x v="9"/>
    <x v="0"/>
    <x v="2"/>
  </r>
  <r>
    <n v="200339"/>
    <x v="45"/>
    <n v="26"/>
    <s v="Edo. Mex"/>
    <n v="1791"/>
    <x v="26"/>
    <x v="0"/>
    <x v="0"/>
  </r>
  <r>
    <n v="200340"/>
    <x v="12"/>
    <n v="3"/>
    <s v="Edo. Mex"/>
    <n v="309"/>
    <x v="12"/>
    <x v="1"/>
    <x v="0"/>
  </r>
  <r>
    <n v="200341"/>
    <x v="115"/>
    <n v="3"/>
    <s v="Sonora"/>
    <n v="888"/>
    <x v="12"/>
    <x v="1"/>
    <x v="2"/>
  </r>
  <r>
    <n v="200342"/>
    <x v="77"/>
    <n v="7"/>
    <s v="Sonora"/>
    <n v="1194"/>
    <x v="24"/>
    <x v="3"/>
    <x v="2"/>
  </r>
  <r>
    <n v="200343"/>
    <x v="28"/>
    <n v="3"/>
    <s v="Sonora"/>
    <n v="1829"/>
    <x v="12"/>
    <x v="1"/>
    <x v="2"/>
  </r>
  <r>
    <n v="200344"/>
    <x v="125"/>
    <n v="6"/>
    <s v="Edo. Mex"/>
    <n v="390"/>
    <x v="11"/>
    <x v="2"/>
    <x v="0"/>
  </r>
  <r>
    <n v="200345"/>
    <x v="42"/>
    <n v="13"/>
    <s v="Edo. Mex"/>
    <n v="880"/>
    <x v="29"/>
    <x v="1"/>
    <x v="0"/>
  </r>
  <r>
    <n v="200346"/>
    <x v="97"/>
    <n v="13"/>
    <s v="Jalisco"/>
    <n v="506"/>
    <x v="29"/>
    <x v="1"/>
    <x v="1"/>
  </r>
  <r>
    <n v="200347"/>
    <x v="137"/>
    <n v="28"/>
    <s v="Paraguay"/>
    <n v="1940"/>
    <x v="9"/>
    <x v="0"/>
    <x v="3"/>
  </r>
  <r>
    <n v="200348"/>
    <x v="82"/>
    <n v="9"/>
    <s v="Jalisco"/>
    <n v="920"/>
    <x v="10"/>
    <x v="2"/>
    <x v="1"/>
  </r>
  <r>
    <n v="200349"/>
    <x v="152"/>
    <n v="10"/>
    <s v="Paraguay"/>
    <n v="692"/>
    <x v="18"/>
    <x v="3"/>
    <x v="3"/>
  </r>
  <r>
    <n v="200350"/>
    <x v="118"/>
    <n v="3"/>
    <s v="Puebla"/>
    <n v="224"/>
    <x v="12"/>
    <x v="1"/>
    <x v="0"/>
  </r>
  <r>
    <n v="200351"/>
    <x v="123"/>
    <n v="3"/>
    <s v="Puebla"/>
    <n v="1859"/>
    <x v="12"/>
    <x v="1"/>
    <x v="0"/>
  </r>
  <r>
    <n v="200352"/>
    <x v="153"/>
    <n v="31"/>
    <s v="Sonora"/>
    <n v="231"/>
    <x v="14"/>
    <x v="1"/>
    <x v="2"/>
  </r>
  <r>
    <n v="200353"/>
    <x v="68"/>
    <n v="11"/>
    <s v="Edo. Mex"/>
    <n v="1685"/>
    <x v="17"/>
    <x v="3"/>
    <x v="0"/>
  </r>
  <r>
    <n v="200354"/>
    <x v="57"/>
    <n v="26"/>
    <s v="Nuevo León"/>
    <n v="1081"/>
    <x v="26"/>
    <x v="0"/>
    <x v="2"/>
  </r>
  <r>
    <n v="200355"/>
    <x v="73"/>
    <n v="17"/>
    <s v="Paraguay"/>
    <n v="192"/>
    <x v="28"/>
    <x v="3"/>
    <x v="3"/>
  </r>
  <r>
    <n v="200356"/>
    <x v="127"/>
    <n v="21"/>
    <s v="Puebla"/>
    <n v="556"/>
    <x v="13"/>
    <x v="2"/>
    <x v="0"/>
  </r>
  <r>
    <n v="200357"/>
    <x v="70"/>
    <n v="7"/>
    <s v="Sonora"/>
    <n v="442"/>
    <x v="24"/>
    <x v="3"/>
    <x v="2"/>
  </r>
  <r>
    <n v="200358"/>
    <x v="13"/>
    <n v="8"/>
    <s v="Sonora"/>
    <n v="1289"/>
    <x v="21"/>
    <x v="2"/>
    <x v="2"/>
  </r>
  <r>
    <n v="200359"/>
    <x v="4"/>
    <n v="7"/>
    <s v="Jalisco"/>
    <n v="732"/>
    <x v="24"/>
    <x v="3"/>
    <x v="1"/>
  </r>
  <r>
    <n v="200360"/>
    <x v="44"/>
    <n v="28"/>
    <s v="Paraguay"/>
    <n v="1320"/>
    <x v="9"/>
    <x v="0"/>
    <x v="3"/>
  </r>
  <r>
    <n v="200361"/>
    <x v="154"/>
    <n v="19"/>
    <s v="CDMX"/>
    <n v="1892"/>
    <x v="23"/>
    <x v="3"/>
    <x v="0"/>
  </r>
  <r>
    <n v="200362"/>
    <x v="155"/>
    <n v="13"/>
    <s v="Puebla"/>
    <n v="1720"/>
    <x v="29"/>
    <x v="1"/>
    <x v="0"/>
  </r>
  <r>
    <n v="200363"/>
    <x v="98"/>
    <n v="16"/>
    <s v="Sonora"/>
    <n v="133"/>
    <x v="19"/>
    <x v="3"/>
    <x v="2"/>
  </r>
  <r>
    <n v="200364"/>
    <x v="123"/>
    <n v="13"/>
    <s v="Michoacán"/>
    <n v="1530"/>
    <x v="29"/>
    <x v="1"/>
    <x v="1"/>
  </r>
  <r>
    <n v="200365"/>
    <x v="105"/>
    <n v="28"/>
    <s v="Michoacán"/>
    <n v="1941"/>
    <x v="9"/>
    <x v="0"/>
    <x v="1"/>
  </r>
  <r>
    <n v="200366"/>
    <x v="116"/>
    <n v="4"/>
    <s v="CDMX"/>
    <n v="301"/>
    <x v="5"/>
    <x v="1"/>
    <x v="0"/>
  </r>
  <r>
    <n v="200367"/>
    <x v="25"/>
    <n v="3"/>
    <s v="Edo. Mex"/>
    <n v="810"/>
    <x v="12"/>
    <x v="1"/>
    <x v="0"/>
  </r>
  <r>
    <n v="200368"/>
    <x v="135"/>
    <n v="17"/>
    <s v="Edo. Mex"/>
    <n v="1087"/>
    <x v="28"/>
    <x v="3"/>
    <x v="0"/>
  </r>
  <r>
    <n v="200369"/>
    <x v="156"/>
    <n v="19"/>
    <s v="CDMX"/>
    <n v="967"/>
    <x v="23"/>
    <x v="3"/>
    <x v="0"/>
  </r>
  <r>
    <n v="200370"/>
    <x v="61"/>
    <n v="18"/>
    <s v="Nuevo León"/>
    <n v="826"/>
    <x v="31"/>
    <x v="3"/>
    <x v="2"/>
  </r>
  <r>
    <n v="200371"/>
    <x v="104"/>
    <n v="30"/>
    <s v="Puebla"/>
    <n v="1494"/>
    <x v="0"/>
    <x v="0"/>
    <x v="0"/>
  </r>
  <r>
    <n v="200372"/>
    <x v="75"/>
    <n v="2"/>
    <s v="Jalisco"/>
    <n v="878"/>
    <x v="6"/>
    <x v="1"/>
    <x v="1"/>
  </r>
  <r>
    <n v="200373"/>
    <x v="130"/>
    <n v="9"/>
    <s v="CDMX"/>
    <n v="1429"/>
    <x v="10"/>
    <x v="2"/>
    <x v="0"/>
  </r>
  <r>
    <n v="200374"/>
    <x v="29"/>
    <n v="3"/>
    <s v="Michoacán"/>
    <n v="1519"/>
    <x v="12"/>
    <x v="1"/>
    <x v="1"/>
  </r>
  <r>
    <n v="200375"/>
    <x v="26"/>
    <n v="24"/>
    <s v="Jalisco"/>
    <n v="1382"/>
    <x v="27"/>
    <x v="3"/>
    <x v="1"/>
  </r>
  <r>
    <n v="200376"/>
    <x v="157"/>
    <n v="10"/>
    <s v="Edo. Mex"/>
    <n v="366"/>
    <x v="18"/>
    <x v="3"/>
    <x v="0"/>
  </r>
  <r>
    <n v="200377"/>
    <x v="153"/>
    <n v="1"/>
    <s v="Michoacán"/>
    <n v="1082"/>
    <x v="20"/>
    <x v="0"/>
    <x v="1"/>
  </r>
  <r>
    <n v="200378"/>
    <x v="52"/>
    <n v="18"/>
    <s v="Paraguay"/>
    <n v="1702"/>
    <x v="31"/>
    <x v="3"/>
    <x v="3"/>
  </r>
  <r>
    <n v="200379"/>
    <x v="101"/>
    <n v="7"/>
    <s v="Edo. Mex"/>
    <n v="853"/>
    <x v="24"/>
    <x v="3"/>
    <x v="0"/>
  </r>
  <r>
    <n v="200380"/>
    <x v="158"/>
    <n v="22"/>
    <s v="CDMX"/>
    <n v="320"/>
    <x v="7"/>
    <x v="0"/>
    <x v="0"/>
  </r>
  <r>
    <n v="200381"/>
    <x v="3"/>
    <n v="15"/>
    <s v="Michoacán"/>
    <n v="262"/>
    <x v="25"/>
    <x v="0"/>
    <x v="1"/>
  </r>
  <r>
    <n v="200382"/>
    <x v="60"/>
    <n v="19"/>
    <s v="Michoacán"/>
    <n v="1127"/>
    <x v="23"/>
    <x v="3"/>
    <x v="1"/>
  </r>
  <r>
    <n v="200383"/>
    <x v="159"/>
    <n v="11"/>
    <s v="Paraguay"/>
    <n v="1843"/>
    <x v="17"/>
    <x v="3"/>
    <x v="3"/>
  </r>
  <r>
    <n v="200384"/>
    <x v="56"/>
    <n v="30"/>
    <s v="Michoacán"/>
    <n v="1150"/>
    <x v="0"/>
    <x v="0"/>
    <x v="1"/>
  </r>
  <r>
    <n v="200385"/>
    <x v="133"/>
    <n v="8"/>
    <s v="Michoacán"/>
    <n v="1483"/>
    <x v="21"/>
    <x v="2"/>
    <x v="1"/>
  </r>
  <r>
    <n v="200386"/>
    <x v="60"/>
    <n v="12"/>
    <s v="Puebla"/>
    <n v="414"/>
    <x v="1"/>
    <x v="0"/>
    <x v="0"/>
  </r>
  <r>
    <n v="200387"/>
    <x v="52"/>
    <n v="4"/>
    <s v="Michoacán"/>
    <n v="396"/>
    <x v="5"/>
    <x v="1"/>
    <x v="1"/>
  </r>
  <r>
    <n v="200388"/>
    <x v="109"/>
    <n v="3"/>
    <s v="Nuevo León"/>
    <n v="1491"/>
    <x v="12"/>
    <x v="1"/>
    <x v="2"/>
  </r>
  <r>
    <n v="200389"/>
    <x v="18"/>
    <n v="28"/>
    <s v="Puebla"/>
    <n v="850"/>
    <x v="9"/>
    <x v="0"/>
    <x v="0"/>
  </r>
  <r>
    <n v="200390"/>
    <x v="60"/>
    <n v="24"/>
    <s v="Paraguay"/>
    <n v="1186"/>
    <x v="27"/>
    <x v="3"/>
    <x v="3"/>
  </r>
  <r>
    <n v="200391"/>
    <x v="87"/>
    <n v="5"/>
    <s v="Edo. Mex"/>
    <n v="1677"/>
    <x v="15"/>
    <x v="0"/>
    <x v="0"/>
  </r>
  <r>
    <n v="200392"/>
    <x v="49"/>
    <n v="20"/>
    <s v="Puebla"/>
    <n v="1352"/>
    <x v="2"/>
    <x v="1"/>
    <x v="0"/>
  </r>
  <r>
    <n v="200393"/>
    <x v="1"/>
    <n v="5"/>
    <s v="Edo. Mex"/>
    <n v="1708"/>
    <x v="15"/>
    <x v="0"/>
    <x v="0"/>
  </r>
  <r>
    <n v="200394"/>
    <x v="85"/>
    <n v="4"/>
    <s v="Nuevo León"/>
    <n v="275"/>
    <x v="5"/>
    <x v="1"/>
    <x v="2"/>
  </r>
  <r>
    <n v="200395"/>
    <x v="53"/>
    <n v="13"/>
    <s v="CDMX"/>
    <n v="106"/>
    <x v="29"/>
    <x v="1"/>
    <x v="0"/>
  </r>
  <r>
    <n v="200396"/>
    <x v="3"/>
    <n v="8"/>
    <s v="Sonora"/>
    <n v="1199"/>
    <x v="21"/>
    <x v="2"/>
    <x v="2"/>
  </r>
  <r>
    <n v="200397"/>
    <x v="52"/>
    <n v="6"/>
    <s v="Edo. Mex"/>
    <n v="1305"/>
    <x v="11"/>
    <x v="2"/>
    <x v="0"/>
  </r>
  <r>
    <n v="200398"/>
    <x v="62"/>
    <n v="32"/>
    <s v="CDMX"/>
    <n v="985"/>
    <x v="4"/>
    <x v="0"/>
    <x v="0"/>
  </r>
  <r>
    <n v="200399"/>
    <x v="127"/>
    <n v="8"/>
    <s v="Paraguay"/>
    <n v="506"/>
    <x v="21"/>
    <x v="2"/>
    <x v="3"/>
  </r>
  <r>
    <n v="200400"/>
    <x v="40"/>
    <n v="11"/>
    <s v="Paraguay"/>
    <n v="302"/>
    <x v="17"/>
    <x v="3"/>
    <x v="3"/>
  </r>
  <r>
    <n v="200401"/>
    <x v="3"/>
    <n v="11"/>
    <s v="Sonora"/>
    <n v="1689"/>
    <x v="17"/>
    <x v="3"/>
    <x v="2"/>
  </r>
  <r>
    <n v="200402"/>
    <x v="59"/>
    <n v="29"/>
    <s v="Nuevo León"/>
    <n v="841"/>
    <x v="22"/>
    <x v="2"/>
    <x v="2"/>
  </r>
  <r>
    <n v="200403"/>
    <x v="160"/>
    <n v="11"/>
    <s v="CDMX"/>
    <n v="1843"/>
    <x v="17"/>
    <x v="3"/>
    <x v="0"/>
  </r>
  <r>
    <n v="200404"/>
    <x v="79"/>
    <n v="3"/>
    <s v="Paraguay"/>
    <n v="748"/>
    <x v="12"/>
    <x v="1"/>
    <x v="3"/>
  </r>
  <r>
    <n v="200405"/>
    <x v="80"/>
    <n v="19"/>
    <s v="Sonora"/>
    <n v="766"/>
    <x v="23"/>
    <x v="3"/>
    <x v="2"/>
  </r>
  <r>
    <n v="200406"/>
    <x v="57"/>
    <n v="4"/>
    <s v="CDMX"/>
    <n v="1379"/>
    <x v="5"/>
    <x v="1"/>
    <x v="0"/>
  </r>
  <r>
    <n v="200407"/>
    <x v="115"/>
    <n v="19"/>
    <s v="Puebla"/>
    <n v="216"/>
    <x v="23"/>
    <x v="3"/>
    <x v="0"/>
  </r>
  <r>
    <n v="200408"/>
    <x v="102"/>
    <n v="22"/>
    <s v="Edo. Mex"/>
    <n v="724"/>
    <x v="7"/>
    <x v="0"/>
    <x v="0"/>
  </r>
  <r>
    <n v="200409"/>
    <x v="148"/>
    <n v="23"/>
    <s v="Nuevo León"/>
    <n v="596"/>
    <x v="30"/>
    <x v="1"/>
    <x v="2"/>
  </r>
  <r>
    <n v="200410"/>
    <x v="28"/>
    <n v="31"/>
    <s v="Nuevo León"/>
    <n v="1482"/>
    <x v="14"/>
    <x v="1"/>
    <x v="2"/>
  </r>
  <r>
    <n v="200411"/>
    <x v="119"/>
    <n v="1"/>
    <s v="Puebla"/>
    <n v="1008"/>
    <x v="20"/>
    <x v="0"/>
    <x v="0"/>
  </r>
  <r>
    <n v="200412"/>
    <x v="85"/>
    <n v="31"/>
    <s v="CDMX"/>
    <n v="1923"/>
    <x v="14"/>
    <x v="1"/>
    <x v="0"/>
  </r>
  <r>
    <n v="200413"/>
    <x v="66"/>
    <n v="20"/>
    <s v="Jalisco"/>
    <n v="1664"/>
    <x v="2"/>
    <x v="1"/>
    <x v="1"/>
  </r>
  <r>
    <n v="200414"/>
    <x v="128"/>
    <n v="7"/>
    <s v="CDMX"/>
    <n v="970"/>
    <x v="24"/>
    <x v="3"/>
    <x v="0"/>
  </r>
  <r>
    <n v="200415"/>
    <x v="71"/>
    <n v="29"/>
    <s v="Jalisco"/>
    <n v="1075"/>
    <x v="22"/>
    <x v="2"/>
    <x v="1"/>
  </r>
  <r>
    <n v="200416"/>
    <x v="82"/>
    <n v="6"/>
    <s v="Michoacán"/>
    <n v="1335"/>
    <x v="11"/>
    <x v="2"/>
    <x v="1"/>
  </r>
  <r>
    <n v="200417"/>
    <x v="143"/>
    <n v="26"/>
    <s v="Edo. Mex"/>
    <n v="577"/>
    <x v="26"/>
    <x v="0"/>
    <x v="0"/>
  </r>
  <r>
    <n v="200418"/>
    <x v="135"/>
    <n v="1"/>
    <s v="Puebla"/>
    <n v="1984"/>
    <x v="20"/>
    <x v="0"/>
    <x v="0"/>
  </r>
  <r>
    <n v="200419"/>
    <x v="33"/>
    <n v="32"/>
    <s v="Michoacán"/>
    <n v="1071"/>
    <x v="4"/>
    <x v="0"/>
    <x v="1"/>
  </r>
  <r>
    <n v="200420"/>
    <x v="36"/>
    <n v="4"/>
    <s v="Paraguay"/>
    <n v="431"/>
    <x v="5"/>
    <x v="1"/>
    <x v="3"/>
  </r>
  <r>
    <n v="200421"/>
    <x v="45"/>
    <n v="2"/>
    <s v="Paraguay"/>
    <n v="1807"/>
    <x v="6"/>
    <x v="1"/>
    <x v="3"/>
  </r>
  <r>
    <n v="200422"/>
    <x v="53"/>
    <n v="32"/>
    <s v="Paraguay"/>
    <n v="1723"/>
    <x v="4"/>
    <x v="0"/>
    <x v="3"/>
  </r>
  <r>
    <n v="200423"/>
    <x v="27"/>
    <n v="28"/>
    <s v="Michoacán"/>
    <n v="410"/>
    <x v="9"/>
    <x v="0"/>
    <x v="1"/>
  </r>
  <r>
    <n v="200424"/>
    <x v="141"/>
    <n v="20"/>
    <s v="Sonora"/>
    <n v="1474"/>
    <x v="2"/>
    <x v="1"/>
    <x v="2"/>
  </r>
  <r>
    <n v="200425"/>
    <x v="1"/>
    <n v="29"/>
    <s v="Edo. Mex"/>
    <n v="1524"/>
    <x v="22"/>
    <x v="2"/>
    <x v="0"/>
  </r>
  <r>
    <n v="200426"/>
    <x v="18"/>
    <n v="8"/>
    <s v="Nuevo León"/>
    <n v="1445"/>
    <x v="21"/>
    <x v="2"/>
    <x v="2"/>
  </r>
  <r>
    <n v="200427"/>
    <x v="115"/>
    <n v="19"/>
    <s v="Paraguay"/>
    <n v="575"/>
    <x v="23"/>
    <x v="3"/>
    <x v="3"/>
  </r>
  <r>
    <n v="200428"/>
    <x v="161"/>
    <n v="25"/>
    <s v="Edo. Mex"/>
    <n v="1900"/>
    <x v="16"/>
    <x v="2"/>
    <x v="0"/>
  </r>
  <r>
    <n v="200429"/>
    <x v="102"/>
    <n v="14"/>
    <s v="Nuevo León"/>
    <n v="1830"/>
    <x v="3"/>
    <x v="0"/>
    <x v="2"/>
  </r>
  <r>
    <n v="200430"/>
    <x v="0"/>
    <n v="7"/>
    <s v="Jalisco"/>
    <n v="1823"/>
    <x v="24"/>
    <x v="3"/>
    <x v="1"/>
  </r>
  <r>
    <n v="200431"/>
    <x v="155"/>
    <n v="11"/>
    <s v="Jalisco"/>
    <n v="465"/>
    <x v="17"/>
    <x v="3"/>
    <x v="1"/>
  </r>
  <r>
    <n v="200432"/>
    <x v="23"/>
    <n v="5"/>
    <s v="Paraguay"/>
    <n v="549"/>
    <x v="15"/>
    <x v="0"/>
    <x v="3"/>
  </r>
  <r>
    <n v="200433"/>
    <x v="61"/>
    <n v="5"/>
    <s v="Sonora"/>
    <n v="1039"/>
    <x v="15"/>
    <x v="0"/>
    <x v="2"/>
  </r>
  <r>
    <n v="200434"/>
    <x v="111"/>
    <n v="29"/>
    <s v="Puebla"/>
    <n v="1396"/>
    <x v="22"/>
    <x v="2"/>
    <x v="0"/>
  </r>
  <r>
    <n v="200435"/>
    <x v="162"/>
    <n v="13"/>
    <s v="Paraguay"/>
    <n v="1036"/>
    <x v="29"/>
    <x v="1"/>
    <x v="3"/>
  </r>
  <r>
    <n v="200436"/>
    <x v="31"/>
    <n v="1"/>
    <s v="CDMX"/>
    <n v="968"/>
    <x v="20"/>
    <x v="0"/>
    <x v="0"/>
  </r>
  <r>
    <n v="200437"/>
    <x v="121"/>
    <n v="16"/>
    <s v="Michoacán"/>
    <n v="1452"/>
    <x v="19"/>
    <x v="3"/>
    <x v="1"/>
  </r>
  <r>
    <n v="200438"/>
    <x v="126"/>
    <n v="11"/>
    <s v="Nuevo León"/>
    <n v="1835"/>
    <x v="17"/>
    <x v="3"/>
    <x v="2"/>
  </r>
  <r>
    <n v="200439"/>
    <x v="151"/>
    <n v="6"/>
    <s v="Edo. Mex"/>
    <n v="1174"/>
    <x v="11"/>
    <x v="2"/>
    <x v="0"/>
  </r>
  <r>
    <n v="200440"/>
    <x v="75"/>
    <n v="29"/>
    <s v="Jalisco"/>
    <n v="1794"/>
    <x v="22"/>
    <x v="2"/>
    <x v="1"/>
  </r>
  <r>
    <n v="200441"/>
    <x v="45"/>
    <n v="32"/>
    <s v="Edo. Mex"/>
    <n v="1688"/>
    <x v="4"/>
    <x v="0"/>
    <x v="0"/>
  </r>
  <r>
    <n v="200442"/>
    <x v="109"/>
    <n v="23"/>
    <s v="Nuevo León"/>
    <n v="1038"/>
    <x v="30"/>
    <x v="1"/>
    <x v="2"/>
  </r>
  <r>
    <n v="200443"/>
    <x v="93"/>
    <n v="4"/>
    <s v="Jalisco"/>
    <n v="1495"/>
    <x v="5"/>
    <x v="1"/>
    <x v="1"/>
  </r>
  <r>
    <n v="200444"/>
    <x v="9"/>
    <n v="12"/>
    <s v="Paraguay"/>
    <n v="335"/>
    <x v="1"/>
    <x v="0"/>
    <x v="3"/>
  </r>
  <r>
    <n v="200445"/>
    <x v="118"/>
    <n v="14"/>
    <s v="CDMX"/>
    <n v="906"/>
    <x v="3"/>
    <x v="0"/>
    <x v="0"/>
  </r>
  <r>
    <n v="200446"/>
    <x v="135"/>
    <n v="9"/>
    <s v="Nuevo León"/>
    <n v="120"/>
    <x v="10"/>
    <x v="2"/>
    <x v="2"/>
  </r>
  <r>
    <n v="200447"/>
    <x v="118"/>
    <n v="21"/>
    <s v="Paraguay"/>
    <n v="1261"/>
    <x v="13"/>
    <x v="2"/>
    <x v="3"/>
  </r>
  <r>
    <n v="200448"/>
    <x v="163"/>
    <n v="29"/>
    <s v="Edo. Mex"/>
    <n v="1463"/>
    <x v="22"/>
    <x v="2"/>
    <x v="0"/>
  </r>
  <r>
    <n v="200449"/>
    <x v="164"/>
    <n v="28"/>
    <s v="Sonora"/>
    <n v="942"/>
    <x v="9"/>
    <x v="0"/>
    <x v="2"/>
  </r>
  <r>
    <n v="200450"/>
    <x v="74"/>
    <n v="10"/>
    <s v="CDMX"/>
    <n v="808"/>
    <x v="18"/>
    <x v="3"/>
    <x v="0"/>
  </r>
  <r>
    <n v="200451"/>
    <x v="67"/>
    <n v="12"/>
    <s v="Paraguay"/>
    <n v="1403"/>
    <x v="1"/>
    <x v="0"/>
    <x v="3"/>
  </r>
  <r>
    <n v="200452"/>
    <x v="165"/>
    <n v="32"/>
    <s v="Edo. Mex"/>
    <n v="315"/>
    <x v="4"/>
    <x v="0"/>
    <x v="0"/>
  </r>
  <r>
    <n v="200453"/>
    <x v="98"/>
    <n v="16"/>
    <s v="CDMX"/>
    <n v="1169"/>
    <x v="19"/>
    <x v="3"/>
    <x v="0"/>
  </r>
  <r>
    <n v="200454"/>
    <x v="150"/>
    <n v="16"/>
    <s v="Nuevo León"/>
    <n v="1500"/>
    <x v="19"/>
    <x v="3"/>
    <x v="2"/>
  </r>
  <r>
    <n v="200455"/>
    <x v="27"/>
    <n v="22"/>
    <s v="Nuevo León"/>
    <n v="1893"/>
    <x v="7"/>
    <x v="0"/>
    <x v="2"/>
  </r>
  <r>
    <n v="200456"/>
    <x v="146"/>
    <n v="21"/>
    <s v="Edo. Mex"/>
    <n v="1122"/>
    <x v="13"/>
    <x v="2"/>
    <x v="0"/>
  </r>
  <r>
    <n v="200457"/>
    <x v="93"/>
    <n v="20"/>
    <s v="CDMX"/>
    <n v="794"/>
    <x v="2"/>
    <x v="1"/>
    <x v="0"/>
  </r>
  <r>
    <n v="200458"/>
    <x v="69"/>
    <n v="28"/>
    <s v="Michoacán"/>
    <n v="146"/>
    <x v="9"/>
    <x v="0"/>
    <x v="1"/>
  </r>
  <r>
    <n v="200459"/>
    <x v="72"/>
    <n v="4"/>
    <s v="Nuevo León"/>
    <n v="1344"/>
    <x v="5"/>
    <x v="1"/>
    <x v="2"/>
  </r>
  <r>
    <n v="200460"/>
    <x v="113"/>
    <n v="7"/>
    <s v="Michoacán"/>
    <n v="1126"/>
    <x v="24"/>
    <x v="3"/>
    <x v="1"/>
  </r>
  <r>
    <n v="200461"/>
    <x v="68"/>
    <n v="5"/>
    <s v="Nuevo León"/>
    <n v="834"/>
    <x v="15"/>
    <x v="0"/>
    <x v="2"/>
  </r>
  <r>
    <n v="200462"/>
    <x v="33"/>
    <n v="32"/>
    <s v="Paraguay"/>
    <n v="1440"/>
    <x v="4"/>
    <x v="0"/>
    <x v="3"/>
  </r>
  <r>
    <n v="200463"/>
    <x v="165"/>
    <n v="29"/>
    <s v="Sonora"/>
    <n v="1380"/>
    <x v="22"/>
    <x v="2"/>
    <x v="2"/>
  </r>
  <r>
    <n v="200464"/>
    <x v="1"/>
    <n v="13"/>
    <s v="Jalisco"/>
    <n v="1702"/>
    <x v="29"/>
    <x v="1"/>
    <x v="1"/>
  </r>
  <r>
    <n v="200465"/>
    <x v="107"/>
    <n v="9"/>
    <s v="CDMX"/>
    <n v="675"/>
    <x v="10"/>
    <x v="2"/>
    <x v="0"/>
  </r>
  <r>
    <n v="200466"/>
    <x v="86"/>
    <n v="27"/>
    <s v="Nuevo León"/>
    <n v="830"/>
    <x v="8"/>
    <x v="2"/>
    <x v="2"/>
  </r>
  <r>
    <n v="200467"/>
    <x v="82"/>
    <n v="29"/>
    <s v="Puebla"/>
    <n v="879"/>
    <x v="22"/>
    <x v="2"/>
    <x v="0"/>
  </r>
  <r>
    <n v="200468"/>
    <x v="152"/>
    <n v="6"/>
    <s v="CDMX"/>
    <n v="512"/>
    <x v="11"/>
    <x v="2"/>
    <x v="0"/>
  </r>
  <r>
    <n v="200469"/>
    <x v="103"/>
    <n v="8"/>
    <s v="Michoacán"/>
    <n v="1173"/>
    <x v="21"/>
    <x v="2"/>
    <x v="1"/>
  </r>
  <r>
    <n v="200470"/>
    <x v="123"/>
    <n v="10"/>
    <s v="Sonora"/>
    <n v="152"/>
    <x v="18"/>
    <x v="3"/>
    <x v="2"/>
  </r>
  <r>
    <n v="200471"/>
    <x v="33"/>
    <n v="28"/>
    <s v="Jalisco"/>
    <n v="1198"/>
    <x v="9"/>
    <x v="0"/>
    <x v="1"/>
  </r>
  <r>
    <n v="200472"/>
    <x v="128"/>
    <n v="15"/>
    <s v="Puebla"/>
    <n v="896"/>
    <x v="25"/>
    <x v="0"/>
    <x v="0"/>
  </r>
  <r>
    <n v="200473"/>
    <x v="72"/>
    <n v="28"/>
    <s v="Michoacán"/>
    <n v="1691"/>
    <x v="9"/>
    <x v="0"/>
    <x v="1"/>
  </r>
  <r>
    <n v="200474"/>
    <x v="86"/>
    <n v="1"/>
    <s v="Nuevo León"/>
    <n v="1649"/>
    <x v="20"/>
    <x v="0"/>
    <x v="2"/>
  </r>
  <r>
    <n v="200475"/>
    <x v="93"/>
    <n v="3"/>
    <s v="Paraguay"/>
    <n v="864"/>
    <x v="12"/>
    <x v="1"/>
    <x v="3"/>
  </r>
  <r>
    <n v="200476"/>
    <x v="160"/>
    <n v="30"/>
    <s v="Sonora"/>
    <n v="1769"/>
    <x v="0"/>
    <x v="0"/>
    <x v="2"/>
  </r>
  <r>
    <n v="200477"/>
    <x v="107"/>
    <n v="15"/>
    <s v="Nuevo León"/>
    <n v="1502"/>
    <x v="25"/>
    <x v="0"/>
    <x v="2"/>
  </r>
  <r>
    <n v="200478"/>
    <x v="159"/>
    <n v="11"/>
    <s v="Michoacán"/>
    <n v="1959"/>
    <x v="17"/>
    <x v="3"/>
    <x v="1"/>
  </r>
  <r>
    <n v="200479"/>
    <x v="43"/>
    <n v="32"/>
    <s v="Paraguay"/>
    <n v="1881"/>
    <x v="4"/>
    <x v="0"/>
    <x v="3"/>
  </r>
  <r>
    <n v="200480"/>
    <x v="3"/>
    <n v="12"/>
    <s v="Edo. Mex"/>
    <n v="1701"/>
    <x v="1"/>
    <x v="0"/>
    <x v="0"/>
  </r>
  <r>
    <n v="200481"/>
    <x v="135"/>
    <n v="2"/>
    <s v="Nuevo León"/>
    <n v="208"/>
    <x v="6"/>
    <x v="1"/>
    <x v="2"/>
  </r>
  <r>
    <n v="200482"/>
    <x v="165"/>
    <n v="30"/>
    <s v="Edo. Mex"/>
    <n v="1861"/>
    <x v="0"/>
    <x v="0"/>
    <x v="0"/>
  </r>
  <r>
    <n v="200483"/>
    <x v="97"/>
    <n v="31"/>
    <s v="Sonora"/>
    <n v="1012"/>
    <x v="14"/>
    <x v="1"/>
    <x v="2"/>
  </r>
  <r>
    <n v="200484"/>
    <x v="20"/>
    <n v="12"/>
    <s v="Nuevo León"/>
    <n v="1238"/>
    <x v="1"/>
    <x v="0"/>
    <x v="2"/>
  </r>
  <r>
    <n v="200485"/>
    <x v="54"/>
    <n v="28"/>
    <s v="Paraguay"/>
    <n v="431"/>
    <x v="9"/>
    <x v="0"/>
    <x v="3"/>
  </r>
  <r>
    <n v="200486"/>
    <x v="110"/>
    <n v="22"/>
    <s v="Edo. Mex"/>
    <n v="1891"/>
    <x v="7"/>
    <x v="0"/>
    <x v="0"/>
  </r>
  <r>
    <n v="200487"/>
    <x v="16"/>
    <n v="12"/>
    <s v="Paraguay"/>
    <n v="870"/>
    <x v="1"/>
    <x v="0"/>
    <x v="3"/>
  </r>
  <r>
    <n v="200488"/>
    <x v="166"/>
    <n v="32"/>
    <s v="Paraguay"/>
    <n v="1622"/>
    <x v="4"/>
    <x v="0"/>
    <x v="3"/>
  </r>
  <r>
    <n v="200489"/>
    <x v="19"/>
    <n v="4"/>
    <s v="CDMX"/>
    <n v="564"/>
    <x v="5"/>
    <x v="1"/>
    <x v="0"/>
  </r>
  <r>
    <n v="200490"/>
    <x v="22"/>
    <n v="7"/>
    <s v="Michoacán"/>
    <n v="1437"/>
    <x v="24"/>
    <x v="3"/>
    <x v="1"/>
  </r>
  <r>
    <n v="200491"/>
    <x v="22"/>
    <n v="7"/>
    <s v="Nuevo León"/>
    <n v="1198"/>
    <x v="24"/>
    <x v="3"/>
    <x v="2"/>
  </r>
  <r>
    <n v="200492"/>
    <x v="47"/>
    <n v="24"/>
    <s v="Edo. Mex"/>
    <n v="331"/>
    <x v="27"/>
    <x v="3"/>
    <x v="0"/>
  </r>
  <r>
    <n v="200493"/>
    <x v="77"/>
    <n v="32"/>
    <s v="Michoacán"/>
    <n v="680"/>
    <x v="4"/>
    <x v="0"/>
    <x v="1"/>
  </r>
  <r>
    <n v="200494"/>
    <x v="148"/>
    <n v="1"/>
    <s v="Nuevo León"/>
    <n v="1008"/>
    <x v="20"/>
    <x v="0"/>
    <x v="2"/>
  </r>
  <r>
    <n v="200495"/>
    <x v="133"/>
    <n v="7"/>
    <s v="Paraguay"/>
    <n v="804"/>
    <x v="24"/>
    <x v="3"/>
    <x v="3"/>
  </r>
  <r>
    <n v="200496"/>
    <x v="161"/>
    <n v="31"/>
    <s v="Paraguay"/>
    <n v="1184"/>
    <x v="14"/>
    <x v="1"/>
    <x v="3"/>
  </r>
  <r>
    <n v="200497"/>
    <x v="146"/>
    <n v="20"/>
    <s v="Nuevo León"/>
    <n v="1769"/>
    <x v="2"/>
    <x v="1"/>
    <x v="2"/>
  </r>
  <r>
    <n v="200498"/>
    <x v="48"/>
    <n v="27"/>
    <s v="Nuevo León"/>
    <n v="774"/>
    <x v="8"/>
    <x v="2"/>
    <x v="2"/>
  </r>
  <r>
    <n v="200499"/>
    <x v="79"/>
    <n v="19"/>
    <s v="Michoacán"/>
    <n v="468"/>
    <x v="23"/>
    <x v="3"/>
    <x v="1"/>
  </r>
  <r>
    <n v="200500"/>
    <x v="61"/>
    <n v="10"/>
    <s v="Nuevo León"/>
    <n v="1504"/>
    <x v="18"/>
    <x v="3"/>
    <x v="2"/>
  </r>
  <r>
    <n v="200501"/>
    <x v="167"/>
    <n v="24"/>
    <s v="CDMX"/>
    <n v="1419"/>
    <x v="27"/>
    <x v="3"/>
    <x v="0"/>
  </r>
  <r>
    <n v="200502"/>
    <x v="57"/>
    <n v="23"/>
    <s v="Jalisco"/>
    <n v="115"/>
    <x v="30"/>
    <x v="1"/>
    <x v="1"/>
  </r>
  <r>
    <n v="200503"/>
    <x v="121"/>
    <n v="21"/>
    <s v="CDMX"/>
    <n v="473"/>
    <x v="13"/>
    <x v="2"/>
    <x v="0"/>
  </r>
  <r>
    <n v="200504"/>
    <x v="167"/>
    <n v="8"/>
    <s v="Puebla"/>
    <n v="381"/>
    <x v="21"/>
    <x v="2"/>
    <x v="0"/>
  </r>
  <r>
    <n v="200505"/>
    <x v="138"/>
    <n v="8"/>
    <s v="Edo. Mex"/>
    <n v="1701"/>
    <x v="21"/>
    <x v="2"/>
    <x v="0"/>
  </r>
  <r>
    <n v="200506"/>
    <x v="156"/>
    <n v="20"/>
    <s v="Paraguay"/>
    <n v="432"/>
    <x v="2"/>
    <x v="1"/>
    <x v="3"/>
  </r>
  <r>
    <n v="200507"/>
    <x v="90"/>
    <n v="29"/>
    <s v="Sonora"/>
    <n v="637"/>
    <x v="22"/>
    <x v="2"/>
    <x v="2"/>
  </r>
  <r>
    <n v="200508"/>
    <x v="85"/>
    <n v="23"/>
    <s v="Sonora"/>
    <n v="611"/>
    <x v="30"/>
    <x v="1"/>
    <x v="2"/>
  </r>
  <r>
    <n v="200509"/>
    <x v="163"/>
    <n v="11"/>
    <s v="Edo. Mex"/>
    <n v="1590"/>
    <x v="17"/>
    <x v="3"/>
    <x v="0"/>
  </r>
  <r>
    <n v="200510"/>
    <x v="135"/>
    <n v="31"/>
    <s v="Nuevo León"/>
    <n v="409"/>
    <x v="14"/>
    <x v="1"/>
    <x v="2"/>
  </r>
  <r>
    <n v="200511"/>
    <x v="93"/>
    <n v="7"/>
    <s v="Jalisco"/>
    <n v="1813"/>
    <x v="24"/>
    <x v="3"/>
    <x v="1"/>
  </r>
  <r>
    <n v="200512"/>
    <x v="29"/>
    <n v="27"/>
    <s v="Nuevo León"/>
    <n v="1575"/>
    <x v="8"/>
    <x v="2"/>
    <x v="2"/>
  </r>
  <r>
    <n v="200513"/>
    <x v="80"/>
    <n v="11"/>
    <s v="Nuevo León"/>
    <n v="1282"/>
    <x v="17"/>
    <x v="3"/>
    <x v="2"/>
  </r>
  <r>
    <n v="200514"/>
    <x v="151"/>
    <n v="32"/>
    <s v="Puebla"/>
    <n v="955"/>
    <x v="4"/>
    <x v="0"/>
    <x v="0"/>
  </r>
  <r>
    <n v="200515"/>
    <x v="97"/>
    <n v="4"/>
    <s v="Edo. Mex"/>
    <n v="1084"/>
    <x v="5"/>
    <x v="1"/>
    <x v="0"/>
  </r>
  <r>
    <n v="200516"/>
    <x v="131"/>
    <n v="29"/>
    <s v="Puebla"/>
    <n v="912"/>
    <x v="22"/>
    <x v="2"/>
    <x v="0"/>
  </r>
  <r>
    <n v="200517"/>
    <x v="19"/>
    <n v="31"/>
    <s v="Michoacán"/>
    <n v="325"/>
    <x v="14"/>
    <x v="1"/>
    <x v="1"/>
  </r>
  <r>
    <n v="200518"/>
    <x v="12"/>
    <n v="4"/>
    <s v="Sonora"/>
    <n v="1039"/>
    <x v="5"/>
    <x v="1"/>
    <x v="2"/>
  </r>
  <r>
    <n v="200519"/>
    <x v="15"/>
    <n v="28"/>
    <s v="Edo. Mex"/>
    <n v="233"/>
    <x v="9"/>
    <x v="0"/>
    <x v="0"/>
  </r>
  <r>
    <n v="200520"/>
    <x v="122"/>
    <n v="30"/>
    <s v="Puebla"/>
    <n v="1758"/>
    <x v="0"/>
    <x v="0"/>
    <x v="0"/>
  </r>
  <r>
    <n v="200521"/>
    <x v="85"/>
    <n v="14"/>
    <s v="Paraguay"/>
    <n v="1078"/>
    <x v="3"/>
    <x v="0"/>
    <x v="3"/>
  </r>
  <r>
    <n v="200522"/>
    <x v="69"/>
    <n v="14"/>
    <s v="Paraguay"/>
    <n v="341"/>
    <x v="3"/>
    <x v="0"/>
    <x v="3"/>
  </r>
  <r>
    <n v="200523"/>
    <x v="167"/>
    <n v="2"/>
    <s v="Paraguay"/>
    <n v="250"/>
    <x v="6"/>
    <x v="1"/>
    <x v="3"/>
  </r>
  <r>
    <n v="200524"/>
    <x v="55"/>
    <n v="27"/>
    <s v="Nuevo León"/>
    <n v="904"/>
    <x v="8"/>
    <x v="2"/>
    <x v="2"/>
  </r>
  <r>
    <n v="200525"/>
    <x v="48"/>
    <n v="17"/>
    <s v="CDMX"/>
    <n v="419"/>
    <x v="28"/>
    <x v="3"/>
    <x v="0"/>
  </r>
  <r>
    <n v="200526"/>
    <x v="77"/>
    <n v="11"/>
    <s v="CDMX"/>
    <n v="1728"/>
    <x v="17"/>
    <x v="3"/>
    <x v="0"/>
  </r>
  <r>
    <n v="200527"/>
    <x v="18"/>
    <n v="10"/>
    <s v="CDMX"/>
    <n v="1253"/>
    <x v="18"/>
    <x v="3"/>
    <x v="0"/>
  </r>
  <r>
    <n v="200528"/>
    <x v="125"/>
    <n v="11"/>
    <s v="Michoacán"/>
    <n v="637"/>
    <x v="17"/>
    <x v="3"/>
    <x v="1"/>
  </r>
  <r>
    <n v="200529"/>
    <x v="79"/>
    <n v="12"/>
    <s v="Michoacán"/>
    <n v="368"/>
    <x v="1"/>
    <x v="0"/>
    <x v="1"/>
  </r>
  <r>
    <n v="200530"/>
    <x v="14"/>
    <n v="23"/>
    <s v="CDMX"/>
    <n v="638"/>
    <x v="30"/>
    <x v="1"/>
    <x v="0"/>
  </r>
  <r>
    <n v="200531"/>
    <x v="9"/>
    <n v="28"/>
    <s v="Puebla"/>
    <n v="757"/>
    <x v="9"/>
    <x v="0"/>
    <x v="0"/>
  </r>
  <r>
    <n v="200532"/>
    <x v="30"/>
    <n v="22"/>
    <s v="Edo. Mex"/>
    <n v="388"/>
    <x v="7"/>
    <x v="0"/>
    <x v="0"/>
  </r>
  <r>
    <n v="200533"/>
    <x v="168"/>
    <n v="6"/>
    <s v="Puebla"/>
    <n v="309"/>
    <x v="11"/>
    <x v="2"/>
    <x v="0"/>
  </r>
  <r>
    <n v="200534"/>
    <x v="36"/>
    <n v="24"/>
    <s v="Puebla"/>
    <n v="1324"/>
    <x v="27"/>
    <x v="3"/>
    <x v="0"/>
  </r>
  <r>
    <n v="200535"/>
    <x v="3"/>
    <n v="6"/>
    <s v="CDMX"/>
    <n v="467"/>
    <x v="11"/>
    <x v="2"/>
    <x v="0"/>
  </r>
  <r>
    <n v="200536"/>
    <x v="62"/>
    <n v="1"/>
    <s v="Nuevo León"/>
    <n v="1459"/>
    <x v="20"/>
    <x v="0"/>
    <x v="2"/>
  </r>
  <r>
    <n v="200537"/>
    <x v="9"/>
    <n v="28"/>
    <s v="CDMX"/>
    <n v="1960"/>
    <x v="9"/>
    <x v="0"/>
    <x v="0"/>
  </r>
  <r>
    <n v="200538"/>
    <x v="5"/>
    <n v="12"/>
    <s v="Sonora"/>
    <n v="1881"/>
    <x v="1"/>
    <x v="0"/>
    <x v="2"/>
  </r>
  <r>
    <n v="200539"/>
    <x v="88"/>
    <n v="19"/>
    <s v="Nuevo León"/>
    <n v="899"/>
    <x v="23"/>
    <x v="3"/>
    <x v="2"/>
  </r>
  <r>
    <n v="200540"/>
    <x v="4"/>
    <n v="11"/>
    <s v="Jalisco"/>
    <n v="181"/>
    <x v="17"/>
    <x v="3"/>
    <x v="1"/>
  </r>
  <r>
    <n v="200541"/>
    <x v="50"/>
    <n v="23"/>
    <s v="Puebla"/>
    <n v="1183"/>
    <x v="30"/>
    <x v="1"/>
    <x v="0"/>
  </r>
  <r>
    <n v="200542"/>
    <x v="102"/>
    <n v="28"/>
    <s v="Puebla"/>
    <n v="1365"/>
    <x v="9"/>
    <x v="0"/>
    <x v="0"/>
  </r>
  <r>
    <n v="200543"/>
    <x v="169"/>
    <n v="28"/>
    <s v="Jalisco"/>
    <n v="446"/>
    <x v="9"/>
    <x v="0"/>
    <x v="1"/>
  </r>
  <r>
    <n v="200544"/>
    <x v="0"/>
    <n v="18"/>
    <s v="Sonora"/>
    <n v="753"/>
    <x v="31"/>
    <x v="3"/>
    <x v="2"/>
  </r>
  <r>
    <n v="200545"/>
    <x v="56"/>
    <n v="6"/>
    <s v="Nuevo León"/>
    <n v="478"/>
    <x v="11"/>
    <x v="2"/>
    <x v="2"/>
  </r>
  <r>
    <n v="200546"/>
    <x v="83"/>
    <n v="8"/>
    <s v="Edo. Mex"/>
    <n v="349"/>
    <x v="21"/>
    <x v="2"/>
    <x v="0"/>
  </r>
  <r>
    <n v="200547"/>
    <x v="69"/>
    <n v="20"/>
    <s v="Edo. Mex"/>
    <n v="1968"/>
    <x v="2"/>
    <x v="1"/>
    <x v="0"/>
  </r>
  <r>
    <n v="200548"/>
    <x v="124"/>
    <n v="24"/>
    <s v="Paraguay"/>
    <n v="1583"/>
    <x v="27"/>
    <x v="3"/>
    <x v="3"/>
  </r>
  <r>
    <n v="200549"/>
    <x v="164"/>
    <n v="23"/>
    <s v="Puebla"/>
    <n v="229"/>
    <x v="30"/>
    <x v="1"/>
    <x v="0"/>
  </r>
  <r>
    <n v="200550"/>
    <x v="5"/>
    <n v="1"/>
    <s v="Puebla"/>
    <n v="279"/>
    <x v="20"/>
    <x v="0"/>
    <x v="0"/>
  </r>
  <r>
    <n v="200551"/>
    <x v="136"/>
    <n v="12"/>
    <s v="Jalisco"/>
    <n v="1152"/>
    <x v="1"/>
    <x v="0"/>
    <x v="1"/>
  </r>
  <r>
    <n v="200552"/>
    <x v="55"/>
    <n v="32"/>
    <s v="Nuevo León"/>
    <n v="529"/>
    <x v="4"/>
    <x v="0"/>
    <x v="2"/>
  </r>
  <r>
    <n v="200553"/>
    <x v="29"/>
    <n v="22"/>
    <s v="Jalisco"/>
    <n v="1675"/>
    <x v="7"/>
    <x v="0"/>
    <x v="1"/>
  </r>
  <r>
    <n v="200554"/>
    <x v="62"/>
    <n v="18"/>
    <s v="Jalisco"/>
    <n v="1818"/>
    <x v="31"/>
    <x v="3"/>
    <x v="1"/>
  </r>
  <r>
    <n v="200555"/>
    <x v="55"/>
    <n v="27"/>
    <s v="Jalisco"/>
    <n v="1179"/>
    <x v="8"/>
    <x v="2"/>
    <x v="1"/>
  </r>
  <r>
    <n v="200556"/>
    <x v="70"/>
    <n v="25"/>
    <s v="CDMX"/>
    <n v="1650"/>
    <x v="16"/>
    <x v="2"/>
    <x v="0"/>
  </r>
  <r>
    <n v="200557"/>
    <x v="147"/>
    <n v="26"/>
    <s v="CDMX"/>
    <n v="319"/>
    <x v="26"/>
    <x v="0"/>
    <x v="0"/>
  </r>
  <r>
    <n v="200558"/>
    <x v="35"/>
    <n v="8"/>
    <s v="CDMX"/>
    <n v="1446"/>
    <x v="21"/>
    <x v="2"/>
    <x v="0"/>
  </r>
  <r>
    <n v="200559"/>
    <x v="5"/>
    <n v="15"/>
    <s v="Jalisco"/>
    <n v="931"/>
    <x v="25"/>
    <x v="0"/>
    <x v="1"/>
  </r>
  <r>
    <n v="200560"/>
    <x v="73"/>
    <n v="28"/>
    <s v="CDMX"/>
    <n v="1383"/>
    <x v="9"/>
    <x v="0"/>
    <x v="0"/>
  </r>
  <r>
    <n v="200561"/>
    <x v="90"/>
    <n v="14"/>
    <s v="Sonora"/>
    <n v="1524"/>
    <x v="3"/>
    <x v="0"/>
    <x v="2"/>
  </r>
  <r>
    <n v="200562"/>
    <x v="170"/>
    <n v="23"/>
    <s v="Edo. Mex"/>
    <n v="129"/>
    <x v="30"/>
    <x v="1"/>
    <x v="0"/>
  </r>
  <r>
    <n v="200563"/>
    <x v="71"/>
    <n v="24"/>
    <s v="Paraguay"/>
    <n v="123"/>
    <x v="27"/>
    <x v="3"/>
    <x v="3"/>
  </r>
  <r>
    <n v="200564"/>
    <x v="62"/>
    <n v="9"/>
    <s v="Nuevo León"/>
    <n v="235"/>
    <x v="10"/>
    <x v="2"/>
    <x v="2"/>
  </r>
  <r>
    <n v="200565"/>
    <x v="69"/>
    <n v="4"/>
    <s v="Nuevo León"/>
    <n v="1103"/>
    <x v="5"/>
    <x v="1"/>
    <x v="2"/>
  </r>
  <r>
    <n v="200566"/>
    <x v="96"/>
    <n v="19"/>
    <s v="Paraguay"/>
    <n v="119"/>
    <x v="23"/>
    <x v="3"/>
    <x v="3"/>
  </r>
  <r>
    <n v="200567"/>
    <x v="30"/>
    <n v="32"/>
    <s v="Puebla"/>
    <n v="1182"/>
    <x v="4"/>
    <x v="0"/>
    <x v="0"/>
  </r>
  <r>
    <n v="200568"/>
    <x v="84"/>
    <n v="1"/>
    <s v="Edo. Mex"/>
    <n v="1940"/>
    <x v="20"/>
    <x v="0"/>
    <x v="0"/>
  </r>
  <r>
    <n v="200569"/>
    <x v="22"/>
    <n v="32"/>
    <s v="Puebla"/>
    <n v="1107"/>
    <x v="4"/>
    <x v="0"/>
    <x v="0"/>
  </r>
  <r>
    <n v="200570"/>
    <x v="138"/>
    <n v="32"/>
    <s v="Sonora"/>
    <n v="1075"/>
    <x v="4"/>
    <x v="0"/>
    <x v="2"/>
  </r>
  <r>
    <n v="200571"/>
    <x v="95"/>
    <n v="28"/>
    <s v="Sonora"/>
    <n v="1093"/>
    <x v="9"/>
    <x v="0"/>
    <x v="2"/>
  </r>
  <r>
    <n v="200572"/>
    <x v="71"/>
    <n v="6"/>
    <s v="CDMX"/>
    <n v="767"/>
    <x v="11"/>
    <x v="2"/>
    <x v="0"/>
  </r>
  <r>
    <n v="200573"/>
    <x v="137"/>
    <n v="12"/>
    <s v="Jalisco"/>
    <n v="1122"/>
    <x v="1"/>
    <x v="0"/>
    <x v="1"/>
  </r>
  <r>
    <n v="200574"/>
    <x v="171"/>
    <n v="31"/>
    <s v="Puebla"/>
    <n v="130"/>
    <x v="14"/>
    <x v="1"/>
    <x v="0"/>
  </r>
  <r>
    <n v="200575"/>
    <x v="60"/>
    <n v="3"/>
    <s v="Jalisco"/>
    <n v="283"/>
    <x v="12"/>
    <x v="1"/>
    <x v="1"/>
  </r>
  <r>
    <n v="200576"/>
    <x v="148"/>
    <n v="2"/>
    <s v="CDMX"/>
    <n v="653"/>
    <x v="6"/>
    <x v="1"/>
    <x v="0"/>
  </r>
  <r>
    <n v="200577"/>
    <x v="159"/>
    <n v="13"/>
    <s v="Sonora"/>
    <n v="1852"/>
    <x v="29"/>
    <x v="1"/>
    <x v="2"/>
  </r>
  <r>
    <n v="200578"/>
    <x v="142"/>
    <n v="24"/>
    <s v="Edo. Mex"/>
    <n v="820"/>
    <x v="27"/>
    <x v="3"/>
    <x v="0"/>
  </r>
  <r>
    <n v="200579"/>
    <x v="145"/>
    <n v="7"/>
    <s v="Jalisco"/>
    <n v="457"/>
    <x v="24"/>
    <x v="3"/>
    <x v="1"/>
  </r>
  <r>
    <n v="200580"/>
    <x v="114"/>
    <n v="15"/>
    <s v="Michoacán"/>
    <n v="170"/>
    <x v="25"/>
    <x v="0"/>
    <x v="1"/>
  </r>
  <r>
    <n v="200581"/>
    <x v="0"/>
    <n v="14"/>
    <s v="Nuevo León"/>
    <n v="1136"/>
    <x v="3"/>
    <x v="0"/>
    <x v="2"/>
  </r>
  <r>
    <n v="200582"/>
    <x v="56"/>
    <n v="8"/>
    <s v="CDMX"/>
    <n v="1262"/>
    <x v="21"/>
    <x v="2"/>
    <x v="0"/>
  </r>
  <r>
    <n v="200583"/>
    <x v="34"/>
    <n v="14"/>
    <s v="Paraguay"/>
    <n v="1450"/>
    <x v="3"/>
    <x v="0"/>
    <x v="3"/>
  </r>
  <r>
    <n v="200584"/>
    <x v="123"/>
    <n v="9"/>
    <s v="Puebla"/>
    <n v="1661"/>
    <x v="10"/>
    <x v="2"/>
    <x v="0"/>
  </r>
  <r>
    <n v="200585"/>
    <x v="101"/>
    <n v="13"/>
    <s v="Nuevo León"/>
    <n v="751"/>
    <x v="29"/>
    <x v="1"/>
    <x v="2"/>
  </r>
  <r>
    <n v="200586"/>
    <x v="120"/>
    <n v="9"/>
    <s v="Sonora"/>
    <n v="785"/>
    <x v="10"/>
    <x v="2"/>
    <x v="2"/>
  </r>
  <r>
    <n v="200587"/>
    <x v="22"/>
    <n v="25"/>
    <s v="Paraguay"/>
    <n v="1333"/>
    <x v="16"/>
    <x v="2"/>
    <x v="3"/>
  </r>
  <r>
    <n v="200588"/>
    <x v="133"/>
    <n v="2"/>
    <s v="Michoacán"/>
    <n v="825"/>
    <x v="6"/>
    <x v="1"/>
    <x v="1"/>
  </r>
  <r>
    <n v="200589"/>
    <x v="28"/>
    <n v="5"/>
    <s v="Edo. Mex"/>
    <n v="910"/>
    <x v="15"/>
    <x v="0"/>
    <x v="0"/>
  </r>
  <r>
    <n v="200590"/>
    <x v="172"/>
    <n v="26"/>
    <s v="Edo. Mex"/>
    <n v="130"/>
    <x v="26"/>
    <x v="0"/>
    <x v="0"/>
  </r>
  <r>
    <n v="200591"/>
    <x v="94"/>
    <n v="23"/>
    <s v="Puebla"/>
    <n v="243"/>
    <x v="30"/>
    <x v="1"/>
    <x v="0"/>
  </r>
  <r>
    <n v="200592"/>
    <x v="128"/>
    <n v="7"/>
    <s v="Paraguay"/>
    <n v="1596"/>
    <x v="24"/>
    <x v="3"/>
    <x v="3"/>
  </r>
  <r>
    <n v="200593"/>
    <x v="118"/>
    <n v="11"/>
    <s v="Edo. Mex"/>
    <n v="529"/>
    <x v="17"/>
    <x v="3"/>
    <x v="0"/>
  </r>
  <r>
    <n v="200594"/>
    <x v="133"/>
    <n v="4"/>
    <s v="Jalisco"/>
    <n v="658"/>
    <x v="5"/>
    <x v="1"/>
    <x v="1"/>
  </r>
  <r>
    <n v="200595"/>
    <x v="51"/>
    <n v="22"/>
    <s v="Paraguay"/>
    <n v="669"/>
    <x v="7"/>
    <x v="0"/>
    <x v="3"/>
  </r>
  <r>
    <n v="200596"/>
    <x v="127"/>
    <n v="8"/>
    <s v="Puebla"/>
    <n v="1240"/>
    <x v="21"/>
    <x v="2"/>
    <x v="0"/>
  </r>
  <r>
    <n v="200597"/>
    <x v="42"/>
    <n v="21"/>
    <s v="Sonora"/>
    <n v="1862"/>
    <x v="13"/>
    <x v="2"/>
    <x v="2"/>
  </r>
  <r>
    <n v="200598"/>
    <x v="128"/>
    <n v="23"/>
    <s v="CDMX"/>
    <n v="846"/>
    <x v="30"/>
    <x v="1"/>
    <x v="0"/>
  </r>
  <r>
    <n v="200599"/>
    <x v="34"/>
    <n v="10"/>
    <s v="Edo. Mex"/>
    <n v="251"/>
    <x v="18"/>
    <x v="3"/>
    <x v="0"/>
  </r>
  <r>
    <n v="200600"/>
    <x v="123"/>
    <n v="22"/>
    <s v="Puebla"/>
    <n v="201"/>
    <x v="7"/>
    <x v="0"/>
    <x v="0"/>
  </r>
  <r>
    <n v="200601"/>
    <x v="55"/>
    <n v="6"/>
    <s v="Jalisco"/>
    <n v="1816"/>
    <x v="11"/>
    <x v="2"/>
    <x v="1"/>
  </r>
  <r>
    <n v="200602"/>
    <x v="55"/>
    <n v="19"/>
    <s v="Puebla"/>
    <n v="1459"/>
    <x v="23"/>
    <x v="3"/>
    <x v="0"/>
  </r>
  <r>
    <n v="200603"/>
    <x v="145"/>
    <n v="23"/>
    <s v="Edo. Mex"/>
    <n v="205"/>
    <x v="30"/>
    <x v="1"/>
    <x v="0"/>
  </r>
  <r>
    <n v="200604"/>
    <x v="21"/>
    <n v="27"/>
    <s v="Michoacán"/>
    <n v="361"/>
    <x v="8"/>
    <x v="2"/>
    <x v="1"/>
  </r>
  <r>
    <n v="200605"/>
    <x v="36"/>
    <n v="25"/>
    <s v="Puebla"/>
    <n v="143"/>
    <x v="16"/>
    <x v="2"/>
    <x v="0"/>
  </r>
  <r>
    <n v="200606"/>
    <x v="159"/>
    <n v="24"/>
    <s v="Sonora"/>
    <n v="1039"/>
    <x v="27"/>
    <x v="3"/>
    <x v="2"/>
  </r>
  <r>
    <n v="200607"/>
    <x v="83"/>
    <n v="25"/>
    <s v="Paraguay"/>
    <n v="1238"/>
    <x v="16"/>
    <x v="2"/>
    <x v="3"/>
  </r>
  <r>
    <n v="200608"/>
    <x v="168"/>
    <n v="8"/>
    <s v="Sonora"/>
    <n v="721"/>
    <x v="21"/>
    <x v="2"/>
    <x v="2"/>
  </r>
  <r>
    <n v="200609"/>
    <x v="65"/>
    <n v="10"/>
    <s v="Puebla"/>
    <n v="320"/>
    <x v="18"/>
    <x v="3"/>
    <x v="0"/>
  </r>
  <r>
    <n v="200610"/>
    <x v="72"/>
    <n v="14"/>
    <s v="Nuevo León"/>
    <n v="629"/>
    <x v="3"/>
    <x v="0"/>
    <x v="2"/>
  </r>
  <r>
    <n v="200611"/>
    <x v="59"/>
    <n v="10"/>
    <s v="Paraguay"/>
    <n v="1842"/>
    <x v="18"/>
    <x v="3"/>
    <x v="3"/>
  </r>
  <r>
    <n v="200612"/>
    <x v="46"/>
    <n v="7"/>
    <s v="Jalisco"/>
    <n v="854"/>
    <x v="24"/>
    <x v="3"/>
    <x v="1"/>
  </r>
  <r>
    <n v="200613"/>
    <x v="138"/>
    <n v="5"/>
    <s v="Puebla"/>
    <n v="732"/>
    <x v="15"/>
    <x v="0"/>
    <x v="0"/>
  </r>
  <r>
    <n v="200614"/>
    <x v="38"/>
    <n v="4"/>
    <s v="Nuevo León"/>
    <n v="436"/>
    <x v="5"/>
    <x v="1"/>
    <x v="2"/>
  </r>
  <r>
    <n v="200615"/>
    <x v="16"/>
    <n v="11"/>
    <s v="Puebla"/>
    <n v="343"/>
    <x v="17"/>
    <x v="3"/>
    <x v="0"/>
  </r>
  <r>
    <n v="200616"/>
    <x v="145"/>
    <n v="24"/>
    <s v="Michoacán"/>
    <n v="1430"/>
    <x v="27"/>
    <x v="3"/>
    <x v="1"/>
  </r>
  <r>
    <n v="200617"/>
    <x v="155"/>
    <n v="5"/>
    <s v="Michoacán"/>
    <n v="155"/>
    <x v="15"/>
    <x v="0"/>
    <x v="1"/>
  </r>
  <r>
    <n v="200618"/>
    <x v="81"/>
    <n v="28"/>
    <s v="Jalisco"/>
    <n v="352"/>
    <x v="9"/>
    <x v="0"/>
    <x v="1"/>
  </r>
  <r>
    <n v="200619"/>
    <x v="29"/>
    <n v="32"/>
    <s v="Nuevo León"/>
    <n v="1412"/>
    <x v="4"/>
    <x v="0"/>
    <x v="2"/>
  </r>
  <r>
    <n v="200620"/>
    <x v="173"/>
    <n v="23"/>
    <s v="Sonora"/>
    <n v="381"/>
    <x v="30"/>
    <x v="1"/>
    <x v="2"/>
  </r>
  <r>
    <n v="200621"/>
    <x v="173"/>
    <n v="27"/>
    <s v="Sonora"/>
    <n v="730"/>
    <x v="8"/>
    <x v="2"/>
    <x v="2"/>
  </r>
  <r>
    <n v="200622"/>
    <x v="163"/>
    <n v="25"/>
    <s v="Nuevo León"/>
    <n v="1328"/>
    <x v="16"/>
    <x v="2"/>
    <x v="2"/>
  </r>
  <r>
    <n v="200623"/>
    <x v="33"/>
    <n v="19"/>
    <s v="Edo. Mex"/>
    <n v="936"/>
    <x v="23"/>
    <x v="3"/>
    <x v="0"/>
  </r>
  <r>
    <n v="200624"/>
    <x v="168"/>
    <n v="30"/>
    <s v="Michoacán"/>
    <n v="1074"/>
    <x v="0"/>
    <x v="0"/>
    <x v="1"/>
  </r>
  <r>
    <n v="200625"/>
    <x v="12"/>
    <n v="24"/>
    <s v="Sonora"/>
    <n v="1398"/>
    <x v="27"/>
    <x v="3"/>
    <x v="2"/>
  </r>
  <r>
    <n v="200626"/>
    <x v="46"/>
    <n v="18"/>
    <s v="Paraguay"/>
    <n v="1126"/>
    <x v="31"/>
    <x v="3"/>
    <x v="3"/>
  </r>
  <r>
    <n v="200627"/>
    <x v="50"/>
    <n v="9"/>
    <s v="Puebla"/>
    <n v="641"/>
    <x v="10"/>
    <x v="2"/>
    <x v="0"/>
  </r>
  <r>
    <n v="200628"/>
    <x v="137"/>
    <n v="21"/>
    <s v="Edo. Mex"/>
    <n v="1049"/>
    <x v="13"/>
    <x v="2"/>
    <x v="0"/>
  </r>
  <r>
    <n v="200629"/>
    <x v="60"/>
    <n v="20"/>
    <s v="Paraguay"/>
    <n v="1087"/>
    <x v="2"/>
    <x v="1"/>
    <x v="3"/>
  </r>
  <r>
    <n v="200630"/>
    <x v="106"/>
    <n v="12"/>
    <s v="Puebla"/>
    <n v="255"/>
    <x v="1"/>
    <x v="0"/>
    <x v="0"/>
  </r>
  <r>
    <n v="200631"/>
    <x v="152"/>
    <n v="7"/>
    <s v="Edo. Mex"/>
    <n v="1546"/>
    <x v="24"/>
    <x v="3"/>
    <x v="0"/>
  </r>
  <r>
    <n v="200632"/>
    <x v="153"/>
    <n v="29"/>
    <s v="Michoacán"/>
    <n v="1607"/>
    <x v="22"/>
    <x v="2"/>
    <x v="1"/>
  </r>
  <r>
    <n v="200633"/>
    <x v="92"/>
    <n v="17"/>
    <s v="Jalisco"/>
    <n v="473"/>
    <x v="28"/>
    <x v="3"/>
    <x v="1"/>
  </r>
  <r>
    <n v="200634"/>
    <x v="117"/>
    <n v="16"/>
    <s v="Jalisco"/>
    <n v="860"/>
    <x v="19"/>
    <x v="3"/>
    <x v="1"/>
  </r>
  <r>
    <n v="200635"/>
    <x v="23"/>
    <n v="1"/>
    <s v="Sonora"/>
    <n v="1203"/>
    <x v="20"/>
    <x v="0"/>
    <x v="2"/>
  </r>
  <r>
    <n v="200636"/>
    <x v="76"/>
    <n v="29"/>
    <s v="CDMX"/>
    <n v="1576"/>
    <x v="22"/>
    <x v="2"/>
    <x v="0"/>
  </r>
  <r>
    <n v="200637"/>
    <x v="78"/>
    <n v="2"/>
    <s v="Paraguay"/>
    <n v="743"/>
    <x v="6"/>
    <x v="1"/>
    <x v="3"/>
  </r>
  <r>
    <n v="200638"/>
    <x v="150"/>
    <n v="19"/>
    <s v="Michoacán"/>
    <n v="567"/>
    <x v="23"/>
    <x v="3"/>
    <x v="1"/>
  </r>
  <r>
    <n v="200639"/>
    <x v="25"/>
    <n v="19"/>
    <s v="Paraguay"/>
    <n v="1613"/>
    <x v="23"/>
    <x v="3"/>
    <x v="3"/>
  </r>
  <r>
    <n v="200640"/>
    <x v="157"/>
    <n v="6"/>
    <s v="Puebla"/>
    <n v="1125"/>
    <x v="11"/>
    <x v="2"/>
    <x v="0"/>
  </r>
  <r>
    <n v="200641"/>
    <x v="126"/>
    <n v="22"/>
    <s v="Nuevo León"/>
    <n v="1963"/>
    <x v="7"/>
    <x v="0"/>
    <x v="2"/>
  </r>
  <r>
    <n v="200642"/>
    <x v="140"/>
    <n v="28"/>
    <s v="Sonora"/>
    <n v="735"/>
    <x v="9"/>
    <x v="0"/>
    <x v="2"/>
  </r>
  <r>
    <n v="200643"/>
    <x v="153"/>
    <n v="30"/>
    <s v="Sonora"/>
    <n v="1981"/>
    <x v="0"/>
    <x v="0"/>
    <x v="2"/>
  </r>
  <r>
    <n v="200644"/>
    <x v="68"/>
    <n v="16"/>
    <s v="Sonora"/>
    <n v="321"/>
    <x v="19"/>
    <x v="3"/>
    <x v="2"/>
  </r>
  <r>
    <n v="200645"/>
    <x v="158"/>
    <n v="16"/>
    <s v="Michoacán"/>
    <n v="616"/>
    <x v="19"/>
    <x v="3"/>
    <x v="1"/>
  </r>
  <r>
    <n v="200646"/>
    <x v="42"/>
    <n v="30"/>
    <s v="Michoacán"/>
    <n v="694"/>
    <x v="0"/>
    <x v="0"/>
    <x v="1"/>
  </r>
  <r>
    <n v="200647"/>
    <x v="73"/>
    <n v="4"/>
    <s v="Sonora"/>
    <n v="1474"/>
    <x v="5"/>
    <x v="1"/>
    <x v="2"/>
  </r>
  <r>
    <n v="200648"/>
    <x v="116"/>
    <n v="31"/>
    <s v="Paraguay"/>
    <n v="178"/>
    <x v="14"/>
    <x v="1"/>
    <x v="3"/>
  </r>
  <r>
    <n v="200649"/>
    <x v="108"/>
    <n v="21"/>
    <s v="Michoacán"/>
    <n v="1693"/>
    <x v="13"/>
    <x v="2"/>
    <x v="1"/>
  </r>
  <r>
    <n v="200650"/>
    <x v="121"/>
    <n v="2"/>
    <s v="CDMX"/>
    <n v="740"/>
    <x v="6"/>
    <x v="1"/>
    <x v="0"/>
  </r>
  <r>
    <n v="200651"/>
    <x v="73"/>
    <n v="21"/>
    <s v="Sonora"/>
    <n v="1765"/>
    <x v="13"/>
    <x v="2"/>
    <x v="2"/>
  </r>
  <r>
    <n v="200652"/>
    <x v="49"/>
    <n v="23"/>
    <s v="Paraguay"/>
    <n v="1363"/>
    <x v="30"/>
    <x v="1"/>
    <x v="3"/>
  </r>
  <r>
    <n v="200653"/>
    <x v="118"/>
    <n v="31"/>
    <s v="Edo. Mex"/>
    <n v="1501"/>
    <x v="14"/>
    <x v="1"/>
    <x v="0"/>
  </r>
  <r>
    <n v="200654"/>
    <x v="119"/>
    <n v="3"/>
    <s v="Nuevo León"/>
    <n v="1189"/>
    <x v="12"/>
    <x v="1"/>
    <x v="2"/>
  </r>
  <r>
    <n v="200655"/>
    <x v="151"/>
    <n v="1"/>
    <s v="Nuevo León"/>
    <n v="1216"/>
    <x v="20"/>
    <x v="0"/>
    <x v="2"/>
  </r>
  <r>
    <n v="200656"/>
    <x v="164"/>
    <n v="30"/>
    <s v="Sonora"/>
    <n v="951"/>
    <x v="0"/>
    <x v="0"/>
    <x v="2"/>
  </r>
  <r>
    <n v="200657"/>
    <x v="82"/>
    <n v="7"/>
    <s v="Nuevo León"/>
    <n v="351"/>
    <x v="24"/>
    <x v="3"/>
    <x v="2"/>
  </r>
  <r>
    <n v="200658"/>
    <x v="65"/>
    <n v="9"/>
    <s v="Sonora"/>
    <n v="127"/>
    <x v="10"/>
    <x v="2"/>
    <x v="2"/>
  </r>
  <r>
    <n v="200659"/>
    <x v="57"/>
    <n v="20"/>
    <s v="Jalisco"/>
    <n v="820"/>
    <x v="2"/>
    <x v="1"/>
    <x v="1"/>
  </r>
  <r>
    <n v="200660"/>
    <x v="34"/>
    <n v="24"/>
    <s v="Paraguay"/>
    <n v="1511"/>
    <x v="27"/>
    <x v="3"/>
    <x v="3"/>
  </r>
  <r>
    <n v="200661"/>
    <x v="161"/>
    <n v="6"/>
    <s v="Edo. Mex"/>
    <n v="1581"/>
    <x v="11"/>
    <x v="2"/>
    <x v="0"/>
  </r>
  <r>
    <n v="200662"/>
    <x v="99"/>
    <n v="27"/>
    <s v="CDMX"/>
    <n v="691"/>
    <x v="8"/>
    <x v="2"/>
    <x v="0"/>
  </r>
  <r>
    <n v="200663"/>
    <x v="141"/>
    <n v="4"/>
    <s v="CDMX"/>
    <n v="343"/>
    <x v="5"/>
    <x v="1"/>
    <x v="0"/>
  </r>
  <r>
    <n v="200664"/>
    <x v="99"/>
    <n v="19"/>
    <s v="Edo. Mex"/>
    <n v="1266"/>
    <x v="23"/>
    <x v="3"/>
    <x v="0"/>
  </r>
  <r>
    <n v="200665"/>
    <x v="143"/>
    <n v="25"/>
    <s v="Nuevo León"/>
    <n v="1737"/>
    <x v="16"/>
    <x v="2"/>
    <x v="2"/>
  </r>
  <r>
    <n v="200666"/>
    <x v="102"/>
    <n v="27"/>
    <s v="Sonora"/>
    <n v="146"/>
    <x v="8"/>
    <x v="2"/>
    <x v="2"/>
  </r>
  <r>
    <n v="200667"/>
    <x v="11"/>
    <n v="17"/>
    <s v="Puebla"/>
    <n v="989"/>
    <x v="28"/>
    <x v="3"/>
    <x v="0"/>
  </r>
  <r>
    <n v="200668"/>
    <x v="161"/>
    <n v="17"/>
    <s v="Paraguay"/>
    <n v="214"/>
    <x v="28"/>
    <x v="3"/>
    <x v="3"/>
  </r>
  <r>
    <n v="200669"/>
    <x v="31"/>
    <n v="26"/>
    <s v="CDMX"/>
    <n v="665"/>
    <x v="26"/>
    <x v="0"/>
    <x v="0"/>
  </r>
  <r>
    <n v="200670"/>
    <x v="103"/>
    <n v="13"/>
    <s v="Paraguay"/>
    <n v="267"/>
    <x v="29"/>
    <x v="1"/>
    <x v="3"/>
  </r>
  <r>
    <n v="200671"/>
    <x v="69"/>
    <n v="3"/>
    <s v="Paraguay"/>
    <n v="990"/>
    <x v="12"/>
    <x v="1"/>
    <x v="3"/>
  </r>
  <r>
    <n v="200672"/>
    <x v="171"/>
    <n v="12"/>
    <s v="Sonora"/>
    <n v="1959"/>
    <x v="1"/>
    <x v="0"/>
    <x v="2"/>
  </r>
  <r>
    <n v="200673"/>
    <x v="60"/>
    <n v="32"/>
    <s v="Paraguay"/>
    <n v="175"/>
    <x v="4"/>
    <x v="0"/>
    <x v="3"/>
  </r>
  <r>
    <n v="200674"/>
    <x v="36"/>
    <n v="17"/>
    <s v="Michoacán"/>
    <n v="1704"/>
    <x v="28"/>
    <x v="3"/>
    <x v="1"/>
  </r>
  <r>
    <n v="200675"/>
    <x v="8"/>
    <n v="11"/>
    <s v="Nuevo León"/>
    <n v="629"/>
    <x v="17"/>
    <x v="3"/>
    <x v="2"/>
  </r>
  <r>
    <n v="200676"/>
    <x v="130"/>
    <n v="26"/>
    <s v="Paraguay"/>
    <n v="409"/>
    <x v="26"/>
    <x v="0"/>
    <x v="3"/>
  </r>
  <r>
    <n v="200677"/>
    <x v="92"/>
    <n v="15"/>
    <s v="Nuevo León"/>
    <n v="1714"/>
    <x v="25"/>
    <x v="0"/>
    <x v="2"/>
  </r>
  <r>
    <n v="200678"/>
    <x v="0"/>
    <n v="26"/>
    <s v="Paraguay"/>
    <n v="388"/>
    <x v="26"/>
    <x v="0"/>
    <x v="3"/>
  </r>
  <r>
    <n v="200679"/>
    <x v="34"/>
    <n v="30"/>
    <s v="Jalisco"/>
    <n v="1172"/>
    <x v="0"/>
    <x v="0"/>
    <x v="1"/>
  </r>
  <r>
    <n v="200680"/>
    <x v="114"/>
    <n v="23"/>
    <s v="Edo. Mex"/>
    <n v="1061"/>
    <x v="30"/>
    <x v="1"/>
    <x v="0"/>
  </r>
  <r>
    <n v="200681"/>
    <x v="174"/>
    <n v="1"/>
    <s v="Puebla"/>
    <n v="462"/>
    <x v="20"/>
    <x v="0"/>
    <x v="0"/>
  </r>
  <r>
    <n v="200682"/>
    <x v="103"/>
    <n v="28"/>
    <s v="Edo. Mex"/>
    <n v="571"/>
    <x v="9"/>
    <x v="0"/>
    <x v="0"/>
  </r>
  <r>
    <n v="200683"/>
    <x v="175"/>
    <n v="20"/>
    <s v="Puebla"/>
    <n v="627"/>
    <x v="2"/>
    <x v="1"/>
    <x v="0"/>
  </r>
  <r>
    <n v="200684"/>
    <x v="70"/>
    <n v="30"/>
    <s v="Edo. Mex"/>
    <n v="1226"/>
    <x v="0"/>
    <x v="0"/>
    <x v="0"/>
  </r>
  <r>
    <n v="200685"/>
    <x v="114"/>
    <n v="10"/>
    <s v="Edo. Mex"/>
    <n v="284"/>
    <x v="18"/>
    <x v="3"/>
    <x v="0"/>
  </r>
  <r>
    <n v="200686"/>
    <x v="159"/>
    <n v="31"/>
    <s v="Nuevo León"/>
    <n v="594"/>
    <x v="14"/>
    <x v="1"/>
    <x v="2"/>
  </r>
  <r>
    <n v="200687"/>
    <x v="119"/>
    <n v="2"/>
    <s v="Michoacán"/>
    <n v="605"/>
    <x v="6"/>
    <x v="1"/>
    <x v="1"/>
  </r>
  <r>
    <n v="200688"/>
    <x v="21"/>
    <n v="6"/>
    <s v="Jalisco"/>
    <n v="389"/>
    <x v="11"/>
    <x v="2"/>
    <x v="1"/>
  </r>
  <r>
    <n v="200689"/>
    <x v="49"/>
    <n v="9"/>
    <s v="Nuevo León"/>
    <n v="298"/>
    <x v="10"/>
    <x v="2"/>
    <x v="2"/>
  </r>
  <r>
    <n v="200690"/>
    <x v="130"/>
    <n v="7"/>
    <s v="CDMX"/>
    <n v="1419"/>
    <x v="24"/>
    <x v="3"/>
    <x v="0"/>
  </r>
  <r>
    <n v="200691"/>
    <x v="71"/>
    <n v="11"/>
    <s v="Puebla"/>
    <n v="574"/>
    <x v="17"/>
    <x v="3"/>
    <x v="0"/>
  </r>
  <r>
    <n v="200692"/>
    <x v="47"/>
    <n v="13"/>
    <s v="Sonora"/>
    <n v="1446"/>
    <x v="29"/>
    <x v="1"/>
    <x v="2"/>
  </r>
  <r>
    <n v="200693"/>
    <x v="142"/>
    <n v="17"/>
    <s v="Puebla"/>
    <n v="183"/>
    <x v="28"/>
    <x v="3"/>
    <x v="0"/>
  </r>
  <r>
    <n v="200694"/>
    <x v="25"/>
    <n v="12"/>
    <s v="Puebla"/>
    <n v="1433"/>
    <x v="1"/>
    <x v="0"/>
    <x v="0"/>
  </r>
  <r>
    <n v="200695"/>
    <x v="94"/>
    <n v="6"/>
    <s v="Nuevo León"/>
    <n v="1110"/>
    <x v="11"/>
    <x v="2"/>
    <x v="2"/>
  </r>
  <r>
    <n v="200696"/>
    <x v="48"/>
    <n v="25"/>
    <s v="Edo. Mex"/>
    <n v="367"/>
    <x v="16"/>
    <x v="2"/>
    <x v="0"/>
  </r>
  <r>
    <n v="200697"/>
    <x v="50"/>
    <n v="17"/>
    <s v="Edo. Mex"/>
    <n v="512"/>
    <x v="28"/>
    <x v="3"/>
    <x v="0"/>
  </r>
  <r>
    <n v="200698"/>
    <x v="129"/>
    <n v="3"/>
    <s v="Edo. Mex"/>
    <n v="1078"/>
    <x v="12"/>
    <x v="1"/>
    <x v="0"/>
  </r>
  <r>
    <n v="200699"/>
    <x v="57"/>
    <n v="15"/>
    <s v="Puebla"/>
    <n v="190"/>
    <x v="25"/>
    <x v="0"/>
    <x v="0"/>
  </r>
  <r>
    <n v="200700"/>
    <x v="155"/>
    <n v="3"/>
    <s v="Sonora"/>
    <n v="579"/>
    <x v="12"/>
    <x v="1"/>
    <x v="2"/>
  </r>
  <r>
    <n v="200701"/>
    <x v="1"/>
    <n v="23"/>
    <s v="CDMX"/>
    <n v="1034"/>
    <x v="30"/>
    <x v="1"/>
    <x v="0"/>
  </r>
  <r>
    <n v="200702"/>
    <x v="162"/>
    <n v="25"/>
    <s v="Michoacán"/>
    <n v="1236"/>
    <x v="16"/>
    <x v="2"/>
    <x v="1"/>
  </r>
  <r>
    <n v="200703"/>
    <x v="61"/>
    <n v="15"/>
    <s v="Paraguay"/>
    <n v="1828"/>
    <x v="25"/>
    <x v="0"/>
    <x v="3"/>
  </r>
  <r>
    <n v="200704"/>
    <x v="156"/>
    <n v="11"/>
    <s v="Edo. Mex"/>
    <n v="1040"/>
    <x v="17"/>
    <x v="3"/>
    <x v="0"/>
  </r>
  <r>
    <n v="200705"/>
    <x v="70"/>
    <n v="5"/>
    <s v="Paraguay"/>
    <n v="1885"/>
    <x v="15"/>
    <x v="0"/>
    <x v="3"/>
  </r>
  <r>
    <n v="200706"/>
    <x v="156"/>
    <n v="26"/>
    <s v="Nuevo León"/>
    <n v="1570"/>
    <x v="26"/>
    <x v="0"/>
    <x v="2"/>
  </r>
  <r>
    <n v="200707"/>
    <x v="12"/>
    <n v="31"/>
    <s v="CDMX"/>
    <n v="1569"/>
    <x v="14"/>
    <x v="1"/>
    <x v="0"/>
  </r>
  <r>
    <n v="200708"/>
    <x v="164"/>
    <n v="19"/>
    <s v="Michoacán"/>
    <n v="1032"/>
    <x v="23"/>
    <x v="3"/>
    <x v="1"/>
  </r>
  <r>
    <n v="200709"/>
    <x v="176"/>
    <n v="26"/>
    <s v="Paraguay"/>
    <n v="1830"/>
    <x v="26"/>
    <x v="0"/>
    <x v="3"/>
  </r>
  <r>
    <n v="200710"/>
    <x v="79"/>
    <n v="15"/>
    <s v="Nuevo León"/>
    <n v="1663"/>
    <x v="25"/>
    <x v="0"/>
    <x v="2"/>
  </r>
  <r>
    <n v="200711"/>
    <x v="6"/>
    <n v="28"/>
    <s v="Michoacán"/>
    <n v="300"/>
    <x v="9"/>
    <x v="0"/>
    <x v="1"/>
  </r>
  <r>
    <n v="200712"/>
    <x v="70"/>
    <n v="21"/>
    <s v="Paraguay"/>
    <n v="1277"/>
    <x v="13"/>
    <x v="2"/>
    <x v="3"/>
  </r>
  <r>
    <n v="200713"/>
    <x v="58"/>
    <n v="22"/>
    <s v="CDMX"/>
    <n v="1141"/>
    <x v="7"/>
    <x v="0"/>
    <x v="0"/>
  </r>
  <r>
    <n v="200714"/>
    <x v="131"/>
    <n v="32"/>
    <s v="Edo. Mex"/>
    <n v="803"/>
    <x v="4"/>
    <x v="0"/>
    <x v="0"/>
  </r>
  <r>
    <n v="200715"/>
    <x v="171"/>
    <n v="20"/>
    <s v="Nuevo León"/>
    <n v="979"/>
    <x v="2"/>
    <x v="1"/>
    <x v="2"/>
  </r>
  <r>
    <n v="200716"/>
    <x v="146"/>
    <n v="20"/>
    <s v="Sonora"/>
    <n v="1068"/>
    <x v="2"/>
    <x v="1"/>
    <x v="2"/>
  </r>
  <r>
    <n v="200717"/>
    <x v="115"/>
    <n v="11"/>
    <s v="Jalisco"/>
    <n v="768"/>
    <x v="17"/>
    <x v="3"/>
    <x v="1"/>
  </r>
  <r>
    <n v="200718"/>
    <x v="4"/>
    <n v="29"/>
    <s v="Nuevo León"/>
    <n v="1333"/>
    <x v="22"/>
    <x v="2"/>
    <x v="2"/>
  </r>
  <r>
    <n v="200719"/>
    <x v="166"/>
    <n v="7"/>
    <s v="Jalisco"/>
    <n v="398"/>
    <x v="24"/>
    <x v="3"/>
    <x v="1"/>
  </r>
  <r>
    <n v="200720"/>
    <x v="54"/>
    <n v="32"/>
    <s v="Edo. Mex"/>
    <n v="956"/>
    <x v="4"/>
    <x v="0"/>
    <x v="0"/>
  </r>
  <r>
    <n v="200721"/>
    <x v="112"/>
    <n v="24"/>
    <s v="Puebla"/>
    <n v="479"/>
    <x v="27"/>
    <x v="3"/>
    <x v="0"/>
  </r>
  <r>
    <n v="200722"/>
    <x v="84"/>
    <n v="20"/>
    <s v="Sonora"/>
    <n v="1191"/>
    <x v="2"/>
    <x v="1"/>
    <x v="2"/>
  </r>
  <r>
    <n v="200723"/>
    <x v="33"/>
    <n v="5"/>
    <s v="Nuevo León"/>
    <n v="318"/>
    <x v="15"/>
    <x v="0"/>
    <x v="2"/>
  </r>
  <r>
    <n v="200724"/>
    <x v="144"/>
    <n v="29"/>
    <s v="Nuevo León"/>
    <n v="697"/>
    <x v="22"/>
    <x v="2"/>
    <x v="2"/>
  </r>
  <r>
    <n v="200725"/>
    <x v="127"/>
    <n v="25"/>
    <s v="Jalisco"/>
    <n v="1326"/>
    <x v="16"/>
    <x v="2"/>
    <x v="1"/>
  </r>
  <r>
    <n v="200726"/>
    <x v="130"/>
    <n v="1"/>
    <s v="Michoacán"/>
    <n v="1897"/>
    <x v="20"/>
    <x v="0"/>
    <x v="1"/>
  </r>
  <r>
    <n v="200727"/>
    <x v="118"/>
    <n v="26"/>
    <s v="Michoacán"/>
    <n v="565"/>
    <x v="26"/>
    <x v="0"/>
    <x v="1"/>
  </r>
  <r>
    <n v="200728"/>
    <x v="131"/>
    <n v="23"/>
    <s v="Sonora"/>
    <n v="1024"/>
    <x v="30"/>
    <x v="1"/>
    <x v="2"/>
  </r>
  <r>
    <n v="200729"/>
    <x v="167"/>
    <n v="32"/>
    <s v="CDMX"/>
    <n v="1820"/>
    <x v="4"/>
    <x v="0"/>
    <x v="0"/>
  </r>
  <r>
    <n v="200730"/>
    <x v="7"/>
    <n v="32"/>
    <s v="Nuevo León"/>
    <n v="1259"/>
    <x v="4"/>
    <x v="0"/>
    <x v="2"/>
  </r>
  <r>
    <n v="200731"/>
    <x v="137"/>
    <n v="31"/>
    <s v="Michoacán"/>
    <n v="986"/>
    <x v="14"/>
    <x v="1"/>
    <x v="1"/>
  </r>
  <r>
    <n v="200732"/>
    <x v="136"/>
    <n v="11"/>
    <s v="Sonora"/>
    <n v="117"/>
    <x v="17"/>
    <x v="3"/>
    <x v="2"/>
  </r>
  <r>
    <n v="200733"/>
    <x v="76"/>
    <n v="10"/>
    <s v="Sonora"/>
    <n v="1648"/>
    <x v="18"/>
    <x v="3"/>
    <x v="2"/>
  </r>
  <r>
    <n v="200734"/>
    <x v="108"/>
    <n v="6"/>
    <s v="Nuevo León"/>
    <n v="1362"/>
    <x v="11"/>
    <x v="2"/>
    <x v="2"/>
  </r>
  <r>
    <n v="200735"/>
    <x v="133"/>
    <n v="27"/>
    <s v="Michoacán"/>
    <n v="328"/>
    <x v="8"/>
    <x v="2"/>
    <x v="1"/>
  </r>
  <r>
    <n v="200736"/>
    <x v="136"/>
    <n v="20"/>
    <s v="Sonora"/>
    <n v="1985"/>
    <x v="2"/>
    <x v="1"/>
    <x v="2"/>
  </r>
  <r>
    <n v="200737"/>
    <x v="16"/>
    <n v="10"/>
    <s v="Nuevo León"/>
    <n v="216"/>
    <x v="18"/>
    <x v="3"/>
    <x v="2"/>
  </r>
  <r>
    <n v="200738"/>
    <x v="173"/>
    <n v="30"/>
    <s v="Puebla"/>
    <n v="888"/>
    <x v="0"/>
    <x v="0"/>
    <x v="0"/>
  </r>
  <r>
    <n v="200739"/>
    <x v="74"/>
    <n v="9"/>
    <s v="Nuevo León"/>
    <n v="1419"/>
    <x v="10"/>
    <x v="2"/>
    <x v="2"/>
  </r>
  <r>
    <n v="200740"/>
    <x v="126"/>
    <n v="17"/>
    <s v="Sonora"/>
    <n v="1696"/>
    <x v="28"/>
    <x v="3"/>
    <x v="2"/>
  </r>
  <r>
    <n v="200741"/>
    <x v="146"/>
    <n v="1"/>
    <s v="Jalisco"/>
    <n v="1664"/>
    <x v="20"/>
    <x v="0"/>
    <x v="1"/>
  </r>
  <r>
    <n v="200742"/>
    <x v="31"/>
    <n v="28"/>
    <s v="Sonora"/>
    <n v="293"/>
    <x v="9"/>
    <x v="0"/>
    <x v="2"/>
  </r>
  <r>
    <n v="200743"/>
    <x v="1"/>
    <n v="29"/>
    <s v="Nuevo León"/>
    <n v="847"/>
    <x v="22"/>
    <x v="2"/>
    <x v="2"/>
  </r>
  <r>
    <n v="200744"/>
    <x v="60"/>
    <n v="10"/>
    <s v="Paraguay"/>
    <n v="1792"/>
    <x v="18"/>
    <x v="3"/>
    <x v="3"/>
  </r>
  <r>
    <n v="200745"/>
    <x v="158"/>
    <n v="16"/>
    <s v="Sonora"/>
    <n v="1509"/>
    <x v="19"/>
    <x v="3"/>
    <x v="2"/>
  </r>
  <r>
    <n v="200746"/>
    <x v="50"/>
    <n v="4"/>
    <s v="Paraguay"/>
    <n v="850"/>
    <x v="5"/>
    <x v="1"/>
    <x v="3"/>
  </r>
  <r>
    <n v="200747"/>
    <x v="16"/>
    <n v="23"/>
    <s v="Sonora"/>
    <n v="1298"/>
    <x v="30"/>
    <x v="1"/>
    <x v="2"/>
  </r>
  <r>
    <n v="200748"/>
    <x v="32"/>
    <n v="32"/>
    <s v="Puebla"/>
    <n v="357"/>
    <x v="4"/>
    <x v="0"/>
    <x v="0"/>
  </r>
  <r>
    <n v="200749"/>
    <x v="100"/>
    <n v="23"/>
    <s v="CDMX"/>
    <n v="1340"/>
    <x v="30"/>
    <x v="1"/>
    <x v="0"/>
  </r>
  <r>
    <n v="200750"/>
    <x v="172"/>
    <n v="29"/>
    <s v="Sonora"/>
    <n v="143"/>
    <x v="22"/>
    <x v="2"/>
    <x v="2"/>
  </r>
  <r>
    <n v="200751"/>
    <x v="15"/>
    <n v="28"/>
    <s v="Jalisco"/>
    <n v="1142"/>
    <x v="9"/>
    <x v="0"/>
    <x v="1"/>
  </r>
  <r>
    <n v="200752"/>
    <x v="37"/>
    <n v="9"/>
    <s v="CDMX"/>
    <n v="1838"/>
    <x v="10"/>
    <x v="2"/>
    <x v="0"/>
  </r>
  <r>
    <n v="200753"/>
    <x v="4"/>
    <n v="9"/>
    <s v="Edo. Mex"/>
    <n v="182"/>
    <x v="10"/>
    <x v="2"/>
    <x v="0"/>
  </r>
  <r>
    <n v="200754"/>
    <x v="96"/>
    <n v="28"/>
    <s v="Sonora"/>
    <n v="800"/>
    <x v="9"/>
    <x v="0"/>
    <x v="2"/>
  </r>
  <r>
    <n v="200755"/>
    <x v="60"/>
    <n v="5"/>
    <s v="Edo. Mex"/>
    <n v="1084"/>
    <x v="15"/>
    <x v="0"/>
    <x v="0"/>
  </r>
  <r>
    <n v="200756"/>
    <x v="88"/>
    <n v="30"/>
    <s v="Puebla"/>
    <n v="1092"/>
    <x v="0"/>
    <x v="0"/>
    <x v="0"/>
  </r>
  <r>
    <n v="200757"/>
    <x v="134"/>
    <n v="9"/>
    <s v="CDMX"/>
    <n v="1646"/>
    <x v="10"/>
    <x v="2"/>
    <x v="0"/>
  </r>
  <r>
    <n v="200758"/>
    <x v="88"/>
    <n v="2"/>
    <s v="Jalisco"/>
    <n v="1069"/>
    <x v="6"/>
    <x v="1"/>
    <x v="1"/>
  </r>
  <r>
    <n v="200759"/>
    <x v="37"/>
    <n v="26"/>
    <s v="Edo. Mex"/>
    <n v="1720"/>
    <x v="26"/>
    <x v="0"/>
    <x v="0"/>
  </r>
  <r>
    <n v="200760"/>
    <x v="118"/>
    <n v="2"/>
    <s v="Sonora"/>
    <n v="977"/>
    <x v="6"/>
    <x v="1"/>
    <x v="2"/>
  </r>
  <r>
    <n v="200761"/>
    <x v="47"/>
    <n v="7"/>
    <s v="Edo. Mex"/>
    <n v="413"/>
    <x v="24"/>
    <x v="3"/>
    <x v="0"/>
  </r>
  <r>
    <n v="200762"/>
    <x v="139"/>
    <n v="11"/>
    <s v="Michoacán"/>
    <n v="529"/>
    <x v="17"/>
    <x v="3"/>
    <x v="1"/>
  </r>
  <r>
    <n v="200763"/>
    <x v="150"/>
    <n v="31"/>
    <s v="Nuevo León"/>
    <n v="1874"/>
    <x v="14"/>
    <x v="1"/>
    <x v="2"/>
  </r>
  <r>
    <n v="200764"/>
    <x v="156"/>
    <n v="5"/>
    <s v="Nuevo León"/>
    <n v="849"/>
    <x v="15"/>
    <x v="0"/>
    <x v="2"/>
  </r>
  <r>
    <n v="200765"/>
    <x v="1"/>
    <n v="24"/>
    <s v="Edo. Mex"/>
    <n v="1452"/>
    <x v="27"/>
    <x v="3"/>
    <x v="0"/>
  </r>
  <r>
    <n v="200766"/>
    <x v="87"/>
    <n v="17"/>
    <s v="Jalisco"/>
    <n v="1910"/>
    <x v="28"/>
    <x v="3"/>
    <x v="1"/>
  </r>
  <r>
    <n v="200767"/>
    <x v="48"/>
    <n v="16"/>
    <s v="CDMX"/>
    <n v="843"/>
    <x v="19"/>
    <x v="3"/>
    <x v="0"/>
  </r>
  <r>
    <n v="200768"/>
    <x v="7"/>
    <n v="20"/>
    <s v="Jalisco"/>
    <n v="1530"/>
    <x v="2"/>
    <x v="1"/>
    <x v="1"/>
  </r>
  <r>
    <n v="200769"/>
    <x v="115"/>
    <n v="31"/>
    <s v="CDMX"/>
    <n v="289"/>
    <x v="14"/>
    <x v="1"/>
    <x v="0"/>
  </r>
  <r>
    <n v="200770"/>
    <x v="166"/>
    <n v="9"/>
    <s v="Nuevo León"/>
    <n v="220"/>
    <x v="10"/>
    <x v="2"/>
    <x v="2"/>
  </r>
  <r>
    <n v="200771"/>
    <x v="85"/>
    <n v="27"/>
    <s v="Nuevo León"/>
    <n v="1487"/>
    <x v="8"/>
    <x v="2"/>
    <x v="2"/>
  </r>
  <r>
    <n v="200772"/>
    <x v="84"/>
    <n v="31"/>
    <s v="Paraguay"/>
    <n v="1946"/>
    <x v="14"/>
    <x v="1"/>
    <x v="3"/>
  </r>
  <r>
    <n v="200773"/>
    <x v="66"/>
    <n v="20"/>
    <s v="Paraguay"/>
    <n v="1142"/>
    <x v="2"/>
    <x v="1"/>
    <x v="3"/>
  </r>
  <r>
    <n v="200774"/>
    <x v="79"/>
    <n v="21"/>
    <s v="Edo. Mex"/>
    <n v="607"/>
    <x v="13"/>
    <x v="2"/>
    <x v="0"/>
  </r>
  <r>
    <n v="200775"/>
    <x v="99"/>
    <n v="4"/>
    <s v="Sonora"/>
    <n v="551"/>
    <x v="5"/>
    <x v="1"/>
    <x v="2"/>
  </r>
  <r>
    <n v="200776"/>
    <x v="157"/>
    <n v="5"/>
    <s v="Sonora"/>
    <n v="586"/>
    <x v="15"/>
    <x v="0"/>
    <x v="2"/>
  </r>
  <r>
    <n v="200777"/>
    <x v="110"/>
    <n v="4"/>
    <s v="Edo. Mex"/>
    <n v="1218"/>
    <x v="5"/>
    <x v="1"/>
    <x v="0"/>
  </r>
  <r>
    <n v="200778"/>
    <x v="29"/>
    <n v="20"/>
    <s v="Sonora"/>
    <n v="1552"/>
    <x v="2"/>
    <x v="1"/>
    <x v="2"/>
  </r>
  <r>
    <n v="200779"/>
    <x v="107"/>
    <n v="13"/>
    <s v="Nuevo León"/>
    <n v="1539"/>
    <x v="29"/>
    <x v="1"/>
    <x v="2"/>
  </r>
  <r>
    <n v="200780"/>
    <x v="71"/>
    <n v="11"/>
    <s v="Paraguay"/>
    <n v="229"/>
    <x v="17"/>
    <x v="3"/>
    <x v="3"/>
  </r>
  <r>
    <n v="200781"/>
    <x v="40"/>
    <n v="20"/>
    <s v="Nuevo León"/>
    <n v="370"/>
    <x v="2"/>
    <x v="1"/>
    <x v="2"/>
  </r>
  <r>
    <n v="200782"/>
    <x v="10"/>
    <n v="15"/>
    <s v="Edo. Mex"/>
    <n v="515"/>
    <x v="25"/>
    <x v="0"/>
    <x v="0"/>
  </r>
  <r>
    <n v="200783"/>
    <x v="13"/>
    <n v="25"/>
    <s v="Edo. Mex"/>
    <n v="1503"/>
    <x v="16"/>
    <x v="2"/>
    <x v="0"/>
  </r>
  <r>
    <n v="200784"/>
    <x v="66"/>
    <n v="30"/>
    <s v="Michoacán"/>
    <n v="1464"/>
    <x v="0"/>
    <x v="0"/>
    <x v="1"/>
  </r>
  <r>
    <n v="200785"/>
    <x v="14"/>
    <n v="20"/>
    <s v="Puebla"/>
    <n v="204"/>
    <x v="2"/>
    <x v="1"/>
    <x v="0"/>
  </r>
  <r>
    <n v="200786"/>
    <x v="70"/>
    <n v="20"/>
    <s v="Jalisco"/>
    <n v="490"/>
    <x v="2"/>
    <x v="1"/>
    <x v="1"/>
  </r>
  <r>
    <n v="200787"/>
    <x v="153"/>
    <n v="26"/>
    <s v="Jalisco"/>
    <n v="1573"/>
    <x v="26"/>
    <x v="0"/>
    <x v="1"/>
  </r>
  <r>
    <n v="200788"/>
    <x v="138"/>
    <n v="7"/>
    <s v="Edo. Mex"/>
    <n v="810"/>
    <x v="24"/>
    <x v="3"/>
    <x v="0"/>
  </r>
  <r>
    <n v="200789"/>
    <x v="174"/>
    <n v="30"/>
    <s v="Michoacán"/>
    <n v="1200"/>
    <x v="0"/>
    <x v="0"/>
    <x v="1"/>
  </r>
  <r>
    <n v="200790"/>
    <x v="114"/>
    <n v="22"/>
    <s v="CDMX"/>
    <n v="1389"/>
    <x v="7"/>
    <x v="0"/>
    <x v="0"/>
  </r>
  <r>
    <n v="200791"/>
    <x v="32"/>
    <n v="22"/>
    <s v="CDMX"/>
    <n v="499"/>
    <x v="7"/>
    <x v="0"/>
    <x v="0"/>
  </r>
  <r>
    <n v="200792"/>
    <x v="136"/>
    <n v="13"/>
    <s v="Paraguay"/>
    <n v="1769"/>
    <x v="29"/>
    <x v="1"/>
    <x v="3"/>
  </r>
  <r>
    <n v="200793"/>
    <x v="30"/>
    <n v="29"/>
    <s v="Michoacán"/>
    <n v="752"/>
    <x v="22"/>
    <x v="2"/>
    <x v="1"/>
  </r>
  <r>
    <n v="200794"/>
    <x v="103"/>
    <n v="10"/>
    <s v="Jalisco"/>
    <n v="596"/>
    <x v="18"/>
    <x v="3"/>
    <x v="1"/>
  </r>
  <r>
    <n v="200795"/>
    <x v="177"/>
    <n v="1"/>
    <s v="Edo. Mex"/>
    <n v="1640"/>
    <x v="20"/>
    <x v="0"/>
    <x v="0"/>
  </r>
  <r>
    <n v="200796"/>
    <x v="46"/>
    <n v="2"/>
    <s v="Paraguay"/>
    <n v="1913"/>
    <x v="6"/>
    <x v="1"/>
    <x v="3"/>
  </r>
  <r>
    <n v="200797"/>
    <x v="41"/>
    <n v="7"/>
    <s v="CDMX"/>
    <n v="1223"/>
    <x v="24"/>
    <x v="3"/>
    <x v="0"/>
  </r>
  <r>
    <n v="200798"/>
    <x v="129"/>
    <n v="15"/>
    <s v="Paraguay"/>
    <n v="1022"/>
    <x v="25"/>
    <x v="0"/>
    <x v="3"/>
  </r>
  <r>
    <n v="200799"/>
    <x v="31"/>
    <n v="26"/>
    <s v="Puebla"/>
    <n v="1349"/>
    <x v="26"/>
    <x v="0"/>
    <x v="0"/>
  </r>
  <r>
    <n v="200800"/>
    <x v="163"/>
    <n v="24"/>
    <s v="Nuevo León"/>
    <n v="943"/>
    <x v="27"/>
    <x v="3"/>
    <x v="2"/>
  </r>
  <r>
    <n v="200801"/>
    <x v="114"/>
    <n v="24"/>
    <s v="Sonora"/>
    <n v="1014"/>
    <x v="27"/>
    <x v="3"/>
    <x v="2"/>
  </r>
  <r>
    <n v="200802"/>
    <x v="109"/>
    <n v="28"/>
    <s v="Puebla"/>
    <n v="936"/>
    <x v="9"/>
    <x v="0"/>
    <x v="0"/>
  </r>
  <r>
    <n v="200803"/>
    <x v="166"/>
    <n v="26"/>
    <s v="Jalisco"/>
    <n v="155"/>
    <x v="26"/>
    <x v="0"/>
    <x v="1"/>
  </r>
  <r>
    <n v="200804"/>
    <x v="131"/>
    <n v="25"/>
    <s v="CDMX"/>
    <n v="667"/>
    <x v="16"/>
    <x v="2"/>
    <x v="0"/>
  </r>
  <r>
    <n v="200805"/>
    <x v="76"/>
    <n v="30"/>
    <s v="Puebla"/>
    <n v="1522"/>
    <x v="0"/>
    <x v="0"/>
    <x v="0"/>
  </r>
  <r>
    <n v="200806"/>
    <x v="173"/>
    <n v="30"/>
    <s v="Edo. Mex"/>
    <n v="634"/>
    <x v="0"/>
    <x v="0"/>
    <x v="0"/>
  </r>
  <r>
    <n v="200807"/>
    <x v="148"/>
    <n v="14"/>
    <s v="Jalisco"/>
    <n v="1719"/>
    <x v="3"/>
    <x v="0"/>
    <x v="1"/>
  </r>
  <r>
    <n v="200808"/>
    <x v="83"/>
    <n v="20"/>
    <s v="Jalisco"/>
    <n v="316"/>
    <x v="2"/>
    <x v="1"/>
    <x v="1"/>
  </r>
  <r>
    <n v="200809"/>
    <x v="33"/>
    <n v="24"/>
    <s v="Puebla"/>
    <n v="1402"/>
    <x v="27"/>
    <x v="3"/>
    <x v="0"/>
  </r>
  <r>
    <n v="200810"/>
    <x v="100"/>
    <n v="29"/>
    <s v="Michoacán"/>
    <n v="1657"/>
    <x v="22"/>
    <x v="2"/>
    <x v="1"/>
  </r>
  <r>
    <n v="200811"/>
    <x v="84"/>
    <n v="6"/>
    <s v="Sonora"/>
    <n v="1300"/>
    <x v="11"/>
    <x v="2"/>
    <x v="2"/>
  </r>
  <r>
    <n v="200812"/>
    <x v="94"/>
    <n v="14"/>
    <s v="Edo. Mex"/>
    <n v="1203"/>
    <x v="3"/>
    <x v="0"/>
    <x v="0"/>
  </r>
  <r>
    <n v="200813"/>
    <x v="10"/>
    <n v="10"/>
    <s v="Puebla"/>
    <n v="1650"/>
    <x v="18"/>
    <x v="3"/>
    <x v="0"/>
  </r>
  <r>
    <n v="200814"/>
    <x v="14"/>
    <n v="18"/>
    <s v="Jalisco"/>
    <n v="1690"/>
    <x v="31"/>
    <x v="3"/>
    <x v="1"/>
  </r>
  <r>
    <n v="200815"/>
    <x v="19"/>
    <n v="31"/>
    <s v="Michoacán"/>
    <n v="1684"/>
    <x v="14"/>
    <x v="1"/>
    <x v="1"/>
  </r>
  <r>
    <n v="200816"/>
    <x v="34"/>
    <n v="8"/>
    <s v="Jalisco"/>
    <n v="531"/>
    <x v="21"/>
    <x v="2"/>
    <x v="1"/>
  </r>
  <r>
    <n v="200817"/>
    <x v="147"/>
    <n v="15"/>
    <s v="CDMX"/>
    <n v="124"/>
    <x v="25"/>
    <x v="0"/>
    <x v="0"/>
  </r>
  <r>
    <n v="200818"/>
    <x v="151"/>
    <n v="17"/>
    <s v="Puebla"/>
    <n v="609"/>
    <x v="28"/>
    <x v="3"/>
    <x v="0"/>
  </r>
  <r>
    <n v="200819"/>
    <x v="138"/>
    <n v="18"/>
    <s v="CDMX"/>
    <n v="141"/>
    <x v="31"/>
    <x v="3"/>
    <x v="0"/>
  </r>
  <r>
    <n v="200820"/>
    <x v="153"/>
    <n v="32"/>
    <s v="CDMX"/>
    <n v="1622"/>
    <x v="4"/>
    <x v="0"/>
    <x v="0"/>
  </r>
  <r>
    <n v="200821"/>
    <x v="79"/>
    <n v="20"/>
    <s v="Michoacán"/>
    <n v="574"/>
    <x v="2"/>
    <x v="1"/>
    <x v="1"/>
  </r>
  <r>
    <n v="200822"/>
    <x v="140"/>
    <n v="28"/>
    <s v="CDMX"/>
    <n v="421"/>
    <x v="9"/>
    <x v="0"/>
    <x v="0"/>
  </r>
  <r>
    <n v="200823"/>
    <x v="2"/>
    <n v="32"/>
    <s v="Sonora"/>
    <n v="1557"/>
    <x v="4"/>
    <x v="0"/>
    <x v="2"/>
  </r>
  <r>
    <n v="200824"/>
    <x v="55"/>
    <n v="9"/>
    <s v="Sonora"/>
    <n v="1687"/>
    <x v="10"/>
    <x v="2"/>
    <x v="2"/>
  </r>
  <r>
    <n v="200825"/>
    <x v="58"/>
    <n v="28"/>
    <s v="Michoacán"/>
    <n v="669"/>
    <x v="9"/>
    <x v="0"/>
    <x v="1"/>
  </r>
  <r>
    <n v="200826"/>
    <x v="57"/>
    <n v="20"/>
    <s v="Michoacán"/>
    <n v="1495"/>
    <x v="2"/>
    <x v="1"/>
    <x v="1"/>
  </r>
  <r>
    <n v="200827"/>
    <x v="105"/>
    <n v="24"/>
    <s v="Edo. Mex"/>
    <n v="1302"/>
    <x v="27"/>
    <x v="3"/>
    <x v="0"/>
  </r>
  <r>
    <n v="200828"/>
    <x v="12"/>
    <n v="18"/>
    <s v="Jalisco"/>
    <n v="966"/>
    <x v="31"/>
    <x v="3"/>
    <x v="1"/>
  </r>
  <r>
    <n v="200829"/>
    <x v="2"/>
    <n v="19"/>
    <s v="Paraguay"/>
    <n v="698"/>
    <x v="23"/>
    <x v="3"/>
    <x v="3"/>
  </r>
  <r>
    <n v="200830"/>
    <x v="30"/>
    <n v="29"/>
    <s v="Paraguay"/>
    <n v="408"/>
    <x v="22"/>
    <x v="2"/>
    <x v="3"/>
  </r>
  <r>
    <n v="200831"/>
    <x v="31"/>
    <n v="6"/>
    <s v="Sonora"/>
    <n v="1940"/>
    <x v="11"/>
    <x v="2"/>
    <x v="2"/>
  </r>
  <r>
    <n v="200832"/>
    <x v="154"/>
    <n v="28"/>
    <s v="Puebla"/>
    <n v="456"/>
    <x v="9"/>
    <x v="0"/>
    <x v="0"/>
  </r>
  <r>
    <n v="200833"/>
    <x v="137"/>
    <n v="32"/>
    <s v="Paraguay"/>
    <n v="569"/>
    <x v="4"/>
    <x v="0"/>
    <x v="3"/>
  </r>
  <r>
    <n v="200834"/>
    <x v="101"/>
    <n v="27"/>
    <s v="Michoacán"/>
    <n v="1706"/>
    <x v="8"/>
    <x v="2"/>
    <x v="1"/>
  </r>
  <r>
    <n v="200835"/>
    <x v="172"/>
    <n v="24"/>
    <s v="CDMX"/>
    <n v="1598"/>
    <x v="27"/>
    <x v="3"/>
    <x v="0"/>
  </r>
  <r>
    <n v="200836"/>
    <x v="14"/>
    <n v="9"/>
    <s v="Paraguay"/>
    <n v="1125"/>
    <x v="10"/>
    <x v="2"/>
    <x v="3"/>
  </r>
  <r>
    <n v="200837"/>
    <x v="113"/>
    <n v="12"/>
    <s v="Michoacán"/>
    <n v="528"/>
    <x v="1"/>
    <x v="0"/>
    <x v="1"/>
  </r>
  <r>
    <n v="200838"/>
    <x v="76"/>
    <n v="30"/>
    <s v="Sonora"/>
    <n v="185"/>
    <x v="0"/>
    <x v="0"/>
    <x v="2"/>
  </r>
  <r>
    <n v="200839"/>
    <x v="88"/>
    <n v="4"/>
    <s v="Paraguay"/>
    <n v="1602"/>
    <x v="5"/>
    <x v="1"/>
    <x v="3"/>
  </r>
  <r>
    <n v="200840"/>
    <x v="72"/>
    <n v="28"/>
    <s v="Puebla"/>
    <n v="1697"/>
    <x v="9"/>
    <x v="0"/>
    <x v="0"/>
  </r>
  <r>
    <n v="200841"/>
    <x v="86"/>
    <n v="32"/>
    <s v="Nuevo León"/>
    <n v="172"/>
    <x v="4"/>
    <x v="0"/>
    <x v="2"/>
  </r>
  <r>
    <n v="200842"/>
    <x v="12"/>
    <n v="20"/>
    <s v="Puebla"/>
    <n v="1845"/>
    <x v="2"/>
    <x v="1"/>
    <x v="0"/>
  </r>
  <r>
    <n v="200843"/>
    <x v="0"/>
    <n v="13"/>
    <s v="Edo. Mex"/>
    <n v="1917"/>
    <x v="29"/>
    <x v="1"/>
    <x v="0"/>
  </r>
  <r>
    <n v="200844"/>
    <x v="69"/>
    <n v="11"/>
    <s v="Michoacán"/>
    <n v="1477"/>
    <x v="17"/>
    <x v="3"/>
    <x v="1"/>
  </r>
  <r>
    <n v="200845"/>
    <x v="129"/>
    <n v="26"/>
    <s v="Michoacán"/>
    <n v="1819"/>
    <x v="26"/>
    <x v="0"/>
    <x v="1"/>
  </r>
  <r>
    <n v="200846"/>
    <x v="103"/>
    <n v="29"/>
    <s v="Nuevo León"/>
    <n v="1657"/>
    <x v="22"/>
    <x v="2"/>
    <x v="2"/>
  </r>
  <r>
    <n v="200847"/>
    <x v="82"/>
    <n v="5"/>
    <s v="Puebla"/>
    <n v="1213"/>
    <x v="15"/>
    <x v="0"/>
    <x v="0"/>
  </r>
  <r>
    <n v="200848"/>
    <x v="10"/>
    <n v="11"/>
    <s v="Sonora"/>
    <n v="118"/>
    <x v="17"/>
    <x v="3"/>
    <x v="2"/>
  </r>
  <r>
    <n v="200849"/>
    <x v="131"/>
    <n v="22"/>
    <s v="Sonora"/>
    <n v="655"/>
    <x v="7"/>
    <x v="0"/>
    <x v="2"/>
  </r>
  <r>
    <n v="200850"/>
    <x v="178"/>
    <n v="4"/>
    <s v="Edo. Mex"/>
    <n v="1218"/>
    <x v="5"/>
    <x v="1"/>
    <x v="0"/>
  </r>
  <r>
    <n v="200851"/>
    <x v="4"/>
    <n v="8"/>
    <s v="Michoacán"/>
    <n v="954"/>
    <x v="21"/>
    <x v="2"/>
    <x v="1"/>
  </r>
  <r>
    <n v="200852"/>
    <x v="140"/>
    <n v="23"/>
    <s v="Jalisco"/>
    <n v="709"/>
    <x v="30"/>
    <x v="1"/>
    <x v="1"/>
  </r>
  <r>
    <n v="200853"/>
    <x v="103"/>
    <n v="4"/>
    <s v="Jalisco"/>
    <n v="1072"/>
    <x v="5"/>
    <x v="1"/>
    <x v="1"/>
  </r>
  <r>
    <n v="200854"/>
    <x v="143"/>
    <n v="29"/>
    <s v="CDMX"/>
    <n v="1426"/>
    <x v="22"/>
    <x v="2"/>
    <x v="0"/>
  </r>
  <r>
    <n v="200855"/>
    <x v="92"/>
    <n v="10"/>
    <s v="Paraguay"/>
    <n v="414"/>
    <x v="18"/>
    <x v="3"/>
    <x v="3"/>
  </r>
  <r>
    <n v="200856"/>
    <x v="94"/>
    <n v="12"/>
    <s v="Sonora"/>
    <n v="1040"/>
    <x v="1"/>
    <x v="0"/>
    <x v="2"/>
  </r>
  <r>
    <n v="200857"/>
    <x v="26"/>
    <n v="1"/>
    <s v="Michoacán"/>
    <n v="786"/>
    <x v="20"/>
    <x v="0"/>
    <x v="1"/>
  </r>
  <r>
    <n v="200858"/>
    <x v="69"/>
    <n v="28"/>
    <s v="Michoacán"/>
    <n v="103"/>
    <x v="9"/>
    <x v="0"/>
    <x v="1"/>
  </r>
  <r>
    <n v="200859"/>
    <x v="154"/>
    <n v="6"/>
    <s v="Jalisco"/>
    <n v="857"/>
    <x v="11"/>
    <x v="2"/>
    <x v="1"/>
  </r>
  <r>
    <n v="200860"/>
    <x v="88"/>
    <n v="13"/>
    <s v="Sonora"/>
    <n v="118"/>
    <x v="29"/>
    <x v="1"/>
    <x v="2"/>
  </r>
  <r>
    <n v="200861"/>
    <x v="15"/>
    <n v="20"/>
    <s v="Sonora"/>
    <n v="723"/>
    <x v="2"/>
    <x v="1"/>
    <x v="2"/>
  </r>
  <r>
    <n v="200862"/>
    <x v="5"/>
    <n v="27"/>
    <s v="Edo. Mex"/>
    <n v="296"/>
    <x v="8"/>
    <x v="2"/>
    <x v="0"/>
  </r>
  <r>
    <n v="200863"/>
    <x v="44"/>
    <n v="18"/>
    <s v="Michoacán"/>
    <n v="156"/>
    <x v="31"/>
    <x v="3"/>
    <x v="1"/>
  </r>
  <r>
    <n v="200864"/>
    <x v="113"/>
    <n v="21"/>
    <s v="Nuevo León"/>
    <n v="1188"/>
    <x v="13"/>
    <x v="2"/>
    <x v="2"/>
  </r>
  <r>
    <n v="200865"/>
    <x v="80"/>
    <n v="22"/>
    <s v="Nuevo León"/>
    <n v="1819"/>
    <x v="7"/>
    <x v="0"/>
    <x v="2"/>
  </r>
  <r>
    <n v="200866"/>
    <x v="11"/>
    <n v="25"/>
    <s v="Jalisco"/>
    <n v="132"/>
    <x v="16"/>
    <x v="2"/>
    <x v="1"/>
  </r>
  <r>
    <n v="200867"/>
    <x v="128"/>
    <n v="17"/>
    <s v="Sonora"/>
    <n v="360"/>
    <x v="28"/>
    <x v="3"/>
    <x v="2"/>
  </r>
  <r>
    <n v="200868"/>
    <x v="169"/>
    <n v="3"/>
    <s v="Puebla"/>
    <n v="441"/>
    <x v="12"/>
    <x v="1"/>
    <x v="0"/>
  </r>
  <r>
    <n v="200869"/>
    <x v="109"/>
    <n v="15"/>
    <s v="Paraguay"/>
    <n v="1570"/>
    <x v="25"/>
    <x v="0"/>
    <x v="3"/>
  </r>
  <r>
    <n v="200870"/>
    <x v="16"/>
    <n v="19"/>
    <s v="CDMX"/>
    <n v="1289"/>
    <x v="23"/>
    <x v="3"/>
    <x v="0"/>
  </r>
  <r>
    <n v="200871"/>
    <x v="94"/>
    <n v="29"/>
    <s v="Nuevo León"/>
    <n v="1524"/>
    <x v="22"/>
    <x v="2"/>
    <x v="2"/>
  </r>
  <r>
    <n v="200872"/>
    <x v="6"/>
    <n v="18"/>
    <s v="Sonora"/>
    <n v="1934"/>
    <x v="31"/>
    <x v="3"/>
    <x v="2"/>
  </r>
  <r>
    <n v="200873"/>
    <x v="40"/>
    <n v="7"/>
    <s v="Edo. Mex"/>
    <n v="255"/>
    <x v="24"/>
    <x v="3"/>
    <x v="0"/>
  </r>
  <r>
    <n v="200874"/>
    <x v="158"/>
    <n v="21"/>
    <s v="Michoacán"/>
    <n v="344"/>
    <x v="13"/>
    <x v="2"/>
    <x v="1"/>
  </r>
  <r>
    <n v="200875"/>
    <x v="162"/>
    <n v="22"/>
    <s v="CDMX"/>
    <n v="863"/>
    <x v="7"/>
    <x v="0"/>
    <x v="0"/>
  </r>
  <r>
    <n v="200876"/>
    <x v="90"/>
    <n v="9"/>
    <s v="Michoacán"/>
    <n v="1928"/>
    <x v="10"/>
    <x v="2"/>
    <x v="1"/>
  </r>
  <r>
    <n v="200877"/>
    <x v="71"/>
    <n v="14"/>
    <s v="Puebla"/>
    <n v="1122"/>
    <x v="3"/>
    <x v="0"/>
    <x v="0"/>
  </r>
  <r>
    <n v="200878"/>
    <x v="37"/>
    <n v="25"/>
    <s v="Jalisco"/>
    <n v="1202"/>
    <x v="16"/>
    <x v="2"/>
    <x v="1"/>
  </r>
  <r>
    <n v="200879"/>
    <x v="82"/>
    <n v="19"/>
    <s v="Paraguay"/>
    <n v="870"/>
    <x v="23"/>
    <x v="3"/>
    <x v="3"/>
  </r>
  <r>
    <n v="200880"/>
    <x v="131"/>
    <n v="19"/>
    <s v="Michoacán"/>
    <n v="1375"/>
    <x v="23"/>
    <x v="3"/>
    <x v="1"/>
  </r>
  <r>
    <n v="200881"/>
    <x v="115"/>
    <n v="19"/>
    <s v="Jalisco"/>
    <n v="1583"/>
    <x v="23"/>
    <x v="3"/>
    <x v="1"/>
  </r>
  <r>
    <n v="200882"/>
    <x v="78"/>
    <n v="7"/>
    <s v="CDMX"/>
    <n v="1885"/>
    <x v="24"/>
    <x v="3"/>
    <x v="0"/>
  </r>
  <r>
    <n v="200883"/>
    <x v="48"/>
    <n v="22"/>
    <s v="Paraguay"/>
    <n v="1033"/>
    <x v="7"/>
    <x v="0"/>
    <x v="3"/>
  </r>
  <r>
    <n v="200884"/>
    <x v="55"/>
    <n v="4"/>
    <s v="Nuevo León"/>
    <n v="323"/>
    <x v="5"/>
    <x v="1"/>
    <x v="2"/>
  </r>
  <r>
    <n v="200885"/>
    <x v="6"/>
    <n v="16"/>
    <s v="CDMX"/>
    <n v="783"/>
    <x v="19"/>
    <x v="3"/>
    <x v="0"/>
  </r>
  <r>
    <n v="200886"/>
    <x v="37"/>
    <n v="4"/>
    <s v="Nuevo León"/>
    <n v="413"/>
    <x v="5"/>
    <x v="1"/>
    <x v="2"/>
  </r>
  <r>
    <n v="200887"/>
    <x v="66"/>
    <n v="10"/>
    <s v="CDMX"/>
    <n v="741"/>
    <x v="18"/>
    <x v="3"/>
    <x v="0"/>
  </r>
  <r>
    <n v="200888"/>
    <x v="39"/>
    <n v="21"/>
    <s v="Michoacán"/>
    <n v="1970"/>
    <x v="13"/>
    <x v="2"/>
    <x v="1"/>
  </r>
  <r>
    <n v="200889"/>
    <x v="138"/>
    <n v="5"/>
    <s v="Jalisco"/>
    <n v="1330"/>
    <x v="15"/>
    <x v="0"/>
    <x v="1"/>
  </r>
  <r>
    <n v="200890"/>
    <x v="2"/>
    <n v="32"/>
    <s v="Sonora"/>
    <n v="688"/>
    <x v="4"/>
    <x v="0"/>
    <x v="2"/>
  </r>
  <r>
    <n v="200891"/>
    <x v="133"/>
    <n v="26"/>
    <s v="Nuevo León"/>
    <n v="935"/>
    <x v="26"/>
    <x v="0"/>
    <x v="2"/>
  </r>
  <r>
    <n v="200892"/>
    <x v="169"/>
    <n v="31"/>
    <s v="Paraguay"/>
    <n v="616"/>
    <x v="14"/>
    <x v="1"/>
    <x v="3"/>
  </r>
  <r>
    <n v="200893"/>
    <x v="164"/>
    <n v="1"/>
    <s v="Puebla"/>
    <n v="1769"/>
    <x v="20"/>
    <x v="0"/>
    <x v="0"/>
  </r>
  <r>
    <n v="200894"/>
    <x v="143"/>
    <n v="30"/>
    <s v="Paraguay"/>
    <n v="1926"/>
    <x v="0"/>
    <x v="0"/>
    <x v="3"/>
  </r>
  <r>
    <n v="200895"/>
    <x v="134"/>
    <n v="19"/>
    <s v="Puebla"/>
    <n v="127"/>
    <x v="23"/>
    <x v="3"/>
    <x v="0"/>
  </r>
  <r>
    <n v="200896"/>
    <x v="25"/>
    <n v="18"/>
    <s v="Edo. Mex"/>
    <n v="1422"/>
    <x v="31"/>
    <x v="3"/>
    <x v="0"/>
  </r>
  <r>
    <n v="200897"/>
    <x v="55"/>
    <n v="2"/>
    <s v="Edo. Mex"/>
    <n v="1224"/>
    <x v="6"/>
    <x v="1"/>
    <x v="0"/>
  </r>
  <r>
    <n v="200898"/>
    <x v="61"/>
    <n v="23"/>
    <s v="Edo. Mex"/>
    <n v="1847"/>
    <x v="30"/>
    <x v="1"/>
    <x v="0"/>
  </r>
  <r>
    <n v="200899"/>
    <x v="167"/>
    <n v="4"/>
    <s v="Nuevo León"/>
    <n v="144"/>
    <x v="5"/>
    <x v="1"/>
    <x v="2"/>
  </r>
  <r>
    <n v="200900"/>
    <x v="47"/>
    <n v="29"/>
    <s v="Sonora"/>
    <n v="933"/>
    <x v="22"/>
    <x v="2"/>
    <x v="2"/>
  </r>
  <r>
    <n v="200901"/>
    <x v="16"/>
    <n v="12"/>
    <s v="Jalisco"/>
    <n v="169"/>
    <x v="1"/>
    <x v="0"/>
    <x v="1"/>
  </r>
  <r>
    <n v="200902"/>
    <x v="26"/>
    <n v="29"/>
    <s v="Sonora"/>
    <n v="1961"/>
    <x v="22"/>
    <x v="2"/>
    <x v="2"/>
  </r>
  <r>
    <n v="200903"/>
    <x v="119"/>
    <n v="16"/>
    <s v="CDMX"/>
    <n v="898"/>
    <x v="19"/>
    <x v="3"/>
    <x v="0"/>
  </r>
  <r>
    <n v="200904"/>
    <x v="44"/>
    <n v="25"/>
    <s v="CDMX"/>
    <n v="121"/>
    <x v="16"/>
    <x v="2"/>
    <x v="0"/>
  </r>
  <r>
    <n v="200905"/>
    <x v="2"/>
    <n v="3"/>
    <s v="Sonora"/>
    <n v="1492"/>
    <x v="12"/>
    <x v="1"/>
    <x v="2"/>
  </r>
  <r>
    <n v="200906"/>
    <x v="128"/>
    <n v="17"/>
    <s v="Puebla"/>
    <n v="1598"/>
    <x v="28"/>
    <x v="3"/>
    <x v="0"/>
  </r>
  <r>
    <n v="200907"/>
    <x v="154"/>
    <n v="12"/>
    <s v="Paraguay"/>
    <n v="439"/>
    <x v="1"/>
    <x v="0"/>
    <x v="3"/>
  </r>
  <r>
    <n v="200908"/>
    <x v="141"/>
    <n v="24"/>
    <s v="Jalisco"/>
    <n v="184"/>
    <x v="27"/>
    <x v="3"/>
    <x v="1"/>
  </r>
  <r>
    <n v="200909"/>
    <x v="98"/>
    <n v="24"/>
    <s v="Jalisco"/>
    <n v="1905"/>
    <x v="27"/>
    <x v="3"/>
    <x v="1"/>
  </r>
  <r>
    <n v="200910"/>
    <x v="33"/>
    <n v="29"/>
    <s v="Paraguay"/>
    <n v="1554"/>
    <x v="22"/>
    <x v="2"/>
    <x v="3"/>
  </r>
  <r>
    <n v="200911"/>
    <x v="49"/>
    <n v="3"/>
    <s v="Edo. Mex"/>
    <n v="1852"/>
    <x v="12"/>
    <x v="1"/>
    <x v="0"/>
  </r>
  <r>
    <n v="200912"/>
    <x v="55"/>
    <n v="31"/>
    <s v="Jalisco"/>
    <n v="274"/>
    <x v="14"/>
    <x v="1"/>
    <x v="1"/>
  </r>
  <r>
    <n v="200913"/>
    <x v="25"/>
    <n v="19"/>
    <s v="Edo. Mex"/>
    <n v="707"/>
    <x v="23"/>
    <x v="3"/>
    <x v="0"/>
  </r>
  <r>
    <n v="200914"/>
    <x v="1"/>
    <n v="20"/>
    <s v="Michoacán"/>
    <n v="860"/>
    <x v="2"/>
    <x v="1"/>
    <x v="1"/>
  </r>
  <r>
    <n v="200915"/>
    <x v="57"/>
    <n v="20"/>
    <s v="Puebla"/>
    <n v="1039"/>
    <x v="2"/>
    <x v="1"/>
    <x v="0"/>
  </r>
  <r>
    <n v="200916"/>
    <x v="14"/>
    <n v="14"/>
    <s v="Jalisco"/>
    <n v="1961"/>
    <x v="3"/>
    <x v="0"/>
    <x v="1"/>
  </r>
  <r>
    <n v="200917"/>
    <x v="36"/>
    <n v="9"/>
    <s v="Puebla"/>
    <n v="1009"/>
    <x v="10"/>
    <x v="2"/>
    <x v="0"/>
  </r>
  <r>
    <n v="200918"/>
    <x v="60"/>
    <n v="22"/>
    <s v="CDMX"/>
    <n v="357"/>
    <x v="7"/>
    <x v="0"/>
    <x v="0"/>
  </r>
  <r>
    <n v="200919"/>
    <x v="100"/>
    <n v="17"/>
    <s v="Nuevo León"/>
    <n v="1945"/>
    <x v="28"/>
    <x v="3"/>
    <x v="2"/>
  </r>
  <r>
    <n v="200920"/>
    <x v="126"/>
    <n v="22"/>
    <s v="Puebla"/>
    <n v="1762"/>
    <x v="7"/>
    <x v="0"/>
    <x v="0"/>
  </r>
  <r>
    <n v="200921"/>
    <x v="24"/>
    <n v="12"/>
    <s v="Michoacán"/>
    <n v="953"/>
    <x v="1"/>
    <x v="0"/>
    <x v="1"/>
  </r>
  <r>
    <n v="200922"/>
    <x v="152"/>
    <n v="22"/>
    <s v="Michoacán"/>
    <n v="1082"/>
    <x v="7"/>
    <x v="0"/>
    <x v="1"/>
  </r>
  <r>
    <n v="200923"/>
    <x v="36"/>
    <n v="29"/>
    <s v="Jalisco"/>
    <n v="1963"/>
    <x v="22"/>
    <x v="2"/>
    <x v="1"/>
  </r>
  <r>
    <n v="200924"/>
    <x v="3"/>
    <n v="20"/>
    <s v="Sonora"/>
    <n v="477"/>
    <x v="2"/>
    <x v="1"/>
    <x v="2"/>
  </r>
  <r>
    <n v="200925"/>
    <x v="114"/>
    <n v="11"/>
    <s v="CDMX"/>
    <n v="710"/>
    <x v="17"/>
    <x v="3"/>
    <x v="0"/>
  </r>
  <r>
    <n v="200926"/>
    <x v="15"/>
    <n v="14"/>
    <s v="Edo. Mex"/>
    <n v="1207"/>
    <x v="3"/>
    <x v="0"/>
    <x v="0"/>
  </r>
  <r>
    <n v="200927"/>
    <x v="126"/>
    <n v="18"/>
    <s v="Puebla"/>
    <n v="961"/>
    <x v="31"/>
    <x v="3"/>
    <x v="0"/>
  </r>
  <r>
    <n v="200928"/>
    <x v="95"/>
    <n v="6"/>
    <s v="CDMX"/>
    <n v="493"/>
    <x v="11"/>
    <x v="2"/>
    <x v="0"/>
  </r>
  <r>
    <n v="200929"/>
    <x v="42"/>
    <n v="20"/>
    <s v="Nuevo León"/>
    <n v="441"/>
    <x v="2"/>
    <x v="1"/>
    <x v="2"/>
  </r>
  <r>
    <n v="200930"/>
    <x v="7"/>
    <n v="10"/>
    <s v="Jalisco"/>
    <n v="213"/>
    <x v="18"/>
    <x v="3"/>
    <x v="1"/>
  </r>
  <r>
    <n v="200931"/>
    <x v="170"/>
    <n v="16"/>
    <s v="Paraguay"/>
    <n v="606"/>
    <x v="19"/>
    <x v="3"/>
    <x v="3"/>
  </r>
  <r>
    <n v="200932"/>
    <x v="126"/>
    <n v="10"/>
    <s v="Nuevo León"/>
    <n v="428"/>
    <x v="18"/>
    <x v="3"/>
    <x v="2"/>
  </r>
  <r>
    <n v="200933"/>
    <x v="154"/>
    <n v="13"/>
    <s v="Nuevo León"/>
    <n v="810"/>
    <x v="29"/>
    <x v="1"/>
    <x v="2"/>
  </r>
  <r>
    <n v="200934"/>
    <x v="122"/>
    <n v="23"/>
    <s v="Sonora"/>
    <n v="1680"/>
    <x v="30"/>
    <x v="1"/>
    <x v="2"/>
  </r>
  <r>
    <n v="200935"/>
    <x v="88"/>
    <n v="4"/>
    <s v="Nuevo León"/>
    <n v="1497"/>
    <x v="5"/>
    <x v="1"/>
    <x v="2"/>
  </r>
  <r>
    <n v="200936"/>
    <x v="43"/>
    <n v="30"/>
    <s v="Nuevo León"/>
    <n v="154"/>
    <x v="0"/>
    <x v="0"/>
    <x v="2"/>
  </r>
  <r>
    <n v="200937"/>
    <x v="61"/>
    <n v="26"/>
    <s v="Jalisco"/>
    <n v="539"/>
    <x v="26"/>
    <x v="0"/>
    <x v="1"/>
  </r>
  <r>
    <n v="200938"/>
    <x v="109"/>
    <n v="6"/>
    <s v="Michoacán"/>
    <n v="1640"/>
    <x v="11"/>
    <x v="2"/>
    <x v="1"/>
  </r>
  <r>
    <n v="200939"/>
    <x v="79"/>
    <n v="21"/>
    <s v="Puebla"/>
    <n v="1175"/>
    <x v="13"/>
    <x v="2"/>
    <x v="0"/>
  </r>
  <r>
    <n v="200940"/>
    <x v="22"/>
    <n v="13"/>
    <s v="Sonora"/>
    <n v="446"/>
    <x v="29"/>
    <x v="1"/>
    <x v="2"/>
  </r>
  <r>
    <n v="200941"/>
    <x v="11"/>
    <n v="2"/>
    <s v="Puebla"/>
    <n v="1623"/>
    <x v="6"/>
    <x v="1"/>
    <x v="0"/>
  </r>
  <r>
    <n v="200942"/>
    <x v="88"/>
    <n v="25"/>
    <s v="Nuevo León"/>
    <n v="696"/>
    <x v="16"/>
    <x v="2"/>
    <x v="2"/>
  </r>
  <r>
    <n v="200943"/>
    <x v="77"/>
    <n v="6"/>
    <s v="Nuevo León"/>
    <n v="1482"/>
    <x v="11"/>
    <x v="2"/>
    <x v="2"/>
  </r>
  <r>
    <n v="200944"/>
    <x v="16"/>
    <n v="11"/>
    <s v="CDMX"/>
    <n v="1520"/>
    <x v="17"/>
    <x v="3"/>
    <x v="0"/>
  </r>
  <r>
    <n v="200945"/>
    <x v="156"/>
    <n v="27"/>
    <s v="Edo. Mex"/>
    <n v="383"/>
    <x v="8"/>
    <x v="2"/>
    <x v="0"/>
  </r>
  <r>
    <n v="200946"/>
    <x v="120"/>
    <n v="5"/>
    <s v="CDMX"/>
    <n v="1070"/>
    <x v="15"/>
    <x v="0"/>
    <x v="0"/>
  </r>
  <r>
    <n v="200947"/>
    <x v="58"/>
    <n v="6"/>
    <s v="Paraguay"/>
    <n v="1397"/>
    <x v="11"/>
    <x v="2"/>
    <x v="3"/>
  </r>
  <r>
    <n v="200948"/>
    <x v="73"/>
    <n v="23"/>
    <s v="Puebla"/>
    <n v="155"/>
    <x v="30"/>
    <x v="1"/>
    <x v="0"/>
  </r>
  <r>
    <n v="200949"/>
    <x v="114"/>
    <n v="15"/>
    <s v="Sonora"/>
    <n v="754"/>
    <x v="25"/>
    <x v="0"/>
    <x v="2"/>
  </r>
  <r>
    <n v="200950"/>
    <x v="149"/>
    <n v="19"/>
    <s v="Michoacán"/>
    <n v="1942"/>
    <x v="23"/>
    <x v="3"/>
    <x v="1"/>
  </r>
  <r>
    <n v="200951"/>
    <x v="165"/>
    <n v="15"/>
    <s v="Nuevo León"/>
    <n v="1596"/>
    <x v="25"/>
    <x v="0"/>
    <x v="2"/>
  </r>
  <r>
    <n v="200952"/>
    <x v="102"/>
    <n v="2"/>
    <s v="Jalisco"/>
    <n v="1963"/>
    <x v="6"/>
    <x v="1"/>
    <x v="1"/>
  </r>
  <r>
    <n v="200953"/>
    <x v="27"/>
    <n v="32"/>
    <s v="Sonora"/>
    <n v="279"/>
    <x v="4"/>
    <x v="0"/>
    <x v="2"/>
  </r>
  <r>
    <n v="200954"/>
    <x v="163"/>
    <n v="13"/>
    <s v="Nuevo León"/>
    <n v="1646"/>
    <x v="29"/>
    <x v="1"/>
    <x v="2"/>
  </r>
  <r>
    <n v="200955"/>
    <x v="111"/>
    <n v="7"/>
    <s v="Michoacán"/>
    <n v="1327"/>
    <x v="24"/>
    <x v="3"/>
    <x v="1"/>
  </r>
  <r>
    <n v="200956"/>
    <x v="162"/>
    <n v="9"/>
    <s v="Sonora"/>
    <n v="545"/>
    <x v="10"/>
    <x v="2"/>
    <x v="2"/>
  </r>
  <r>
    <n v="200957"/>
    <x v="179"/>
    <n v="30"/>
    <s v="Sonora"/>
    <n v="1307"/>
    <x v="0"/>
    <x v="0"/>
    <x v="2"/>
  </r>
  <r>
    <n v="200958"/>
    <x v="24"/>
    <n v="12"/>
    <s v="Puebla"/>
    <n v="1726"/>
    <x v="1"/>
    <x v="0"/>
    <x v="0"/>
  </r>
  <r>
    <n v="200959"/>
    <x v="33"/>
    <n v="25"/>
    <s v="Paraguay"/>
    <n v="1769"/>
    <x v="16"/>
    <x v="2"/>
    <x v="3"/>
  </r>
  <r>
    <n v="200960"/>
    <x v="160"/>
    <n v="25"/>
    <s v="Puebla"/>
    <n v="1219"/>
    <x v="16"/>
    <x v="2"/>
    <x v="0"/>
  </r>
  <r>
    <n v="200961"/>
    <x v="143"/>
    <n v="14"/>
    <s v="Sonora"/>
    <n v="1636"/>
    <x v="3"/>
    <x v="0"/>
    <x v="2"/>
  </r>
  <r>
    <n v="200962"/>
    <x v="7"/>
    <n v="26"/>
    <s v="Puebla"/>
    <n v="496"/>
    <x v="26"/>
    <x v="0"/>
    <x v="0"/>
  </r>
  <r>
    <n v="200963"/>
    <x v="136"/>
    <n v="4"/>
    <s v="Edo. Mex"/>
    <n v="1300"/>
    <x v="5"/>
    <x v="1"/>
    <x v="0"/>
  </r>
  <r>
    <n v="200964"/>
    <x v="62"/>
    <n v="27"/>
    <s v="Jalisco"/>
    <n v="1644"/>
    <x v="8"/>
    <x v="2"/>
    <x v="1"/>
  </r>
  <r>
    <n v="200965"/>
    <x v="120"/>
    <n v="4"/>
    <s v="Jalisco"/>
    <n v="1714"/>
    <x v="5"/>
    <x v="1"/>
    <x v="1"/>
  </r>
  <r>
    <n v="200966"/>
    <x v="141"/>
    <n v="4"/>
    <s v="Edo. Mex"/>
    <n v="725"/>
    <x v="5"/>
    <x v="1"/>
    <x v="0"/>
  </r>
  <r>
    <n v="200967"/>
    <x v="131"/>
    <n v="3"/>
    <s v="Edo. Mex"/>
    <n v="914"/>
    <x v="12"/>
    <x v="1"/>
    <x v="0"/>
  </r>
  <r>
    <n v="200968"/>
    <x v="155"/>
    <n v="8"/>
    <s v="Michoacán"/>
    <n v="381"/>
    <x v="21"/>
    <x v="2"/>
    <x v="1"/>
  </r>
  <r>
    <n v="200969"/>
    <x v="179"/>
    <n v="24"/>
    <s v="CDMX"/>
    <n v="139"/>
    <x v="27"/>
    <x v="3"/>
    <x v="0"/>
  </r>
  <r>
    <n v="200970"/>
    <x v="135"/>
    <n v="20"/>
    <s v="Puebla"/>
    <n v="544"/>
    <x v="2"/>
    <x v="1"/>
    <x v="0"/>
  </r>
  <r>
    <n v="200971"/>
    <x v="170"/>
    <n v="26"/>
    <s v="Edo. Mex"/>
    <n v="1995"/>
    <x v="26"/>
    <x v="0"/>
    <x v="0"/>
  </r>
  <r>
    <n v="200972"/>
    <x v="31"/>
    <n v="8"/>
    <s v="Puebla"/>
    <n v="274"/>
    <x v="21"/>
    <x v="2"/>
    <x v="0"/>
  </r>
  <r>
    <n v="200973"/>
    <x v="45"/>
    <n v="5"/>
    <s v="CDMX"/>
    <n v="985"/>
    <x v="15"/>
    <x v="0"/>
    <x v="0"/>
  </r>
  <r>
    <n v="200974"/>
    <x v="93"/>
    <n v="8"/>
    <s v="Michoacán"/>
    <n v="1371"/>
    <x v="21"/>
    <x v="2"/>
    <x v="1"/>
  </r>
  <r>
    <n v="200975"/>
    <x v="135"/>
    <n v="26"/>
    <s v="Michoacán"/>
    <n v="336"/>
    <x v="26"/>
    <x v="0"/>
    <x v="1"/>
  </r>
  <r>
    <n v="200976"/>
    <x v="31"/>
    <n v="15"/>
    <s v="Michoacán"/>
    <n v="601"/>
    <x v="25"/>
    <x v="0"/>
    <x v="1"/>
  </r>
  <r>
    <n v="200977"/>
    <x v="97"/>
    <n v="32"/>
    <s v="Sonora"/>
    <n v="724"/>
    <x v="4"/>
    <x v="0"/>
    <x v="2"/>
  </r>
  <r>
    <n v="200978"/>
    <x v="74"/>
    <n v="32"/>
    <s v="Paraguay"/>
    <n v="392"/>
    <x v="4"/>
    <x v="0"/>
    <x v="3"/>
  </r>
  <r>
    <n v="200979"/>
    <x v="128"/>
    <n v="28"/>
    <s v="Jalisco"/>
    <n v="156"/>
    <x v="9"/>
    <x v="0"/>
    <x v="1"/>
  </r>
  <r>
    <n v="200980"/>
    <x v="164"/>
    <n v="9"/>
    <s v="CDMX"/>
    <n v="1432"/>
    <x v="10"/>
    <x v="2"/>
    <x v="0"/>
  </r>
  <r>
    <n v="200981"/>
    <x v="79"/>
    <n v="12"/>
    <s v="Nuevo León"/>
    <n v="1910"/>
    <x v="1"/>
    <x v="0"/>
    <x v="2"/>
  </r>
  <r>
    <n v="200982"/>
    <x v="47"/>
    <n v="6"/>
    <s v="Nuevo León"/>
    <n v="677"/>
    <x v="11"/>
    <x v="2"/>
    <x v="2"/>
  </r>
  <r>
    <n v="200983"/>
    <x v="117"/>
    <n v="29"/>
    <s v="Edo. Mex"/>
    <n v="334"/>
    <x v="22"/>
    <x v="2"/>
    <x v="0"/>
  </r>
  <r>
    <n v="200984"/>
    <x v="158"/>
    <n v="20"/>
    <s v="CDMX"/>
    <n v="1399"/>
    <x v="2"/>
    <x v="1"/>
    <x v="0"/>
  </r>
  <r>
    <n v="200985"/>
    <x v="120"/>
    <n v="17"/>
    <s v="Nuevo León"/>
    <n v="183"/>
    <x v="28"/>
    <x v="3"/>
    <x v="2"/>
  </r>
  <r>
    <n v="200986"/>
    <x v="88"/>
    <n v="13"/>
    <s v="Puebla"/>
    <n v="659"/>
    <x v="29"/>
    <x v="1"/>
    <x v="0"/>
  </r>
  <r>
    <n v="200987"/>
    <x v="25"/>
    <n v="26"/>
    <s v="Edo. Mex"/>
    <n v="1758"/>
    <x v="26"/>
    <x v="0"/>
    <x v="0"/>
  </r>
  <r>
    <n v="200988"/>
    <x v="47"/>
    <n v="7"/>
    <s v="Sonora"/>
    <n v="1239"/>
    <x v="24"/>
    <x v="3"/>
    <x v="2"/>
  </r>
  <r>
    <n v="200989"/>
    <x v="140"/>
    <n v="27"/>
    <s v="Edo. Mex"/>
    <n v="1889"/>
    <x v="8"/>
    <x v="2"/>
    <x v="0"/>
  </r>
  <r>
    <n v="200990"/>
    <x v="33"/>
    <n v="12"/>
    <s v="Nuevo León"/>
    <n v="1341"/>
    <x v="1"/>
    <x v="0"/>
    <x v="2"/>
  </r>
  <r>
    <n v="200991"/>
    <x v="126"/>
    <n v="6"/>
    <s v="Sonora"/>
    <n v="892"/>
    <x v="11"/>
    <x v="2"/>
    <x v="2"/>
  </r>
  <r>
    <n v="200992"/>
    <x v="101"/>
    <n v="12"/>
    <s v="Sonora"/>
    <n v="689"/>
    <x v="1"/>
    <x v="0"/>
    <x v="2"/>
  </r>
  <r>
    <n v="200993"/>
    <x v="18"/>
    <n v="15"/>
    <s v="Michoacán"/>
    <n v="1468"/>
    <x v="25"/>
    <x v="0"/>
    <x v="1"/>
  </r>
  <r>
    <n v="200994"/>
    <x v="58"/>
    <n v="26"/>
    <s v="Paraguay"/>
    <n v="1102"/>
    <x v="26"/>
    <x v="0"/>
    <x v="3"/>
  </r>
  <r>
    <n v="200995"/>
    <x v="172"/>
    <n v="19"/>
    <s v="Michoacán"/>
    <n v="1831"/>
    <x v="23"/>
    <x v="3"/>
    <x v="1"/>
  </r>
  <r>
    <n v="200996"/>
    <x v="71"/>
    <n v="30"/>
    <s v="Puebla"/>
    <n v="1495"/>
    <x v="0"/>
    <x v="0"/>
    <x v="0"/>
  </r>
  <r>
    <n v="200997"/>
    <x v="39"/>
    <n v="11"/>
    <s v="CDMX"/>
    <n v="525"/>
    <x v="17"/>
    <x v="3"/>
    <x v="0"/>
  </r>
  <r>
    <n v="200998"/>
    <x v="28"/>
    <n v="20"/>
    <s v="Edo. Mex"/>
    <n v="1420"/>
    <x v="2"/>
    <x v="1"/>
    <x v="0"/>
  </r>
  <r>
    <n v="200999"/>
    <x v="97"/>
    <n v="21"/>
    <s v="CDMX"/>
    <n v="1883"/>
    <x v="13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A9063-21BD-4C5A-B453-5BD41A753798}" name="TablaDinámica1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egion" colHeaderCaption="Categoria">
  <location ref="A3:F9" firstHeaderRow="1" firstDataRow="2" firstDataCol="1"/>
  <pivotFields count="10">
    <pivotField showAll="0"/>
    <pivotField numFmtId="164" showAll="0">
      <items count="181">
        <item x="131"/>
        <item x="10"/>
        <item x="167"/>
        <item x="86"/>
        <item x="104"/>
        <item x="26"/>
        <item x="24"/>
        <item x="120"/>
        <item x="144"/>
        <item x="3"/>
        <item x="90"/>
        <item x="95"/>
        <item x="132"/>
        <item x="4"/>
        <item x="179"/>
        <item x="143"/>
        <item x="40"/>
        <item x="68"/>
        <item x="54"/>
        <item x="6"/>
        <item x="48"/>
        <item x="101"/>
        <item x="126"/>
        <item x="19"/>
        <item x="72"/>
        <item x="100"/>
        <item x="130"/>
        <item x="61"/>
        <item x="14"/>
        <item x="77"/>
        <item x="32"/>
        <item x="16"/>
        <item x="34"/>
        <item x="76"/>
        <item x="82"/>
        <item x="55"/>
        <item x="37"/>
        <item x="18"/>
        <item x="84"/>
        <item x="169"/>
        <item x="119"/>
        <item x="25"/>
        <item x="49"/>
        <item x="22"/>
        <item x="124"/>
        <item x="2"/>
        <item x="91"/>
        <item x="158"/>
        <item x="88"/>
        <item x="172"/>
        <item x="46"/>
        <item x="31"/>
        <item x="52"/>
        <item x="38"/>
        <item x="128"/>
        <item x="93"/>
        <item x="159"/>
        <item x="98"/>
        <item x="163"/>
        <item x="85"/>
        <item x="1"/>
        <item x="123"/>
        <item x="11"/>
        <item x="156"/>
        <item x="174"/>
        <item x="149"/>
        <item x="108"/>
        <item x="117"/>
        <item x="7"/>
        <item x="157"/>
        <item x="5"/>
        <item x="175"/>
        <item x="23"/>
        <item x="41"/>
        <item x="102"/>
        <item x="8"/>
        <item x="110"/>
        <item x="165"/>
        <item x="64"/>
        <item x="39"/>
        <item x="141"/>
        <item x="173"/>
        <item x="12"/>
        <item x="150"/>
        <item x="137"/>
        <item x="96"/>
        <item x="112"/>
        <item x="135"/>
        <item x="81"/>
        <item x="59"/>
        <item x="125"/>
        <item x="27"/>
        <item x="36"/>
        <item x="164"/>
        <item x="153"/>
        <item x="139"/>
        <item x="118"/>
        <item x="56"/>
        <item x="142"/>
        <item x="28"/>
        <item x="67"/>
        <item x="47"/>
        <item x="33"/>
        <item x="114"/>
        <item x="99"/>
        <item x="20"/>
        <item x="160"/>
        <item x="103"/>
        <item x="177"/>
        <item x="50"/>
        <item x="9"/>
        <item x="63"/>
        <item x="162"/>
        <item x="62"/>
        <item x="151"/>
        <item x="89"/>
        <item x="45"/>
        <item x="109"/>
        <item x="171"/>
        <item x="70"/>
        <item x="154"/>
        <item x="122"/>
        <item x="116"/>
        <item x="57"/>
        <item x="127"/>
        <item x="147"/>
        <item x="107"/>
        <item x="168"/>
        <item x="30"/>
        <item x="43"/>
        <item x="178"/>
        <item x="138"/>
        <item x="17"/>
        <item x="66"/>
        <item x="134"/>
        <item x="148"/>
        <item x="35"/>
        <item x="60"/>
        <item x="13"/>
        <item x="53"/>
        <item x="73"/>
        <item x="75"/>
        <item x="69"/>
        <item x="146"/>
        <item x="80"/>
        <item x="113"/>
        <item x="152"/>
        <item x="136"/>
        <item x="58"/>
        <item x="105"/>
        <item x="92"/>
        <item x="42"/>
        <item x="87"/>
        <item x="121"/>
        <item x="21"/>
        <item x="15"/>
        <item x="94"/>
        <item x="29"/>
        <item x="129"/>
        <item x="166"/>
        <item x="155"/>
        <item x="133"/>
        <item x="71"/>
        <item x="111"/>
        <item x="145"/>
        <item x="44"/>
        <item x="176"/>
        <item x="51"/>
        <item x="78"/>
        <item x="161"/>
        <item x="115"/>
        <item x="140"/>
        <item x="170"/>
        <item x="106"/>
        <item x="0"/>
        <item x="79"/>
        <item x="65"/>
        <item x="83"/>
        <item x="74"/>
        <item x="97"/>
        <item t="default"/>
      </items>
    </pivotField>
    <pivotField showAll="0"/>
    <pivotField showAll="0"/>
    <pivotField dataField="1" showAll="0"/>
    <pivotField showAll="0"/>
    <pivotField axis="axisCol" showAll="0">
      <items count="5">
        <item x="1"/>
        <item x="2"/>
        <item x="0"/>
        <item x="3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5">
    <i>
      <x/>
    </i>
    <i>
      <x v="1"/>
    </i>
    <i>
      <x v="2"/>
    </i>
    <i>
      <x v="3"/>
    </i>
    <i t="grand">
      <x/>
    </i>
  </colItems>
  <dataFields count="1">
    <dataField name="Ingresos" fld="4" baseField="0" baseItem="0" numFmtId="42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929C3-738B-4E16-9B69-F86B948882AA}" name="TablaDiná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10">
    <pivotField showAll="0"/>
    <pivotField axis="axisRow" numFmtId="164" showAll="0">
      <items count="181">
        <item x="131"/>
        <item x="10"/>
        <item x="167"/>
        <item x="86"/>
        <item x="104"/>
        <item x="26"/>
        <item x="24"/>
        <item x="120"/>
        <item x="144"/>
        <item x="3"/>
        <item x="90"/>
        <item x="95"/>
        <item x="132"/>
        <item x="4"/>
        <item x="179"/>
        <item x="143"/>
        <item x="40"/>
        <item x="68"/>
        <item x="54"/>
        <item x="6"/>
        <item x="48"/>
        <item x="101"/>
        <item x="126"/>
        <item x="19"/>
        <item x="72"/>
        <item x="100"/>
        <item x="130"/>
        <item x="61"/>
        <item x="14"/>
        <item x="77"/>
        <item x="32"/>
        <item x="16"/>
        <item x="34"/>
        <item x="76"/>
        <item x="82"/>
        <item x="55"/>
        <item x="37"/>
        <item x="18"/>
        <item x="84"/>
        <item x="169"/>
        <item x="119"/>
        <item x="25"/>
        <item x="49"/>
        <item x="22"/>
        <item x="124"/>
        <item x="2"/>
        <item x="91"/>
        <item x="158"/>
        <item x="88"/>
        <item x="172"/>
        <item x="46"/>
        <item x="31"/>
        <item x="52"/>
        <item x="38"/>
        <item x="128"/>
        <item x="93"/>
        <item x="159"/>
        <item x="98"/>
        <item x="163"/>
        <item x="85"/>
        <item x="1"/>
        <item x="123"/>
        <item x="11"/>
        <item x="156"/>
        <item x="174"/>
        <item x="149"/>
        <item x="108"/>
        <item x="117"/>
        <item x="7"/>
        <item x="157"/>
        <item x="5"/>
        <item x="175"/>
        <item x="23"/>
        <item x="41"/>
        <item x="102"/>
        <item x="8"/>
        <item x="110"/>
        <item x="165"/>
        <item x="64"/>
        <item x="39"/>
        <item x="141"/>
        <item x="173"/>
        <item x="12"/>
        <item x="150"/>
        <item x="137"/>
        <item x="96"/>
        <item x="112"/>
        <item x="135"/>
        <item x="81"/>
        <item x="59"/>
        <item x="125"/>
        <item x="27"/>
        <item x="36"/>
        <item x="164"/>
        <item x="153"/>
        <item x="139"/>
        <item x="118"/>
        <item x="56"/>
        <item x="142"/>
        <item x="28"/>
        <item x="67"/>
        <item x="47"/>
        <item x="33"/>
        <item x="114"/>
        <item x="99"/>
        <item x="20"/>
        <item x="160"/>
        <item x="103"/>
        <item x="177"/>
        <item x="50"/>
        <item x="9"/>
        <item x="63"/>
        <item x="162"/>
        <item x="62"/>
        <item x="151"/>
        <item x="89"/>
        <item x="45"/>
        <item x="109"/>
        <item x="171"/>
        <item x="70"/>
        <item x="154"/>
        <item x="122"/>
        <item x="116"/>
        <item x="57"/>
        <item x="127"/>
        <item x="147"/>
        <item x="107"/>
        <item x="168"/>
        <item x="30"/>
        <item x="43"/>
        <item x="178"/>
        <item x="138"/>
        <item x="17"/>
        <item x="66"/>
        <item x="134"/>
        <item x="148"/>
        <item x="35"/>
        <item x="60"/>
        <item x="13"/>
        <item x="53"/>
        <item x="73"/>
        <item x="75"/>
        <item x="69"/>
        <item x="146"/>
        <item x="80"/>
        <item x="113"/>
        <item x="152"/>
        <item x="136"/>
        <item x="58"/>
        <item x="105"/>
        <item x="92"/>
        <item x="42"/>
        <item x="87"/>
        <item x="121"/>
        <item x="21"/>
        <item x="15"/>
        <item x="94"/>
        <item x="29"/>
        <item x="129"/>
        <item x="166"/>
        <item x="155"/>
        <item x="133"/>
        <item x="71"/>
        <item x="111"/>
        <item x="145"/>
        <item x="44"/>
        <item x="176"/>
        <item x="51"/>
        <item x="78"/>
        <item x="161"/>
        <item x="115"/>
        <item x="140"/>
        <item x="170"/>
        <item x="106"/>
        <item x="0"/>
        <item x="79"/>
        <item x="65"/>
        <item x="83"/>
        <item x="74"/>
        <item x="97"/>
        <item t="default"/>
      </items>
    </pivotField>
    <pivotField showAll="0"/>
    <pivotField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9"/>
    <field x="8"/>
    <field x="1"/>
  </rowFields>
  <rowItems count="7"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de Importe" fld="4" baseField="0" baseItem="0"/>
  </dataFields>
  <chartFormats count="369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9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0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1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2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3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4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5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6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7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8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9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0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1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2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3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4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5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6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7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8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9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0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1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2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2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2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2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2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2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2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2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2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2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2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2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2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2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2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2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2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2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2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2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2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2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2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2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2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2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2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2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2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2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2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2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2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0" format="2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0" format="2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0" format="2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2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2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0" format="2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0" format="2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0" format="2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2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2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2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0" format="2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0" format="2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0" format="2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0" format="2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2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0" format="2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2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2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2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0" format="2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0" format="2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0" format="2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0" format="2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0" format="2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0" format="2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0" format="2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0" format="2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0" format="2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0" format="2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0" format="2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0" format="2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0" format="2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0" format="2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0" format="2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0" format="2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0" format="2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0" format="2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0" format="2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0" format="2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0" format="2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0" format="2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0" format="2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0" format="2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0" format="2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0" format="2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0" format="2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0" format="2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0" format="2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0" format="2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0" format="2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0" format="2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0" format="2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0" format="2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0" format="3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0" format="3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0" format="3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0" format="3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0" format="3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0" format="3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0" format="3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0" format="3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0" format="3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0" format="3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0" format="3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0" format="3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0" format="3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0" format="3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0" format="3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0" format="3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0" format="3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0" format="3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0" format="3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0" format="3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0" format="3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0" format="3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0" format="3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0" format="3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0" format="3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0" format="3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0" format="3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0" format="3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0" format="3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0" format="3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0" format="3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0" format="3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0" format="3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0" format="3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0" format="3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0" format="3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0" format="3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0" format="3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0" format="3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0" format="3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0" format="3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0" format="3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0" format="3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0" format="3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0" format="3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0" format="3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0" format="3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0" format="3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0" format="3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0" format="3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0" format="3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0" format="3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0" format="3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0" format="3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0" format="3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0" format="3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0" format="3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0" format="3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0" format="3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0" format="3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0" format="3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0" format="3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0" format="3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0" format="3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0" format="3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0" format="3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0" format="3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6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5ACD6-4FED-4E17-91A7-9037AC3E8EC9}" name="TablaDinámica4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3:O40" firstHeaderRow="1" firstDataRow="5" firstDataCol="1" rowPageCount="1" colPageCount="1"/>
  <pivotFields count="10">
    <pivotField showAll="0"/>
    <pivotField axis="axisCol" numFmtId="164" showAll="0">
      <items count="181">
        <item x="131"/>
        <item x="10"/>
        <item x="167"/>
        <item x="86"/>
        <item x="104"/>
        <item x="26"/>
        <item x="24"/>
        <item x="120"/>
        <item x="144"/>
        <item x="3"/>
        <item x="90"/>
        <item x="95"/>
        <item x="132"/>
        <item x="4"/>
        <item x="179"/>
        <item x="143"/>
        <item x="40"/>
        <item x="68"/>
        <item x="54"/>
        <item x="6"/>
        <item x="48"/>
        <item x="101"/>
        <item x="126"/>
        <item x="19"/>
        <item x="72"/>
        <item x="100"/>
        <item x="130"/>
        <item x="61"/>
        <item x="14"/>
        <item x="77"/>
        <item x="32"/>
        <item x="16"/>
        <item x="34"/>
        <item x="76"/>
        <item x="82"/>
        <item x="55"/>
        <item x="37"/>
        <item x="18"/>
        <item x="84"/>
        <item x="169"/>
        <item x="119"/>
        <item x="25"/>
        <item x="49"/>
        <item x="22"/>
        <item x="124"/>
        <item x="2"/>
        <item x="91"/>
        <item x="158"/>
        <item x="88"/>
        <item x="172"/>
        <item x="46"/>
        <item x="31"/>
        <item x="52"/>
        <item x="38"/>
        <item x="128"/>
        <item x="93"/>
        <item x="159"/>
        <item x="98"/>
        <item x="163"/>
        <item x="85"/>
        <item x="1"/>
        <item x="123"/>
        <item x="11"/>
        <item x="156"/>
        <item x="174"/>
        <item x="149"/>
        <item x="108"/>
        <item x="117"/>
        <item x="7"/>
        <item x="157"/>
        <item x="5"/>
        <item x="175"/>
        <item x="23"/>
        <item x="41"/>
        <item x="102"/>
        <item x="8"/>
        <item x="110"/>
        <item x="165"/>
        <item x="64"/>
        <item x="39"/>
        <item x="141"/>
        <item x="173"/>
        <item x="12"/>
        <item x="150"/>
        <item x="137"/>
        <item x="96"/>
        <item x="112"/>
        <item x="135"/>
        <item x="81"/>
        <item x="59"/>
        <item x="125"/>
        <item x="27"/>
        <item x="36"/>
        <item x="164"/>
        <item x="153"/>
        <item x="139"/>
        <item x="118"/>
        <item x="56"/>
        <item x="142"/>
        <item x="28"/>
        <item x="67"/>
        <item x="47"/>
        <item x="33"/>
        <item x="114"/>
        <item x="99"/>
        <item x="20"/>
        <item x="160"/>
        <item x="103"/>
        <item x="177"/>
        <item x="50"/>
        <item x="9"/>
        <item x="63"/>
        <item x="162"/>
        <item x="62"/>
        <item x="151"/>
        <item x="89"/>
        <item x="45"/>
        <item x="109"/>
        <item x="171"/>
        <item x="70"/>
        <item x="154"/>
        <item x="122"/>
        <item x="116"/>
        <item x="57"/>
        <item x="127"/>
        <item x="147"/>
        <item x="107"/>
        <item x="168"/>
        <item x="30"/>
        <item x="43"/>
        <item x="178"/>
        <item x="138"/>
        <item x="17"/>
        <item x="66"/>
        <item x="134"/>
        <item x="148"/>
        <item x="35"/>
        <item x="60"/>
        <item x="13"/>
        <item x="53"/>
        <item x="73"/>
        <item x="75"/>
        <item x="69"/>
        <item x="146"/>
        <item x="80"/>
        <item x="113"/>
        <item x="152"/>
        <item x="136"/>
        <item x="58"/>
        <item x="105"/>
        <item x="92"/>
        <item x="42"/>
        <item x="87"/>
        <item x="121"/>
        <item x="21"/>
        <item x="15"/>
        <item x="94"/>
        <item x="29"/>
        <item x="129"/>
        <item x="166"/>
        <item x="155"/>
        <item x="133"/>
        <item x="71"/>
        <item x="111"/>
        <item x="145"/>
        <item x="44"/>
        <item x="176"/>
        <item x="51"/>
        <item x="78"/>
        <item x="161"/>
        <item x="115"/>
        <item x="140"/>
        <item x="170"/>
        <item x="106"/>
        <item x="0"/>
        <item x="79"/>
        <item x="65"/>
        <item x="83"/>
        <item x="74"/>
        <item x="97"/>
        <item t="default"/>
      </items>
    </pivotField>
    <pivotField showAll="0"/>
    <pivotField showAll="0"/>
    <pivotField dataField="1" showAll="0"/>
    <pivotField axis="axisRow" showAll="0">
      <items count="33">
        <item x="20"/>
        <item x="18"/>
        <item x="17"/>
        <item x="1"/>
        <item x="29"/>
        <item x="3"/>
        <item x="25"/>
        <item x="19"/>
        <item x="28"/>
        <item x="31"/>
        <item x="23"/>
        <item x="6"/>
        <item x="2"/>
        <item x="13"/>
        <item x="7"/>
        <item x="30"/>
        <item x="27"/>
        <item x="16"/>
        <item x="26"/>
        <item x="8"/>
        <item x="9"/>
        <item x="22"/>
        <item x="12"/>
        <item x="0"/>
        <item x="14"/>
        <item x="4"/>
        <item x="5"/>
        <item x="15"/>
        <item x="11"/>
        <item x="24"/>
        <item x="21"/>
        <item x="10"/>
        <item t="default"/>
      </items>
    </pivotField>
    <pivotField axis="axisPage" showAll="0">
      <items count="5">
        <item x="1"/>
        <item x="2"/>
        <item x="0"/>
        <item x="3"/>
        <item t="default"/>
      </items>
    </pivotField>
    <pivotField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Fields count="4">
    <field x="9"/>
    <field x="8"/>
    <field x="1"/>
    <field x="-2"/>
  </colFields>
  <colItems count="14">
    <i>
      <x v="1"/>
      <x v="1048832"/>
      <x v="1048832"/>
      <x/>
    </i>
    <i r="3" i="1">
      <x v="1"/>
    </i>
    <i>
      <x v="2"/>
      <x v="1048832"/>
      <x v="1048832"/>
      <x/>
    </i>
    <i r="3" i="1">
      <x v="1"/>
    </i>
    <i>
      <x v="3"/>
      <x v="1048832"/>
      <x v="1048832"/>
      <x/>
    </i>
    <i r="3" i="1">
      <x v="1"/>
    </i>
    <i>
      <x v="4"/>
      <x v="1048832"/>
      <x v="1048832"/>
      <x/>
    </i>
    <i r="3" i="1">
      <x v="1"/>
    </i>
    <i>
      <x v="5"/>
      <x v="1048832"/>
      <x v="1048832"/>
      <x/>
    </i>
    <i r="3" i="1">
      <x v="1"/>
    </i>
    <i>
      <x v="6"/>
      <x v="1048832"/>
      <x v="1048832"/>
      <x/>
    </i>
    <i r="3" i="1">
      <x v="1"/>
    </i>
    <i t="grand">
      <x/>
    </i>
    <i t="grand" i="1">
      <x/>
    </i>
  </colItems>
  <pageFields count="1">
    <pageField fld="6" hier="-1"/>
  </pageFields>
  <dataFields count="2">
    <dataField name="Suma de Importe" fld="4" baseField="5" baseItem="4"/>
    <dataField name="Importancia" fld="4" baseField="5" baseItem="4">
      <extLst>
        <ext xmlns:x14="http://schemas.microsoft.com/office/spreadsheetml/2009/9/main" uri="{E15A36E0-9728-4e99-A89B-3F7291B0FE68}">
          <x14:dataField pivotShowAs="rankDescending"/>
        </ext>
      </extLst>
    </dataField>
  </dataFields>
  <formats count="2">
    <format dxfId="4">
      <pivotArea dataOnly="0" outline="0" fieldPosition="0">
        <references count="1">
          <reference field="4294967294" count="1">
            <x v="0"/>
          </reference>
        </references>
      </pivotArea>
    </format>
    <format dxfId="1">
      <pivotArea dataOnly="0" outline="0" fieldPosition="0">
        <references count="1">
          <reference field="4294967294" count="1">
            <x v="1"/>
          </reference>
        </references>
      </pivotArea>
    </format>
  </formats>
  <conditionalFormats count="1">
    <conditionalFormat priority="1">
      <pivotAreas count="1">
        <pivotArea outline="0" fieldPosition="0">
          <references count="1">
            <reference field="4294967294" count="1">
              <x v="1"/>
            </reference>
          </references>
        </pivotArea>
      </pivotAreas>
    </conditionalFormat>
  </conditionalFormats>
  <chartFormats count="58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9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2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3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4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5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6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7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8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9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0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1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2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3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4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5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7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8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9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0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1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2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3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4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5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6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7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8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9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0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1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2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3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4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5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6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7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8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9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1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2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3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4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5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6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7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8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9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0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1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2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3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4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5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6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7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8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9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0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1"/>
          </reference>
        </references>
      </pivotArea>
    </chartFormat>
    <chartFormat chart="0" format="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2"/>
          </reference>
        </references>
      </pivotArea>
    </chartFormat>
    <chartFormat chart="0" format="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3"/>
          </reference>
        </references>
      </pivotArea>
    </chartFormat>
    <chartFormat chart="0" format="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4"/>
          </reference>
        </references>
      </pivotArea>
    </chartFormat>
    <chartFormat chart="0" format="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5"/>
          </reference>
        </references>
      </pivotArea>
    </chartFormat>
    <chartFormat chart="0" format="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6"/>
          </reference>
        </references>
      </pivotArea>
    </chartFormat>
    <chartFormat chart="0" format="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7"/>
          </reference>
        </references>
      </pivotArea>
    </chartFormat>
    <chartFormat chart="0" format="8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8"/>
          </reference>
        </references>
      </pivotArea>
    </chartFormat>
    <chartFormat chart="0" format="8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9"/>
          </reference>
        </references>
      </pivotArea>
    </chartFormat>
    <chartFormat chart="0" format="8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0"/>
          </reference>
        </references>
      </pivotArea>
    </chartFormat>
    <chartFormat chart="0" format="8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1"/>
          </reference>
        </references>
      </pivotArea>
    </chartFormat>
    <chartFormat chart="0" format="9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2"/>
          </reference>
        </references>
      </pivotArea>
    </chartFormat>
    <chartFormat chart="0" format="9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3"/>
          </reference>
        </references>
      </pivotArea>
    </chartFormat>
    <chartFormat chart="0" format="9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4"/>
          </reference>
        </references>
      </pivotArea>
    </chartFormat>
    <chartFormat chart="0" format="9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5"/>
          </reference>
        </references>
      </pivotArea>
    </chartFormat>
    <chartFormat chart="0" format="9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6"/>
          </reference>
        </references>
      </pivotArea>
    </chartFormat>
    <chartFormat chart="0" format="9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7"/>
          </reference>
        </references>
      </pivotArea>
    </chartFormat>
    <chartFormat chart="0" format="9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8"/>
          </reference>
        </references>
      </pivotArea>
    </chartFormat>
    <chartFormat chart="0" format="9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9"/>
          </reference>
        </references>
      </pivotArea>
    </chartFormat>
    <chartFormat chart="0" format="9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0"/>
          </reference>
        </references>
      </pivotArea>
    </chartFormat>
    <chartFormat chart="0" format="9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1"/>
          </reference>
        </references>
      </pivotArea>
    </chartFormat>
    <chartFormat chart="0" format="10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2"/>
          </reference>
        </references>
      </pivotArea>
    </chartFormat>
    <chartFormat chart="0" format="10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3"/>
          </reference>
        </references>
      </pivotArea>
    </chartFormat>
    <chartFormat chart="0" format="10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4"/>
          </reference>
        </references>
      </pivotArea>
    </chartFormat>
    <chartFormat chart="0" format="10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5"/>
          </reference>
        </references>
      </pivotArea>
    </chartFormat>
    <chartFormat chart="0" format="10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6"/>
          </reference>
        </references>
      </pivotArea>
    </chartFormat>
    <chartFormat chart="0" format="10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7"/>
          </reference>
        </references>
      </pivotArea>
    </chartFormat>
    <chartFormat chart="0" format="10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8"/>
          </reference>
        </references>
      </pivotArea>
    </chartFormat>
    <chartFormat chart="0" format="10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9"/>
          </reference>
        </references>
      </pivotArea>
    </chartFormat>
    <chartFormat chart="0" format="10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0"/>
          </reference>
        </references>
      </pivotArea>
    </chartFormat>
    <chartFormat chart="0" format="10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1"/>
          </reference>
        </references>
      </pivotArea>
    </chartFormat>
    <chartFormat chart="0" format="1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2"/>
          </reference>
        </references>
      </pivotArea>
    </chartFormat>
    <chartFormat chart="0" format="1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3"/>
          </reference>
        </references>
      </pivotArea>
    </chartFormat>
    <chartFormat chart="0" format="1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4"/>
          </reference>
        </references>
      </pivotArea>
    </chartFormat>
    <chartFormat chart="0" format="1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5"/>
          </reference>
        </references>
      </pivotArea>
    </chartFormat>
    <chartFormat chart="0" format="1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6"/>
          </reference>
        </references>
      </pivotArea>
    </chartFormat>
    <chartFormat chart="0" format="11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7"/>
          </reference>
        </references>
      </pivotArea>
    </chartFormat>
    <chartFormat chart="0" format="1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8"/>
          </reference>
        </references>
      </pivotArea>
    </chartFormat>
    <chartFormat chart="0" format="11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9"/>
          </reference>
        </references>
      </pivotArea>
    </chartFormat>
    <chartFormat chart="0" format="1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0"/>
          </reference>
        </references>
      </pivotArea>
    </chartFormat>
    <chartFormat chart="0" format="11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1"/>
          </reference>
        </references>
      </pivotArea>
    </chartFormat>
    <chartFormat chart="0" format="1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2"/>
          </reference>
        </references>
      </pivotArea>
    </chartFormat>
    <chartFormat chart="0" format="1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3"/>
          </reference>
        </references>
      </pivotArea>
    </chartFormat>
    <chartFormat chart="0" format="1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4"/>
          </reference>
        </references>
      </pivotArea>
    </chartFormat>
    <chartFormat chart="0" format="12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5"/>
          </reference>
        </references>
      </pivotArea>
    </chartFormat>
    <chartFormat chart="0" format="12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6"/>
          </reference>
        </references>
      </pivotArea>
    </chartFormat>
    <chartFormat chart="0" format="12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7"/>
          </reference>
        </references>
      </pivotArea>
    </chartFormat>
    <chartFormat chart="0" format="1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8"/>
          </reference>
        </references>
      </pivotArea>
    </chartFormat>
    <chartFormat chart="0" format="1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9"/>
          </reference>
        </references>
      </pivotArea>
    </chartFormat>
    <chartFormat chart="0" format="1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0"/>
          </reference>
        </references>
      </pivotArea>
    </chartFormat>
    <chartFormat chart="0" format="1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1"/>
          </reference>
        </references>
      </pivotArea>
    </chartFormat>
    <chartFormat chart="0" format="13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2"/>
          </reference>
        </references>
      </pivotArea>
    </chartFormat>
    <chartFormat chart="0" format="13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3"/>
          </reference>
        </references>
      </pivotArea>
    </chartFormat>
    <chartFormat chart="0" format="13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4"/>
          </reference>
        </references>
      </pivotArea>
    </chartFormat>
    <chartFormat chart="0" format="13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5"/>
          </reference>
        </references>
      </pivotArea>
    </chartFormat>
    <chartFormat chart="0" format="13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6"/>
          </reference>
        </references>
      </pivotArea>
    </chartFormat>
    <chartFormat chart="0" format="13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7"/>
          </reference>
        </references>
      </pivotArea>
    </chartFormat>
    <chartFormat chart="0" format="13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8"/>
          </reference>
        </references>
      </pivotArea>
    </chartFormat>
    <chartFormat chart="0" format="13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39"/>
          </reference>
        </references>
      </pivotArea>
    </chartFormat>
    <chartFormat chart="0" format="13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0"/>
          </reference>
        </references>
      </pivotArea>
    </chartFormat>
    <chartFormat chart="0" format="13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1"/>
          </reference>
        </references>
      </pivotArea>
    </chartFormat>
    <chartFormat chart="0" format="14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2"/>
          </reference>
        </references>
      </pivotArea>
    </chartFormat>
    <chartFormat chart="0" format="14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3"/>
          </reference>
        </references>
      </pivotArea>
    </chartFormat>
    <chartFormat chart="0" format="14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4"/>
          </reference>
        </references>
      </pivotArea>
    </chartFormat>
    <chartFormat chart="0" format="14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5"/>
          </reference>
        </references>
      </pivotArea>
    </chartFormat>
    <chartFormat chart="0" format="14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6"/>
          </reference>
        </references>
      </pivotArea>
    </chartFormat>
    <chartFormat chart="0" format="14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7"/>
          </reference>
        </references>
      </pivotArea>
    </chartFormat>
    <chartFormat chart="0" format="14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8"/>
          </reference>
        </references>
      </pivotArea>
    </chartFormat>
    <chartFormat chart="0" format="14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49"/>
          </reference>
        </references>
      </pivotArea>
    </chartFormat>
    <chartFormat chart="0" format="14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0"/>
          </reference>
        </references>
      </pivotArea>
    </chartFormat>
    <chartFormat chart="0" format="14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1"/>
          </reference>
        </references>
      </pivotArea>
    </chartFormat>
    <chartFormat chart="0" format="15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2"/>
          </reference>
        </references>
      </pivotArea>
    </chartFormat>
    <chartFormat chart="0" format="15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3"/>
          </reference>
        </references>
      </pivotArea>
    </chartFormat>
    <chartFormat chart="0" format="15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4"/>
          </reference>
        </references>
      </pivotArea>
    </chartFormat>
    <chartFormat chart="0" format="15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5"/>
          </reference>
        </references>
      </pivotArea>
    </chartFormat>
    <chartFormat chart="0" format="15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6"/>
          </reference>
        </references>
      </pivotArea>
    </chartFormat>
    <chartFormat chart="0" format="15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7"/>
          </reference>
        </references>
      </pivotArea>
    </chartFormat>
    <chartFormat chart="0" format="15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8"/>
          </reference>
        </references>
      </pivotArea>
    </chartFormat>
    <chartFormat chart="0" format="15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59"/>
          </reference>
        </references>
      </pivotArea>
    </chartFormat>
    <chartFormat chart="0" format="15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0"/>
          </reference>
        </references>
      </pivotArea>
    </chartFormat>
    <chartFormat chart="0" format="15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1"/>
          </reference>
        </references>
      </pivotArea>
    </chartFormat>
    <chartFormat chart="0" format="16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2"/>
          </reference>
        </references>
      </pivotArea>
    </chartFormat>
    <chartFormat chart="0" format="16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3"/>
          </reference>
        </references>
      </pivotArea>
    </chartFormat>
    <chartFormat chart="0" format="16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4"/>
          </reference>
        </references>
      </pivotArea>
    </chartFormat>
    <chartFormat chart="0" format="16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5"/>
          </reference>
        </references>
      </pivotArea>
    </chartFormat>
    <chartFormat chart="0" format="16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6"/>
          </reference>
        </references>
      </pivotArea>
    </chartFormat>
    <chartFormat chart="0" format="16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7"/>
          </reference>
        </references>
      </pivotArea>
    </chartFormat>
    <chartFormat chart="0" format="16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8"/>
          </reference>
        </references>
      </pivotArea>
    </chartFormat>
    <chartFormat chart="0" format="16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69"/>
          </reference>
        </references>
      </pivotArea>
    </chartFormat>
    <chartFormat chart="0" format="16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0"/>
          </reference>
        </references>
      </pivotArea>
    </chartFormat>
    <chartFormat chart="0" format="16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1"/>
          </reference>
        </references>
      </pivotArea>
    </chartFormat>
    <chartFormat chart="0" format="17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2"/>
          </reference>
        </references>
      </pivotArea>
    </chartFormat>
    <chartFormat chart="0" format="17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3"/>
          </reference>
        </references>
      </pivotArea>
    </chartFormat>
    <chartFormat chart="0" format="17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4"/>
          </reference>
        </references>
      </pivotArea>
    </chartFormat>
    <chartFormat chart="0" format="17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5"/>
          </reference>
        </references>
      </pivotArea>
    </chartFormat>
    <chartFormat chart="0" format="17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6"/>
          </reference>
        </references>
      </pivotArea>
    </chartFormat>
    <chartFormat chart="0" format="17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7"/>
          </reference>
        </references>
      </pivotArea>
    </chartFormat>
    <chartFormat chart="0" format="17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8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79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0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81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1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1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1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1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1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1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1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1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2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2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2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2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2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2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2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2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2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2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2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2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2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2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2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2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2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2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2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2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2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2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2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2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2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2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2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2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2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2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2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2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2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2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2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2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0" format="2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0" format="2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0" format="2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2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2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0" format="2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0" format="2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0" format="2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2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2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2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0" format="2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0" format="2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0" format="2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0" format="2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2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0" format="2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2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2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2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0" format="2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0" format="2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0" format="2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0" format="2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0" format="2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0" format="2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0" format="2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0" format="2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0" format="2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0" format="2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0" format="2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0" format="2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0" format="2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0" format="2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0" format="2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0" format="2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0" format="2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0" format="2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0" format="2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0" format="2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0" format="2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0" format="2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0" format="2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0" format="2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0" format="2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0" format="2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0" format="2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0" format="2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0" format="2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0" format="2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0" format="2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0" format="2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0" format="2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0" format="2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0" format="3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0" format="3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0" format="3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0" format="3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0" format="3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0" format="3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0" format="3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0" format="3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0" format="3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0" format="3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0" format="3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0" format="3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0" format="3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0" format="3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0" format="3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0" format="3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0" format="3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0" format="3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0" format="3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0" format="3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0" format="3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0" format="3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0" format="3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0" format="3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0" format="3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0" format="3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0" format="3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0" format="3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0" format="3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0" format="3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0" format="3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0" format="3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0" format="3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0" format="3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0" format="3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0" format="3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0" format="3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0" format="3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0" format="3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0" format="3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0" format="3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0" format="3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0" format="3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0" format="3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0" format="3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0" format="3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0" format="3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0" format="3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0" format="3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0" format="3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0" format="3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0" format="3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0" format="3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0" format="3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0" format="3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0" format="3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0" format="3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0" format="3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0" format="3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0" format="3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0" format="3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0" format="3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0" format="3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0" format="3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0" format="3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0" format="3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0" format="36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6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6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4" format="36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37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4" format="37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2"/>
          </reference>
          <reference field="6" count="1" selected="0">
            <x v="0"/>
          </reference>
        </references>
      </pivotArea>
    </chartFormat>
    <chartFormat chart="4" format="37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4"/>
          </reference>
          <reference field="6" count="1" selected="0">
            <x v="0"/>
          </reference>
        </references>
      </pivotArea>
    </chartFormat>
    <chartFormat chart="4" format="37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6"/>
          </reference>
          <reference field="6" count="1" selected="0">
            <x v="0"/>
          </reference>
        </references>
      </pivotArea>
    </chartFormat>
    <chartFormat chart="4" format="37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3"/>
          </reference>
          <reference field="6" count="1" selected="0">
            <x v="1"/>
          </reference>
        </references>
      </pivotArea>
    </chartFormat>
    <chartFormat chart="4" format="37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7"/>
          </reference>
          <reference field="6" count="1" selected="0">
            <x v="1"/>
          </reference>
        </references>
      </pivotArea>
    </chartFormat>
    <chartFormat chart="4" format="37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9"/>
          </reference>
          <reference field="6" count="1" selected="0">
            <x v="1"/>
          </reference>
        </references>
      </pivotArea>
    </chartFormat>
    <chartFormat chart="4" format="37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1"/>
          </reference>
          <reference field="6" count="1" selected="0">
            <x v="1"/>
          </reference>
        </references>
      </pivotArea>
    </chartFormat>
    <chartFormat chart="4" format="37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8"/>
          </reference>
          <reference field="6" count="1" selected="0">
            <x v="1"/>
          </reference>
        </references>
      </pivotArea>
    </chartFormat>
    <chartFormat chart="4" format="37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0"/>
          </reference>
          <reference field="6" count="1" selected="0">
            <x v="1"/>
          </reference>
        </references>
      </pivotArea>
    </chartFormat>
    <chartFormat chart="4" format="38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1"/>
          </reference>
          <reference field="6" count="1" selected="0">
            <x v="1"/>
          </reference>
        </references>
      </pivotArea>
    </chartFormat>
    <chartFormat chart="4" format="38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6" count="1" selected="0">
            <x v="2"/>
          </reference>
        </references>
      </pivotArea>
    </chartFormat>
    <chartFormat chart="4" format="38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6" count="1" selected="0">
            <x v="2"/>
          </reference>
        </references>
      </pivotArea>
    </chartFormat>
    <chartFormat chart="4" format="38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6" count="1" selected="0">
            <x v="2"/>
          </reference>
        </references>
      </pivotArea>
    </chartFormat>
    <chartFormat chart="4" format="38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6"/>
          </reference>
          <reference field="6" count="1" selected="0">
            <x v="2"/>
          </reference>
        </references>
      </pivotArea>
    </chartFormat>
    <chartFormat chart="4" format="38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4"/>
          </reference>
          <reference field="6" count="1" selected="0">
            <x v="2"/>
          </reference>
        </references>
      </pivotArea>
    </chartFormat>
    <chartFormat chart="4" format="38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8"/>
          </reference>
          <reference field="6" count="1" selected="0">
            <x v="2"/>
          </reference>
        </references>
      </pivotArea>
    </chartFormat>
    <chartFormat chart="4" format="38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0"/>
          </reference>
          <reference field="6" count="1" selected="0">
            <x v="2"/>
          </reference>
        </references>
      </pivotArea>
    </chartFormat>
    <chartFormat chart="4" format="38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3"/>
          </reference>
          <reference field="6" count="1" selected="0">
            <x v="2"/>
          </reference>
        </references>
      </pivotArea>
    </chartFormat>
    <chartFormat chart="4" format="389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5"/>
          </reference>
          <reference field="6" count="1" selected="0">
            <x v="2"/>
          </reference>
        </references>
      </pivotArea>
    </chartFormat>
    <chartFormat chart="4" format="390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7"/>
          </reference>
          <reference field="6" count="1" selected="0">
            <x v="2"/>
          </reference>
        </references>
      </pivotArea>
    </chartFormat>
    <chartFormat chart="4" format="391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6" count="1" selected="0">
            <x v="3"/>
          </reference>
        </references>
      </pivotArea>
    </chartFormat>
    <chartFormat chart="4" format="392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6" count="1" selected="0">
            <x v="3"/>
          </reference>
        </references>
      </pivotArea>
    </chartFormat>
    <chartFormat chart="4" format="393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7"/>
          </reference>
          <reference field="6" count="1" selected="0">
            <x v="3"/>
          </reference>
        </references>
      </pivotArea>
    </chartFormat>
    <chartFormat chart="4" format="394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8"/>
          </reference>
          <reference field="6" count="1" selected="0">
            <x v="3"/>
          </reference>
        </references>
      </pivotArea>
    </chartFormat>
    <chartFormat chart="4" format="395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9"/>
          </reference>
          <reference field="6" count="1" selected="0">
            <x v="3"/>
          </reference>
        </references>
      </pivotArea>
    </chartFormat>
    <chartFormat chart="4" format="396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0"/>
          </reference>
          <reference field="6" count="1" selected="0">
            <x v="3"/>
          </reference>
        </references>
      </pivotArea>
    </chartFormat>
    <chartFormat chart="4" format="397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16"/>
          </reference>
          <reference field="6" count="1" selected="0">
            <x v="3"/>
          </reference>
        </references>
      </pivotArea>
    </chartFormat>
    <chartFormat chart="4" format="398" series="1">
      <pivotArea type="data" outline="0" fieldPosition="0">
        <references count="3">
          <reference field="4294967294" count="1" selected="0">
            <x v="0"/>
          </reference>
          <reference field="5" count="1" selected="0">
            <x v="29"/>
          </reference>
          <reference field="6" count="1" selected="0">
            <x v="3"/>
          </reference>
        </references>
      </pivotArea>
    </chartFormat>
    <chartFormat chart="4" format="3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4" format="4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4" format="4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4" format="4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4" format="4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4" format="4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4" format="4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4" format="4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4" format="4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4" format="4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4" format="4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4" format="4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4" format="4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4" format="4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4" format="4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4" format="4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4" format="4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4" format="4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4" format="4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4" format="4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4" format="4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4" format="4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4" format="4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4" format="4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4" format="4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4" format="4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4" format="4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4" format="4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4" format="4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4" format="4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4" format="4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4" format="4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4" format="4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4" format="4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4" format="4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4" format="4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4" format="4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4" format="4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4" format="4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4" format="4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4" format="4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4" format="4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4" format="4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4" format="4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4" format="4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4" format="4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4" format="4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4" format="4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4" format="4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4" format="4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4" format="4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4" format="4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4" format="4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4" format="4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4" format="4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4" format="4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4" format="4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4" format="4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4" format="4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4" format="4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4" format="4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4" format="4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4" format="4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4" format="4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4" format="4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4" format="4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4" format="4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4" format="4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4" format="4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4" format="4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4" format="4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4" format="4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4" format="4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4" format="4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4" format="4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4" format="4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4" format="4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4" format="4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4" format="4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4" format="4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0"/>
          </reference>
        </references>
      </pivotArea>
    </chartFormat>
    <chartFormat chart="4" format="4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1"/>
          </reference>
        </references>
      </pivotArea>
    </chartFormat>
    <chartFormat chart="4" format="48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2"/>
          </reference>
        </references>
      </pivotArea>
    </chartFormat>
    <chartFormat chart="4" format="48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3"/>
          </reference>
        </references>
      </pivotArea>
    </chartFormat>
    <chartFormat chart="4" format="48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4"/>
          </reference>
        </references>
      </pivotArea>
    </chartFormat>
    <chartFormat chart="4" format="48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5"/>
          </reference>
        </references>
      </pivotArea>
    </chartFormat>
    <chartFormat chart="4" format="48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6"/>
          </reference>
        </references>
      </pivotArea>
    </chartFormat>
    <chartFormat chart="4" format="48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7"/>
          </reference>
        </references>
      </pivotArea>
    </chartFormat>
    <chartFormat chart="4" format="48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8"/>
          </reference>
        </references>
      </pivotArea>
    </chartFormat>
    <chartFormat chart="4" format="48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9"/>
          </reference>
        </references>
      </pivotArea>
    </chartFormat>
    <chartFormat chart="4" format="48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0"/>
          </reference>
        </references>
      </pivotArea>
    </chartFormat>
    <chartFormat chart="4" format="48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1"/>
          </reference>
        </references>
      </pivotArea>
    </chartFormat>
    <chartFormat chart="4" format="49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2"/>
          </reference>
        </references>
      </pivotArea>
    </chartFormat>
    <chartFormat chart="4" format="49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3"/>
          </reference>
        </references>
      </pivotArea>
    </chartFormat>
    <chartFormat chart="4" format="49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4"/>
          </reference>
        </references>
      </pivotArea>
    </chartFormat>
    <chartFormat chart="4" format="49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5"/>
          </reference>
        </references>
      </pivotArea>
    </chartFormat>
    <chartFormat chart="4" format="49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6"/>
          </reference>
        </references>
      </pivotArea>
    </chartFormat>
    <chartFormat chart="4" format="49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7"/>
          </reference>
        </references>
      </pivotArea>
    </chartFormat>
    <chartFormat chart="4" format="49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8"/>
          </reference>
        </references>
      </pivotArea>
    </chartFormat>
    <chartFormat chart="4" format="49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9"/>
          </reference>
        </references>
      </pivotArea>
    </chartFormat>
    <chartFormat chart="4" format="49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0"/>
          </reference>
        </references>
      </pivotArea>
    </chartFormat>
    <chartFormat chart="4" format="49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1"/>
          </reference>
        </references>
      </pivotArea>
    </chartFormat>
    <chartFormat chart="4" format="50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2"/>
          </reference>
        </references>
      </pivotArea>
    </chartFormat>
    <chartFormat chart="4" format="50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3"/>
          </reference>
        </references>
      </pivotArea>
    </chartFormat>
    <chartFormat chart="4" format="50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4"/>
          </reference>
        </references>
      </pivotArea>
    </chartFormat>
    <chartFormat chart="4" format="50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5"/>
          </reference>
        </references>
      </pivotArea>
    </chartFormat>
    <chartFormat chart="4" format="50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6"/>
          </reference>
        </references>
      </pivotArea>
    </chartFormat>
    <chartFormat chart="4" format="50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7"/>
          </reference>
        </references>
      </pivotArea>
    </chartFormat>
    <chartFormat chart="4" format="50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8"/>
          </reference>
        </references>
      </pivotArea>
    </chartFormat>
    <chartFormat chart="4" format="50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9"/>
          </reference>
        </references>
      </pivotArea>
    </chartFormat>
    <chartFormat chart="4" format="50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0"/>
          </reference>
        </references>
      </pivotArea>
    </chartFormat>
    <chartFormat chart="4" format="50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1"/>
          </reference>
        </references>
      </pivotArea>
    </chartFormat>
    <chartFormat chart="4" format="5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2"/>
          </reference>
        </references>
      </pivotArea>
    </chartFormat>
    <chartFormat chart="4" format="5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3"/>
          </reference>
        </references>
      </pivotArea>
    </chartFormat>
    <chartFormat chart="4" format="5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4"/>
          </reference>
        </references>
      </pivotArea>
    </chartFormat>
    <chartFormat chart="4" format="5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5"/>
          </reference>
        </references>
      </pivotArea>
    </chartFormat>
    <chartFormat chart="4" format="5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6"/>
          </reference>
        </references>
      </pivotArea>
    </chartFormat>
    <chartFormat chart="4" format="5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7"/>
          </reference>
        </references>
      </pivotArea>
    </chartFormat>
    <chartFormat chart="4" format="5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8"/>
          </reference>
        </references>
      </pivotArea>
    </chartFormat>
    <chartFormat chart="4" format="5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9"/>
          </reference>
        </references>
      </pivotArea>
    </chartFormat>
    <chartFormat chart="4" format="5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0"/>
          </reference>
        </references>
      </pivotArea>
    </chartFormat>
    <chartFormat chart="4" format="5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1"/>
          </reference>
        </references>
      </pivotArea>
    </chartFormat>
    <chartFormat chart="4" format="5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2"/>
          </reference>
        </references>
      </pivotArea>
    </chartFormat>
    <chartFormat chart="4" format="5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3"/>
          </reference>
        </references>
      </pivotArea>
    </chartFormat>
    <chartFormat chart="4" format="5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4"/>
          </reference>
        </references>
      </pivotArea>
    </chartFormat>
    <chartFormat chart="4" format="5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5"/>
          </reference>
        </references>
      </pivotArea>
    </chartFormat>
    <chartFormat chart="4" format="5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6"/>
          </reference>
        </references>
      </pivotArea>
    </chartFormat>
    <chartFormat chart="4" format="5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7"/>
          </reference>
        </references>
      </pivotArea>
    </chartFormat>
    <chartFormat chart="4" format="5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8"/>
          </reference>
        </references>
      </pivotArea>
    </chartFormat>
    <chartFormat chart="4" format="5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9"/>
          </reference>
        </references>
      </pivotArea>
    </chartFormat>
    <chartFormat chart="4" format="5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0"/>
          </reference>
        </references>
      </pivotArea>
    </chartFormat>
    <chartFormat chart="4" format="5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1"/>
          </reference>
        </references>
      </pivotArea>
    </chartFormat>
    <chartFormat chart="4" format="5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2"/>
          </reference>
        </references>
      </pivotArea>
    </chartFormat>
    <chartFormat chart="4" format="5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3"/>
          </reference>
        </references>
      </pivotArea>
    </chartFormat>
    <chartFormat chart="4" format="5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4"/>
          </reference>
        </references>
      </pivotArea>
    </chartFormat>
    <chartFormat chart="4" format="5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5"/>
          </reference>
        </references>
      </pivotArea>
    </chartFormat>
    <chartFormat chart="4" format="5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6"/>
          </reference>
        </references>
      </pivotArea>
    </chartFormat>
    <chartFormat chart="4" format="5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7"/>
          </reference>
        </references>
      </pivotArea>
    </chartFormat>
    <chartFormat chart="4" format="5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8"/>
          </reference>
        </references>
      </pivotArea>
    </chartFormat>
    <chartFormat chart="4" format="5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9"/>
          </reference>
        </references>
      </pivotArea>
    </chartFormat>
    <chartFormat chart="4" format="5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0"/>
          </reference>
        </references>
      </pivotArea>
    </chartFormat>
    <chartFormat chart="4" format="5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1"/>
          </reference>
        </references>
      </pivotArea>
    </chartFormat>
    <chartFormat chart="4" format="5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2"/>
          </reference>
        </references>
      </pivotArea>
    </chartFormat>
    <chartFormat chart="4" format="5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3"/>
          </reference>
        </references>
      </pivotArea>
    </chartFormat>
    <chartFormat chart="4" format="5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4"/>
          </reference>
        </references>
      </pivotArea>
    </chartFormat>
    <chartFormat chart="4" format="5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5"/>
          </reference>
        </references>
      </pivotArea>
    </chartFormat>
    <chartFormat chart="4" format="5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6"/>
          </reference>
        </references>
      </pivotArea>
    </chartFormat>
    <chartFormat chart="4" format="5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7"/>
          </reference>
        </references>
      </pivotArea>
    </chartFormat>
    <chartFormat chart="4" format="5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8"/>
          </reference>
        </references>
      </pivotArea>
    </chartFormat>
    <chartFormat chart="4" format="5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9"/>
          </reference>
        </references>
      </pivotArea>
    </chartFormat>
    <chartFormat chart="4" format="5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0"/>
          </reference>
        </references>
      </pivotArea>
    </chartFormat>
    <chartFormat chart="4" format="5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1"/>
          </reference>
        </references>
      </pivotArea>
    </chartFormat>
    <chartFormat chart="4" format="5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2"/>
          </reference>
        </references>
      </pivotArea>
    </chartFormat>
    <chartFormat chart="4" format="5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3"/>
          </reference>
        </references>
      </pivotArea>
    </chartFormat>
    <chartFormat chart="4" format="5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4"/>
          </reference>
        </references>
      </pivotArea>
    </chartFormat>
    <chartFormat chart="4" format="5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5"/>
          </reference>
        </references>
      </pivotArea>
    </chartFormat>
    <chartFormat chart="4" format="5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6"/>
          </reference>
        </references>
      </pivotArea>
    </chartFormat>
    <chartFormat chart="4" format="5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7"/>
          </reference>
        </references>
      </pivotArea>
    </chartFormat>
    <chartFormat chart="4" format="5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8"/>
          </reference>
        </references>
      </pivotArea>
    </chartFormat>
    <chartFormat chart="4" format="5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9"/>
          </reference>
        </references>
      </pivotArea>
    </chartFormat>
    <chartFormat chart="4" format="5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0"/>
          </reference>
        </references>
      </pivotArea>
    </chartFormat>
    <chartFormat chart="4" format="5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1"/>
          </reference>
        </references>
      </pivotArea>
    </chartFormat>
    <chartFormat chart="4" format="5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2"/>
          </reference>
        </references>
      </pivotArea>
    </chartFormat>
    <chartFormat chart="4" format="5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3"/>
          </reference>
        </references>
      </pivotArea>
    </chartFormat>
    <chartFormat chart="4" format="5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4"/>
          </reference>
        </references>
      </pivotArea>
    </chartFormat>
    <chartFormat chart="4" format="5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5"/>
          </reference>
        </references>
      </pivotArea>
    </chartFormat>
    <chartFormat chart="4" format="5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6"/>
          </reference>
        </references>
      </pivotArea>
    </chartFormat>
    <chartFormat chart="4" format="5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7"/>
          </reference>
        </references>
      </pivotArea>
    </chartFormat>
    <chartFormat chart="4" format="5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8"/>
          </reference>
        </references>
      </pivotArea>
    </chartFormat>
    <chartFormat chart="4" format="5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9"/>
          </reference>
        </references>
      </pivotArea>
    </chartFormat>
    <chartFormat chart="4" format="5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0"/>
          </reference>
        </references>
      </pivotArea>
    </chartFormat>
    <chartFormat chart="4" format="5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1"/>
          </reference>
        </references>
      </pivotArea>
    </chartFormat>
    <chartFormat chart="4" format="5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2"/>
          </reference>
        </references>
      </pivotArea>
    </chartFormat>
    <chartFormat chart="4" format="5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3"/>
          </reference>
        </references>
      </pivotArea>
    </chartFormat>
    <chartFormat chart="4" format="5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4"/>
          </reference>
        </references>
      </pivotArea>
    </chartFormat>
    <chartFormat chart="4" format="5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5"/>
          </reference>
        </references>
      </pivotArea>
    </chartFormat>
    <chartFormat chart="4" format="5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6"/>
          </reference>
        </references>
      </pivotArea>
    </chartFormat>
    <chartFormat chart="4" format="5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7"/>
          </reference>
        </references>
      </pivotArea>
    </chartFormat>
    <chartFormat chart="4" format="5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8"/>
          </reference>
        </references>
      </pivotArea>
    </chartFormat>
    <chartFormat chart="4" format="5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9"/>
          </reference>
        </references>
      </pivotArea>
    </chartFormat>
    <chartFormat chart="4" format="578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1048832"/>
          </reference>
          <reference field="8" count="1" selected="0">
            <x v="1048832"/>
          </reference>
          <reference field="9" count="1" selected="0">
            <x v="4"/>
          </reference>
        </references>
      </pivotArea>
    </chartFormat>
    <chartFormat chart="4" format="579" series="1">
      <pivotArea type="data" outline="0" fieldPosition="0">
        <references count="4">
          <reference field="4294967294" count="1" selected="0">
            <x v="1"/>
          </reference>
          <reference field="1" count="1" selected="0">
            <x v="1048832"/>
          </reference>
          <reference field="8" count="1" selected="0">
            <x v="1048832"/>
          </reference>
          <reference field="9" count="1" selected="0">
            <x v="4"/>
          </reference>
        </references>
      </pivotArea>
    </chartFormat>
    <chartFormat chart="4" format="580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1048832"/>
          </reference>
          <reference field="8" count="1" selected="0">
            <x v="1048832"/>
          </reference>
          <reference field="9" count="1" selected="0">
            <x v="5"/>
          </reference>
        </references>
      </pivotArea>
    </chartFormat>
    <chartFormat chart="4" format="581" series="1">
      <pivotArea type="data" outline="0" fieldPosition="0">
        <references count="4">
          <reference field="4294967294" count="1" selected="0">
            <x v="1"/>
          </reference>
          <reference field="1" count="1" selected="0">
            <x v="1048832"/>
          </reference>
          <reference field="8" count="1" selected="0">
            <x v="1048832"/>
          </reference>
          <reference field="9" count="1" selected="0">
            <x v="5"/>
          </reference>
        </references>
      </pivotArea>
    </chartFormat>
    <chartFormat chart="4" format="582" series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1048832"/>
          </reference>
          <reference field="8" count="1" selected="0">
            <x v="1048832"/>
          </reference>
          <reference field="9" count="1" selected="0">
            <x v="6"/>
          </reference>
        </references>
      </pivotArea>
    </chartFormat>
    <chartFormat chart="4" format="583" series="1">
      <pivotArea type="data" outline="0" fieldPosition="0">
        <references count="4">
          <reference field="4294967294" count="1" selected="0">
            <x v="1"/>
          </reference>
          <reference field="1" count="1" selected="0">
            <x v="1048832"/>
          </reference>
          <reference field="8" count="1" selected="0">
            <x v="1048832"/>
          </reference>
          <reference field="9" count="1" selected="0">
            <x v="6"/>
          </reference>
        </references>
      </pivotArea>
    </chartFormat>
    <chartFormat chart="4" format="584" series="1">
      <pivotArea type="data" outline="0" fieldPosition="0">
        <references count="4">
          <reference field="4294967294" count="1" selected="0">
            <x v="1"/>
          </reference>
          <reference field="1" count="1" selected="0">
            <x v="1048832"/>
          </reference>
          <reference field="8" count="1" selected="0">
            <x v="1048832"/>
          </reference>
          <reference field="9" count="1" selected="0">
            <x v="1"/>
          </reference>
        </references>
      </pivotArea>
    </chartFormat>
    <chartFormat chart="4" format="585" series="1">
      <pivotArea type="data" outline="0" fieldPosition="0">
        <references count="4">
          <reference field="4294967294" count="1" selected="0">
            <x v="1"/>
          </reference>
          <reference field="1" count="1" selected="0">
            <x v="1048832"/>
          </reference>
          <reference field="8" count="1" selected="0">
            <x v="1048832"/>
          </reference>
          <reference field="9" count="1" selected="0">
            <x v="2"/>
          </reference>
        </references>
      </pivotArea>
    </chartFormat>
    <chartFormat chart="4" format="586" series="1">
      <pivotArea type="data" outline="0" fieldPosition="0">
        <references count="4">
          <reference field="4294967294" count="1" selected="0">
            <x v="1"/>
          </reference>
          <reference field="1" count="1" selected="0">
            <x v="1048832"/>
          </reference>
          <reference field="8" count="1" selected="0">
            <x v="1048832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813CC2-15CD-4AF2-BDF3-A322CB5152EB}" name="Tabla1" displayName="Tabla1" ref="A1:H1001" totalsRowShown="0" headerRowDxfId="21" dataDxfId="19" headerRowBorderDxfId="20" tableBorderDxfId="18">
  <tableColumns count="8">
    <tableColumn id="1" xr3:uid="{F392774F-69A0-40FE-8399-BE1A643110DD}" name="IDVenta" dataDxfId="17"/>
    <tableColumn id="2" xr3:uid="{C2480FC2-E322-4DA9-B0EE-680B85B1365F}" name="FechaPedido" dataDxfId="16"/>
    <tableColumn id="3" xr3:uid="{FBF6FD48-398B-4097-B402-D3C5201AA65E}" name="IDProducto" dataDxfId="15"/>
    <tableColumn id="4" xr3:uid="{548B88F4-6B0A-4904-811D-B9AA6F3AFD8A}" name="Estado" dataDxfId="14"/>
    <tableColumn id="5" xr3:uid="{A0F1DAD7-F063-4573-900A-A2329891A997}" name="Importe" dataDxfId="13"/>
    <tableColumn id="6" xr3:uid="{6BD5E1D4-4053-4043-94CF-910258B20521}" name="Producto" dataDxfId="12">
      <calculatedColumnFormula>VLOOKUP(Tabla1[[#This Row],[IDProducto]],producto!$A$1:$C$33,2,FALSE)</calculatedColumnFormula>
    </tableColumn>
    <tableColumn id="7" xr3:uid="{ED3025CD-D615-4C0E-ACB4-886A2A6714B7}" name="Categoria" dataDxfId="11">
      <calculatedColumnFormula>VLOOKUP(Tabla1[[#This Row],[IDProducto]],producto!$A$1:$C$33,3,FALSE)</calculatedColumnFormula>
    </tableColumn>
    <tableColumn id="8" xr3:uid="{3C44FA94-7E32-4C51-8C01-7EE7F026E11F}" name="Region" dataDxfId="10">
      <calculatedColumnFormula>VLOOKUP(Tabla1[[#This Row],[Estado]],Tabla3[#All],2,0)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41D4E5-3D92-416E-B469-4E3D62E396D4}" name="Tabla3" displayName="Tabla3" ref="A1:B9" totalsRowShown="0" headerRowDxfId="9" headerRowBorderDxfId="8" tableBorderDxfId="7" headerRowCellStyle="Normal 2" dataCellStyle="Normal 2">
  <autoFilter ref="A1:B9" xr:uid="{3141D4E5-3D92-416E-B469-4E3D62E396D4}"/>
  <tableColumns count="2">
    <tableColumn id="1" xr3:uid="{56698A37-7E95-42A7-AB6F-743C97F58C69}" name="Estado" dataCellStyle="Normal 2"/>
    <tableColumn id="2" xr3:uid="{72EA7F00-503A-49EE-9D93-65CC7F2D98E6}" name="Region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ADEC7-9A95-4DDE-B974-71453221C76F}">
  <dimension ref="A3:F9"/>
  <sheetViews>
    <sheetView tabSelected="1" workbookViewId="0">
      <selection activeCell="B14" sqref="B14"/>
    </sheetView>
  </sheetViews>
  <sheetFormatPr baseColWidth="10" defaultRowHeight="15" x14ac:dyDescent="0.25"/>
  <cols>
    <col min="1" max="1" width="12.5703125" bestFit="1" customWidth="1"/>
    <col min="2" max="2" width="11.7109375" bestFit="1" customWidth="1"/>
    <col min="3" max="3" width="10.7109375" bestFit="1" customWidth="1"/>
    <col min="4" max="5" width="9.42578125" bestFit="1" customWidth="1"/>
    <col min="6" max="6" width="12.5703125" bestFit="1" customWidth="1"/>
  </cols>
  <sheetData>
    <row r="3" spans="1:6" x14ac:dyDescent="0.25">
      <c r="A3" s="11" t="s">
        <v>62</v>
      </c>
      <c r="B3" s="11" t="s">
        <v>14</v>
      </c>
    </row>
    <row r="4" spans="1:6" x14ac:dyDescent="0.25">
      <c r="A4" s="11" t="s">
        <v>52</v>
      </c>
      <c r="B4" t="s">
        <v>18</v>
      </c>
      <c r="C4" t="s">
        <v>23</v>
      </c>
      <c r="D4" t="s">
        <v>16</v>
      </c>
      <c r="E4" t="s">
        <v>25</v>
      </c>
      <c r="F4" t="s">
        <v>59</v>
      </c>
    </row>
    <row r="5" spans="1:6" x14ac:dyDescent="0.25">
      <c r="A5" s="12" t="s">
        <v>55</v>
      </c>
      <c r="B5" s="13">
        <v>75272</v>
      </c>
      <c r="C5" s="13">
        <v>85254</v>
      </c>
      <c r="D5" s="13">
        <v>118576</v>
      </c>
      <c r="E5" s="13">
        <v>91517</v>
      </c>
      <c r="F5" s="13">
        <v>370619</v>
      </c>
    </row>
    <row r="6" spans="1:6" x14ac:dyDescent="0.25">
      <c r="A6" s="12" t="s">
        <v>53</v>
      </c>
      <c r="B6" s="13">
        <v>69278</v>
      </c>
      <c r="C6" s="13">
        <v>74242</v>
      </c>
      <c r="D6" s="13">
        <v>90669</v>
      </c>
      <c r="E6" s="13">
        <v>55903</v>
      </c>
      <c r="F6" s="13">
        <v>290092</v>
      </c>
    </row>
    <row r="7" spans="1:6" x14ac:dyDescent="0.25">
      <c r="A7" s="12" t="s">
        <v>56</v>
      </c>
      <c r="B7" s="13">
        <v>48942</v>
      </c>
      <c r="C7" s="13">
        <v>55778</v>
      </c>
      <c r="D7" s="13">
        <v>64090</v>
      </c>
      <c r="E7" s="13">
        <v>64185</v>
      </c>
      <c r="F7" s="13">
        <v>232995</v>
      </c>
    </row>
    <row r="8" spans="1:6" x14ac:dyDescent="0.25">
      <c r="A8" s="12" t="s">
        <v>54</v>
      </c>
      <c r="B8" s="13">
        <v>31133</v>
      </c>
      <c r="C8" s="13">
        <v>27755</v>
      </c>
      <c r="D8" s="13">
        <v>49275</v>
      </c>
      <c r="E8" s="13">
        <v>31155</v>
      </c>
      <c r="F8" s="13">
        <v>139318</v>
      </c>
    </row>
    <row r="9" spans="1:6" x14ac:dyDescent="0.25">
      <c r="A9" s="12" t="s">
        <v>59</v>
      </c>
      <c r="B9" s="13">
        <v>224625</v>
      </c>
      <c r="C9" s="13">
        <v>243029</v>
      </c>
      <c r="D9" s="13">
        <v>322610</v>
      </c>
      <c r="E9" s="13">
        <v>242760</v>
      </c>
      <c r="F9" s="13">
        <v>1033024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1F53C-E716-4781-8618-3480C9E96B41}">
  <dimension ref="A3:B10"/>
  <sheetViews>
    <sheetView workbookViewId="0">
      <selection activeCell="A9" sqref="A9"/>
    </sheetView>
  </sheetViews>
  <sheetFormatPr baseColWidth="10" defaultRowHeight="15" x14ac:dyDescent="0.25"/>
  <cols>
    <col min="1" max="1" width="17.5703125" bestFit="1" customWidth="1"/>
    <col min="2" max="2" width="16.28515625" bestFit="1" customWidth="1"/>
    <col min="3" max="181" width="18.140625" bestFit="1" customWidth="1"/>
    <col min="182" max="182" width="12.5703125" bestFit="1" customWidth="1"/>
  </cols>
  <sheetData>
    <row r="3" spans="1:2" x14ac:dyDescent="0.25">
      <c r="A3" s="11" t="s">
        <v>60</v>
      </c>
      <c r="B3" t="s">
        <v>57</v>
      </c>
    </row>
    <row r="4" spans="1:2" x14ac:dyDescent="0.25">
      <c r="A4" s="12" t="s">
        <v>63</v>
      </c>
      <c r="B4" s="10">
        <v>184377</v>
      </c>
    </row>
    <row r="5" spans="1:2" x14ac:dyDescent="0.25">
      <c r="A5" s="12" t="s">
        <v>64</v>
      </c>
      <c r="B5" s="10">
        <v>198673</v>
      </c>
    </row>
    <row r="6" spans="1:2" x14ac:dyDescent="0.25">
      <c r="A6" s="12" t="s">
        <v>65</v>
      </c>
      <c r="B6" s="10">
        <v>153957</v>
      </c>
    </row>
    <row r="7" spans="1:2" x14ac:dyDescent="0.25">
      <c r="A7" s="12" t="s">
        <v>66</v>
      </c>
      <c r="B7" s="10">
        <v>173547</v>
      </c>
    </row>
    <row r="8" spans="1:2" x14ac:dyDescent="0.25">
      <c r="A8" s="12" t="s">
        <v>67</v>
      </c>
      <c r="B8" s="10">
        <v>168264</v>
      </c>
    </row>
    <row r="9" spans="1:2" x14ac:dyDescent="0.25">
      <c r="A9" s="12" t="s">
        <v>68</v>
      </c>
      <c r="B9" s="10">
        <v>154206</v>
      </c>
    </row>
    <row r="10" spans="1:2" x14ac:dyDescent="0.25">
      <c r="A10" s="12" t="s">
        <v>59</v>
      </c>
      <c r="B10" s="10">
        <v>1033024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196EB-DDBF-4986-AA5D-1E26944EE130}">
  <dimension ref="A1:O40"/>
  <sheetViews>
    <sheetView topLeftCell="A22" workbookViewId="0">
      <selection activeCell="J55" sqref="J55"/>
    </sheetView>
  </sheetViews>
  <sheetFormatPr baseColWidth="10" defaultRowHeight="15" x14ac:dyDescent="0.25"/>
  <cols>
    <col min="1" max="1" width="17.5703125" bestFit="1" customWidth="1"/>
    <col min="2" max="2" width="22.42578125" bestFit="1" customWidth="1"/>
    <col min="3" max="3" width="4.28515625" customWidth="1"/>
    <col min="4" max="4" width="16.28515625" bestFit="1" customWidth="1"/>
    <col min="5" max="5" width="4.140625" customWidth="1"/>
    <col min="6" max="6" width="16.28515625" bestFit="1" customWidth="1"/>
    <col min="7" max="7" width="3.85546875" customWidth="1"/>
    <col min="8" max="8" width="16.28515625" bestFit="1" customWidth="1"/>
    <col min="9" max="9" width="4.28515625" customWidth="1"/>
    <col min="10" max="10" width="16.28515625" bestFit="1" customWidth="1"/>
    <col min="11" max="11" width="3.7109375" customWidth="1"/>
    <col min="12" max="12" width="16.28515625" bestFit="1" customWidth="1"/>
    <col min="13" max="13" width="4" customWidth="1"/>
    <col min="14" max="14" width="21.28515625" bestFit="1" customWidth="1"/>
    <col min="15" max="15" width="3.5703125" customWidth="1"/>
    <col min="16" max="23" width="9" bestFit="1" customWidth="1"/>
    <col min="24" max="44" width="8.5703125" bestFit="1" customWidth="1"/>
    <col min="45" max="63" width="9" bestFit="1" customWidth="1"/>
    <col min="64" max="84" width="8.42578125" bestFit="1" customWidth="1"/>
    <col min="85" max="102" width="9.28515625" bestFit="1" customWidth="1"/>
    <col min="103" max="125" width="8.42578125" bestFit="1" customWidth="1"/>
    <col min="126" max="126" width="12.5703125" bestFit="1" customWidth="1"/>
    <col min="127" max="152" width="9.28515625" bestFit="1" customWidth="1"/>
    <col min="153" max="181" width="8.42578125" bestFit="1" customWidth="1"/>
    <col min="182" max="182" width="12.5703125" bestFit="1" customWidth="1"/>
    <col min="183" max="183" width="23.140625" bestFit="1" customWidth="1"/>
    <col min="184" max="184" width="20" bestFit="1" customWidth="1"/>
    <col min="185" max="185" width="23.140625" bestFit="1" customWidth="1"/>
    <col min="186" max="186" width="20" bestFit="1" customWidth="1"/>
    <col min="187" max="187" width="23.140625" bestFit="1" customWidth="1"/>
    <col min="188" max="188" width="20" bestFit="1" customWidth="1"/>
    <col min="189" max="189" width="23.140625" bestFit="1" customWidth="1"/>
    <col min="190" max="190" width="20" bestFit="1" customWidth="1"/>
    <col min="191" max="191" width="23.140625" bestFit="1" customWidth="1"/>
    <col min="192" max="192" width="20" bestFit="1" customWidth="1"/>
    <col min="193" max="193" width="23.140625" bestFit="1" customWidth="1"/>
    <col min="194" max="194" width="20" bestFit="1" customWidth="1"/>
    <col min="195" max="195" width="23.140625" bestFit="1" customWidth="1"/>
    <col min="196" max="196" width="20" bestFit="1" customWidth="1"/>
    <col min="197" max="197" width="23.140625" bestFit="1" customWidth="1"/>
    <col min="198" max="198" width="20" bestFit="1" customWidth="1"/>
    <col min="199" max="199" width="23.140625" bestFit="1" customWidth="1"/>
    <col min="200" max="200" width="20" bestFit="1" customWidth="1"/>
    <col min="201" max="201" width="23.140625" bestFit="1" customWidth="1"/>
    <col min="202" max="202" width="20" bestFit="1" customWidth="1"/>
    <col min="203" max="203" width="23.140625" bestFit="1" customWidth="1"/>
    <col min="204" max="204" width="20" bestFit="1" customWidth="1"/>
    <col min="205" max="205" width="23.140625" bestFit="1" customWidth="1"/>
    <col min="206" max="206" width="20" bestFit="1" customWidth="1"/>
    <col min="207" max="207" width="23.140625" bestFit="1" customWidth="1"/>
    <col min="208" max="208" width="20" bestFit="1" customWidth="1"/>
    <col min="209" max="209" width="23.140625" bestFit="1" customWidth="1"/>
    <col min="210" max="210" width="20" bestFit="1" customWidth="1"/>
    <col min="211" max="211" width="23.140625" bestFit="1" customWidth="1"/>
    <col min="212" max="212" width="20" bestFit="1" customWidth="1"/>
    <col min="213" max="213" width="23.140625" bestFit="1" customWidth="1"/>
    <col min="214" max="214" width="20" bestFit="1" customWidth="1"/>
    <col min="215" max="215" width="23.140625" bestFit="1" customWidth="1"/>
    <col min="216" max="216" width="20" bestFit="1" customWidth="1"/>
    <col min="217" max="217" width="23.140625" bestFit="1" customWidth="1"/>
    <col min="218" max="218" width="20" bestFit="1" customWidth="1"/>
    <col min="219" max="219" width="23.140625" bestFit="1" customWidth="1"/>
    <col min="220" max="220" width="20" bestFit="1" customWidth="1"/>
    <col min="221" max="221" width="23.140625" bestFit="1" customWidth="1"/>
    <col min="222" max="222" width="20" bestFit="1" customWidth="1"/>
    <col min="223" max="223" width="23.140625" bestFit="1" customWidth="1"/>
    <col min="224" max="224" width="20" bestFit="1" customWidth="1"/>
    <col min="225" max="225" width="23.140625" bestFit="1" customWidth="1"/>
    <col min="226" max="226" width="20" bestFit="1" customWidth="1"/>
    <col min="227" max="227" width="23.140625" bestFit="1" customWidth="1"/>
    <col min="228" max="228" width="20" bestFit="1" customWidth="1"/>
    <col min="229" max="229" width="23.140625" bestFit="1" customWidth="1"/>
    <col min="230" max="230" width="20" bestFit="1" customWidth="1"/>
    <col min="231" max="231" width="23.140625" bestFit="1" customWidth="1"/>
    <col min="232" max="232" width="20" bestFit="1" customWidth="1"/>
    <col min="233" max="233" width="23.140625" bestFit="1" customWidth="1"/>
    <col min="234" max="234" width="20" bestFit="1" customWidth="1"/>
    <col min="235" max="235" width="23.140625" bestFit="1" customWidth="1"/>
    <col min="236" max="236" width="20" bestFit="1" customWidth="1"/>
    <col min="237" max="237" width="23.140625" bestFit="1" customWidth="1"/>
    <col min="238" max="238" width="20" bestFit="1" customWidth="1"/>
    <col min="239" max="239" width="23.140625" bestFit="1" customWidth="1"/>
    <col min="240" max="240" width="20" bestFit="1" customWidth="1"/>
    <col min="241" max="241" width="23.140625" bestFit="1" customWidth="1"/>
    <col min="242" max="242" width="20" bestFit="1" customWidth="1"/>
    <col min="243" max="243" width="23.140625" bestFit="1" customWidth="1"/>
    <col min="244" max="244" width="20" bestFit="1" customWidth="1"/>
    <col min="245" max="245" width="23.140625" bestFit="1" customWidth="1"/>
    <col min="246" max="246" width="20" bestFit="1" customWidth="1"/>
    <col min="247" max="247" width="23.140625" bestFit="1" customWidth="1"/>
    <col min="248" max="248" width="20" bestFit="1" customWidth="1"/>
    <col min="249" max="249" width="23.140625" bestFit="1" customWidth="1"/>
    <col min="250" max="250" width="20" bestFit="1" customWidth="1"/>
    <col min="251" max="251" width="23.140625" bestFit="1" customWidth="1"/>
    <col min="252" max="252" width="20" bestFit="1" customWidth="1"/>
    <col min="253" max="253" width="23.140625" bestFit="1" customWidth="1"/>
    <col min="254" max="254" width="20" bestFit="1" customWidth="1"/>
    <col min="255" max="255" width="23.140625" bestFit="1" customWidth="1"/>
    <col min="256" max="256" width="20" bestFit="1" customWidth="1"/>
    <col min="257" max="257" width="23.140625" bestFit="1" customWidth="1"/>
    <col min="258" max="258" width="20" bestFit="1" customWidth="1"/>
    <col min="259" max="259" width="23.140625" bestFit="1" customWidth="1"/>
    <col min="260" max="260" width="20" bestFit="1" customWidth="1"/>
    <col min="261" max="261" width="23.140625" bestFit="1" customWidth="1"/>
    <col min="262" max="262" width="20" bestFit="1" customWidth="1"/>
    <col min="263" max="263" width="23.140625" bestFit="1" customWidth="1"/>
    <col min="264" max="264" width="20" bestFit="1" customWidth="1"/>
    <col min="265" max="265" width="23.140625" bestFit="1" customWidth="1"/>
    <col min="266" max="266" width="20" bestFit="1" customWidth="1"/>
    <col min="267" max="267" width="23.140625" bestFit="1" customWidth="1"/>
    <col min="268" max="268" width="20" bestFit="1" customWidth="1"/>
    <col min="269" max="269" width="23.140625" bestFit="1" customWidth="1"/>
    <col min="270" max="270" width="20" bestFit="1" customWidth="1"/>
    <col min="271" max="271" width="23.140625" bestFit="1" customWidth="1"/>
    <col min="272" max="272" width="20" bestFit="1" customWidth="1"/>
    <col min="273" max="273" width="23.140625" bestFit="1" customWidth="1"/>
    <col min="274" max="274" width="20" bestFit="1" customWidth="1"/>
    <col min="275" max="275" width="23.140625" bestFit="1" customWidth="1"/>
    <col min="276" max="276" width="20" bestFit="1" customWidth="1"/>
    <col min="277" max="277" width="23.140625" bestFit="1" customWidth="1"/>
    <col min="278" max="278" width="20" bestFit="1" customWidth="1"/>
    <col min="279" max="279" width="23.140625" bestFit="1" customWidth="1"/>
    <col min="280" max="280" width="20" bestFit="1" customWidth="1"/>
    <col min="281" max="281" width="23.140625" bestFit="1" customWidth="1"/>
    <col min="282" max="282" width="20" bestFit="1" customWidth="1"/>
    <col min="283" max="283" width="23.140625" bestFit="1" customWidth="1"/>
    <col min="284" max="284" width="20" bestFit="1" customWidth="1"/>
    <col min="285" max="285" width="23.140625" bestFit="1" customWidth="1"/>
    <col min="286" max="286" width="20" bestFit="1" customWidth="1"/>
    <col min="287" max="287" width="23.140625" bestFit="1" customWidth="1"/>
    <col min="288" max="288" width="20" bestFit="1" customWidth="1"/>
    <col min="289" max="289" width="23.140625" bestFit="1" customWidth="1"/>
    <col min="290" max="290" width="20" bestFit="1" customWidth="1"/>
    <col min="291" max="291" width="23.140625" bestFit="1" customWidth="1"/>
    <col min="292" max="292" width="20" bestFit="1" customWidth="1"/>
    <col min="293" max="293" width="23.140625" bestFit="1" customWidth="1"/>
    <col min="294" max="294" width="20" bestFit="1" customWidth="1"/>
    <col min="295" max="295" width="23.140625" bestFit="1" customWidth="1"/>
    <col min="296" max="296" width="20" bestFit="1" customWidth="1"/>
    <col min="297" max="297" width="23.140625" bestFit="1" customWidth="1"/>
    <col min="298" max="298" width="20" bestFit="1" customWidth="1"/>
    <col min="299" max="299" width="23.140625" bestFit="1" customWidth="1"/>
    <col min="300" max="300" width="20" bestFit="1" customWidth="1"/>
    <col min="301" max="301" width="23.140625" bestFit="1" customWidth="1"/>
    <col min="302" max="302" width="20" bestFit="1" customWidth="1"/>
    <col min="303" max="303" width="23.140625" bestFit="1" customWidth="1"/>
    <col min="304" max="304" width="20" bestFit="1" customWidth="1"/>
    <col min="305" max="305" width="23.140625" bestFit="1" customWidth="1"/>
    <col min="306" max="306" width="20" bestFit="1" customWidth="1"/>
    <col min="307" max="307" width="23.140625" bestFit="1" customWidth="1"/>
    <col min="308" max="308" width="20" bestFit="1" customWidth="1"/>
    <col min="309" max="309" width="23.140625" bestFit="1" customWidth="1"/>
    <col min="310" max="310" width="20" bestFit="1" customWidth="1"/>
    <col min="311" max="311" width="23.140625" bestFit="1" customWidth="1"/>
    <col min="312" max="312" width="20" bestFit="1" customWidth="1"/>
    <col min="313" max="313" width="23.140625" bestFit="1" customWidth="1"/>
    <col min="314" max="314" width="20" bestFit="1" customWidth="1"/>
    <col min="315" max="315" width="23.140625" bestFit="1" customWidth="1"/>
    <col min="316" max="316" width="20" bestFit="1" customWidth="1"/>
    <col min="317" max="317" width="23.140625" bestFit="1" customWidth="1"/>
    <col min="318" max="318" width="20" bestFit="1" customWidth="1"/>
    <col min="319" max="319" width="23.140625" bestFit="1" customWidth="1"/>
    <col min="320" max="320" width="20" bestFit="1" customWidth="1"/>
    <col min="321" max="321" width="23.140625" bestFit="1" customWidth="1"/>
    <col min="322" max="322" width="20" bestFit="1" customWidth="1"/>
    <col min="323" max="323" width="23.140625" bestFit="1" customWidth="1"/>
    <col min="324" max="324" width="20" bestFit="1" customWidth="1"/>
    <col min="325" max="325" width="23.140625" bestFit="1" customWidth="1"/>
    <col min="326" max="326" width="20" bestFit="1" customWidth="1"/>
    <col min="327" max="327" width="23.140625" bestFit="1" customWidth="1"/>
    <col min="328" max="328" width="20" bestFit="1" customWidth="1"/>
    <col min="329" max="329" width="23.140625" bestFit="1" customWidth="1"/>
    <col min="330" max="330" width="20" bestFit="1" customWidth="1"/>
    <col min="331" max="331" width="23.140625" bestFit="1" customWidth="1"/>
    <col min="332" max="332" width="20" bestFit="1" customWidth="1"/>
    <col min="333" max="333" width="23.140625" bestFit="1" customWidth="1"/>
    <col min="334" max="334" width="20" bestFit="1" customWidth="1"/>
    <col min="335" max="335" width="23.140625" bestFit="1" customWidth="1"/>
    <col min="336" max="336" width="20" bestFit="1" customWidth="1"/>
    <col min="337" max="337" width="23.140625" bestFit="1" customWidth="1"/>
    <col min="338" max="338" width="20" bestFit="1" customWidth="1"/>
    <col min="339" max="339" width="23.140625" bestFit="1" customWidth="1"/>
    <col min="340" max="340" width="20" bestFit="1" customWidth="1"/>
    <col min="341" max="341" width="23.140625" bestFit="1" customWidth="1"/>
    <col min="342" max="342" width="20" bestFit="1" customWidth="1"/>
    <col min="343" max="343" width="23.140625" bestFit="1" customWidth="1"/>
    <col min="344" max="344" width="20" bestFit="1" customWidth="1"/>
    <col min="345" max="345" width="23.140625" bestFit="1" customWidth="1"/>
    <col min="346" max="346" width="20" bestFit="1" customWidth="1"/>
    <col min="347" max="347" width="23.140625" bestFit="1" customWidth="1"/>
    <col min="348" max="348" width="20" bestFit="1" customWidth="1"/>
    <col min="349" max="349" width="23.140625" bestFit="1" customWidth="1"/>
    <col min="350" max="350" width="20" bestFit="1" customWidth="1"/>
    <col min="351" max="351" width="23.140625" bestFit="1" customWidth="1"/>
    <col min="352" max="352" width="20" bestFit="1" customWidth="1"/>
    <col min="353" max="353" width="23.140625" bestFit="1" customWidth="1"/>
    <col min="354" max="354" width="20" bestFit="1" customWidth="1"/>
    <col min="355" max="355" width="23.140625" bestFit="1" customWidth="1"/>
    <col min="356" max="356" width="20" bestFit="1" customWidth="1"/>
    <col min="357" max="357" width="23.140625" bestFit="1" customWidth="1"/>
    <col min="358" max="358" width="20" bestFit="1" customWidth="1"/>
    <col min="359" max="359" width="23.140625" bestFit="1" customWidth="1"/>
    <col min="360" max="360" width="20" bestFit="1" customWidth="1"/>
    <col min="361" max="361" width="23.140625" bestFit="1" customWidth="1"/>
    <col min="362" max="362" width="12.5703125" bestFit="1" customWidth="1"/>
  </cols>
  <sheetData>
    <row r="1" spans="1:15" x14ac:dyDescent="0.25">
      <c r="A1" s="11" t="s">
        <v>14</v>
      </c>
      <c r="B1" t="s">
        <v>61</v>
      </c>
    </row>
    <row r="3" spans="1:15" x14ac:dyDescent="0.25">
      <c r="B3" s="11" t="s">
        <v>58</v>
      </c>
    </row>
    <row r="4" spans="1:15" x14ac:dyDescent="0.25">
      <c r="B4" t="s">
        <v>63</v>
      </c>
      <c r="D4" t="s">
        <v>64</v>
      </c>
      <c r="F4" t="s">
        <v>65</v>
      </c>
      <c r="H4" t="s">
        <v>66</v>
      </c>
      <c r="J4" t="s">
        <v>67</v>
      </c>
      <c r="L4" t="s">
        <v>68</v>
      </c>
      <c r="N4" t="s">
        <v>69</v>
      </c>
      <c r="O4" t="s">
        <v>70</v>
      </c>
    </row>
    <row r="7" spans="1:15" x14ac:dyDescent="0.25">
      <c r="A7" s="11" t="s">
        <v>60</v>
      </c>
      <c r="B7" s="13" t="s">
        <v>57</v>
      </c>
      <c r="C7" s="12" t="s">
        <v>71</v>
      </c>
      <c r="D7" s="13" t="s">
        <v>57</v>
      </c>
      <c r="E7" s="12" t="s">
        <v>71</v>
      </c>
      <c r="F7" s="13" t="s">
        <v>57</v>
      </c>
      <c r="G7" s="12" t="s">
        <v>71</v>
      </c>
      <c r="H7" s="13" t="s">
        <v>57</v>
      </c>
      <c r="I7" s="12" t="s">
        <v>71</v>
      </c>
      <c r="J7" s="13" t="s">
        <v>57</v>
      </c>
      <c r="K7" s="12" t="s">
        <v>71</v>
      </c>
      <c r="L7" s="13" t="s">
        <v>57</v>
      </c>
      <c r="M7" s="12" t="s">
        <v>71</v>
      </c>
    </row>
    <row r="8" spans="1:15" x14ac:dyDescent="0.25">
      <c r="A8" s="12" t="s">
        <v>15</v>
      </c>
      <c r="B8" s="13">
        <v>7022</v>
      </c>
      <c r="C8" s="14">
        <v>12</v>
      </c>
      <c r="D8" s="13">
        <v>7406</v>
      </c>
      <c r="E8" s="14">
        <v>13</v>
      </c>
      <c r="F8" s="13">
        <v>6305</v>
      </c>
      <c r="G8" s="14">
        <v>6</v>
      </c>
      <c r="H8" s="13">
        <v>8548</v>
      </c>
      <c r="I8" s="14">
        <v>4</v>
      </c>
      <c r="J8" s="13">
        <v>4728</v>
      </c>
      <c r="K8" s="14">
        <v>19</v>
      </c>
      <c r="L8" s="13">
        <v>2532</v>
      </c>
      <c r="M8" s="14">
        <v>30</v>
      </c>
      <c r="N8" s="13">
        <v>36541</v>
      </c>
      <c r="O8" s="14">
        <v>9</v>
      </c>
    </row>
    <row r="9" spans="1:15" x14ac:dyDescent="0.25">
      <c r="A9" s="12" t="s">
        <v>28</v>
      </c>
      <c r="B9" s="13">
        <v>6418</v>
      </c>
      <c r="C9" s="14">
        <v>14</v>
      </c>
      <c r="D9" s="13">
        <v>8519</v>
      </c>
      <c r="E9" s="14">
        <v>7</v>
      </c>
      <c r="F9" s="13">
        <v>2573</v>
      </c>
      <c r="G9" s="14">
        <v>29</v>
      </c>
      <c r="H9" s="13">
        <v>880</v>
      </c>
      <c r="I9" s="14">
        <v>32</v>
      </c>
      <c r="J9" s="13">
        <v>6920</v>
      </c>
      <c r="K9" s="14">
        <v>7</v>
      </c>
      <c r="L9" s="13">
        <v>1128</v>
      </c>
      <c r="M9" s="14">
        <v>32</v>
      </c>
      <c r="N9" s="13">
        <v>26438</v>
      </c>
      <c r="O9" s="14">
        <v>28</v>
      </c>
    </row>
    <row r="10" spans="1:15" x14ac:dyDescent="0.25">
      <c r="A10" s="12" t="s">
        <v>29</v>
      </c>
      <c r="B10" s="13">
        <v>9203</v>
      </c>
      <c r="C10" s="14">
        <v>3</v>
      </c>
      <c r="D10" s="13">
        <v>9651</v>
      </c>
      <c r="E10" s="14">
        <v>4</v>
      </c>
      <c r="F10" s="13">
        <v>5281</v>
      </c>
      <c r="G10" s="14">
        <v>11</v>
      </c>
      <c r="H10" s="13">
        <v>6750</v>
      </c>
      <c r="I10" s="14">
        <v>9</v>
      </c>
      <c r="J10" s="13">
        <v>2876</v>
      </c>
      <c r="K10" s="14">
        <v>27</v>
      </c>
      <c r="L10" s="13">
        <v>4451</v>
      </c>
      <c r="M10" s="14">
        <v>17</v>
      </c>
      <c r="N10" s="13">
        <v>38212</v>
      </c>
      <c r="O10" s="14">
        <v>6</v>
      </c>
    </row>
    <row r="11" spans="1:15" x14ac:dyDescent="0.25">
      <c r="A11" s="12" t="s">
        <v>30</v>
      </c>
      <c r="B11" s="13">
        <v>5069</v>
      </c>
      <c r="C11" s="14">
        <v>20</v>
      </c>
      <c r="D11" s="13">
        <v>3891</v>
      </c>
      <c r="E11" s="14">
        <v>23</v>
      </c>
      <c r="F11" s="13">
        <v>4906</v>
      </c>
      <c r="G11" s="14">
        <v>16</v>
      </c>
      <c r="H11" s="13">
        <v>6276</v>
      </c>
      <c r="I11" s="14">
        <v>11</v>
      </c>
      <c r="J11" s="13">
        <v>5072</v>
      </c>
      <c r="K11" s="14">
        <v>15</v>
      </c>
      <c r="L11" s="13">
        <v>5517</v>
      </c>
      <c r="M11" s="14">
        <v>12</v>
      </c>
      <c r="N11" s="13">
        <v>30731</v>
      </c>
      <c r="O11" s="14">
        <v>18</v>
      </c>
    </row>
    <row r="12" spans="1:15" x14ac:dyDescent="0.25">
      <c r="A12" s="12" t="s">
        <v>31</v>
      </c>
      <c r="B12" s="13">
        <v>2442</v>
      </c>
      <c r="C12" s="14">
        <v>30</v>
      </c>
      <c r="D12" s="13">
        <v>6045</v>
      </c>
      <c r="E12" s="14">
        <v>18</v>
      </c>
      <c r="F12" s="13">
        <v>5061</v>
      </c>
      <c r="G12" s="14">
        <v>14</v>
      </c>
      <c r="H12" s="13">
        <v>5796</v>
      </c>
      <c r="I12" s="14">
        <v>12</v>
      </c>
      <c r="J12" s="13">
        <v>7642</v>
      </c>
      <c r="K12" s="14">
        <v>5</v>
      </c>
      <c r="L12" s="13">
        <v>6337</v>
      </c>
      <c r="M12" s="14">
        <v>8</v>
      </c>
      <c r="N12" s="13">
        <v>33323</v>
      </c>
      <c r="O12" s="14">
        <v>13</v>
      </c>
    </row>
    <row r="13" spans="1:15" x14ac:dyDescent="0.25">
      <c r="A13" s="12" t="s">
        <v>32</v>
      </c>
      <c r="B13" s="13">
        <v>8404</v>
      </c>
      <c r="C13" s="14">
        <v>6</v>
      </c>
      <c r="D13" s="13">
        <v>5357</v>
      </c>
      <c r="E13" s="14">
        <v>19</v>
      </c>
      <c r="F13" s="13">
        <v>4050</v>
      </c>
      <c r="G13" s="14">
        <v>22</v>
      </c>
      <c r="H13" s="13">
        <v>2045</v>
      </c>
      <c r="I13" s="14">
        <v>31</v>
      </c>
      <c r="J13" s="13">
        <v>2945</v>
      </c>
      <c r="K13" s="14">
        <v>26</v>
      </c>
      <c r="L13" s="13">
        <v>4668</v>
      </c>
      <c r="M13" s="14">
        <v>15</v>
      </c>
      <c r="N13" s="13">
        <v>27469</v>
      </c>
      <c r="O13" s="14">
        <v>26</v>
      </c>
    </row>
    <row r="14" spans="1:15" x14ac:dyDescent="0.25">
      <c r="A14" s="12" t="s">
        <v>33</v>
      </c>
      <c r="B14" s="13">
        <v>2605</v>
      </c>
      <c r="C14" s="14">
        <v>29</v>
      </c>
      <c r="D14" s="13">
        <v>2965</v>
      </c>
      <c r="E14" s="14">
        <v>29</v>
      </c>
      <c r="F14" s="13">
        <v>4025</v>
      </c>
      <c r="G14" s="14">
        <v>23</v>
      </c>
      <c r="H14" s="13">
        <v>3183</v>
      </c>
      <c r="I14" s="14">
        <v>29</v>
      </c>
      <c r="J14" s="13">
        <v>5271</v>
      </c>
      <c r="K14" s="14">
        <v>14</v>
      </c>
      <c r="L14" s="13">
        <v>4334</v>
      </c>
      <c r="M14" s="14">
        <v>18</v>
      </c>
      <c r="N14" s="13">
        <v>22383</v>
      </c>
      <c r="O14" s="14">
        <v>31</v>
      </c>
    </row>
    <row r="15" spans="1:15" x14ac:dyDescent="0.25">
      <c r="A15" s="12" t="s">
        <v>34</v>
      </c>
      <c r="B15" s="13">
        <v>4778</v>
      </c>
      <c r="C15" s="14">
        <v>21</v>
      </c>
      <c r="D15" s="13">
        <v>7973</v>
      </c>
      <c r="E15" s="14">
        <v>10</v>
      </c>
      <c r="F15" s="13">
        <v>4275</v>
      </c>
      <c r="G15" s="14">
        <v>20</v>
      </c>
      <c r="H15" s="13">
        <v>3409</v>
      </c>
      <c r="I15" s="14">
        <v>28</v>
      </c>
      <c r="J15" s="13">
        <v>950</v>
      </c>
      <c r="K15" s="14">
        <v>32</v>
      </c>
      <c r="L15" s="13">
        <v>6843</v>
      </c>
      <c r="M15" s="14">
        <v>5</v>
      </c>
      <c r="N15" s="13">
        <v>28228</v>
      </c>
      <c r="O15" s="14">
        <v>23</v>
      </c>
    </row>
    <row r="16" spans="1:15" x14ac:dyDescent="0.25">
      <c r="A16" s="12" t="s">
        <v>35</v>
      </c>
      <c r="B16" s="13">
        <v>5711</v>
      </c>
      <c r="C16" s="14">
        <v>18</v>
      </c>
      <c r="D16" s="13">
        <v>1958</v>
      </c>
      <c r="E16" s="14">
        <v>31</v>
      </c>
      <c r="F16" s="13">
        <v>4482</v>
      </c>
      <c r="G16" s="14">
        <v>19</v>
      </c>
      <c r="H16" s="13">
        <v>6965</v>
      </c>
      <c r="I16" s="14">
        <v>6</v>
      </c>
      <c r="J16" s="13">
        <v>1644</v>
      </c>
      <c r="K16" s="14">
        <v>29</v>
      </c>
      <c r="L16" s="13">
        <v>6783</v>
      </c>
      <c r="M16" s="14">
        <v>6</v>
      </c>
      <c r="N16" s="13">
        <v>27543</v>
      </c>
      <c r="O16" s="14">
        <v>25</v>
      </c>
    </row>
    <row r="17" spans="1:15" x14ac:dyDescent="0.25">
      <c r="A17" s="12" t="s">
        <v>36</v>
      </c>
      <c r="B17" s="13">
        <v>8006</v>
      </c>
      <c r="C17" s="14">
        <v>8</v>
      </c>
      <c r="D17" s="13">
        <v>7103</v>
      </c>
      <c r="E17" s="14">
        <v>14</v>
      </c>
      <c r="F17" s="13">
        <v>1532</v>
      </c>
      <c r="G17" s="14">
        <v>31</v>
      </c>
      <c r="H17" s="13">
        <v>4373</v>
      </c>
      <c r="I17" s="14">
        <v>24</v>
      </c>
      <c r="J17" s="13">
        <v>1508</v>
      </c>
      <c r="K17" s="14">
        <v>30</v>
      </c>
      <c r="L17" s="13">
        <v>3407</v>
      </c>
      <c r="M17" s="14">
        <v>26</v>
      </c>
      <c r="N17" s="13">
        <v>25929</v>
      </c>
      <c r="O17" s="14">
        <v>30</v>
      </c>
    </row>
    <row r="18" spans="1:15" x14ac:dyDescent="0.25">
      <c r="A18" s="12" t="s">
        <v>37</v>
      </c>
      <c r="B18" s="13">
        <v>3960</v>
      </c>
      <c r="C18" s="14">
        <v>23</v>
      </c>
      <c r="D18" s="13">
        <v>9796</v>
      </c>
      <c r="E18" s="14">
        <v>3</v>
      </c>
      <c r="F18" s="13">
        <v>5078</v>
      </c>
      <c r="G18" s="14">
        <v>12</v>
      </c>
      <c r="H18" s="13">
        <v>4979</v>
      </c>
      <c r="I18" s="14">
        <v>16</v>
      </c>
      <c r="J18" s="13">
        <v>3912</v>
      </c>
      <c r="K18" s="14">
        <v>22</v>
      </c>
      <c r="L18" s="13">
        <v>2842</v>
      </c>
      <c r="M18" s="14">
        <v>28</v>
      </c>
      <c r="N18" s="13">
        <v>30567</v>
      </c>
      <c r="O18" s="14">
        <v>20</v>
      </c>
    </row>
    <row r="19" spans="1:15" x14ac:dyDescent="0.25">
      <c r="A19" s="12" t="s">
        <v>17</v>
      </c>
      <c r="B19" s="13">
        <v>3311</v>
      </c>
      <c r="C19" s="14">
        <v>25</v>
      </c>
      <c r="D19" s="13">
        <v>6275</v>
      </c>
      <c r="E19" s="14">
        <v>16</v>
      </c>
      <c r="F19" s="13">
        <v>11457</v>
      </c>
      <c r="G19" s="14">
        <v>1</v>
      </c>
      <c r="H19" s="13">
        <v>4570</v>
      </c>
      <c r="I19" s="14">
        <v>22</v>
      </c>
      <c r="J19" s="13">
        <v>2413</v>
      </c>
      <c r="K19" s="14">
        <v>28</v>
      </c>
      <c r="L19" s="13">
        <v>2679</v>
      </c>
      <c r="M19" s="14">
        <v>29</v>
      </c>
      <c r="N19" s="13">
        <v>30705</v>
      </c>
      <c r="O19" s="14">
        <v>19</v>
      </c>
    </row>
    <row r="20" spans="1:15" x14ac:dyDescent="0.25">
      <c r="A20" s="12" t="s">
        <v>38</v>
      </c>
      <c r="B20" s="13">
        <v>1895</v>
      </c>
      <c r="C20" s="14">
        <v>32</v>
      </c>
      <c r="D20" s="13">
        <v>6475</v>
      </c>
      <c r="E20" s="14">
        <v>15</v>
      </c>
      <c r="F20" s="13">
        <v>7312</v>
      </c>
      <c r="G20" s="14">
        <v>3</v>
      </c>
      <c r="H20" s="13">
        <v>5724</v>
      </c>
      <c r="I20" s="14">
        <v>13</v>
      </c>
      <c r="J20" s="13">
        <v>15829</v>
      </c>
      <c r="K20" s="14">
        <v>1</v>
      </c>
      <c r="L20" s="13">
        <v>4679</v>
      </c>
      <c r="M20" s="14">
        <v>14</v>
      </c>
      <c r="N20" s="13">
        <v>41914</v>
      </c>
      <c r="O20" s="14">
        <v>2</v>
      </c>
    </row>
    <row r="21" spans="1:15" x14ac:dyDescent="0.25">
      <c r="A21" s="12" t="s">
        <v>39</v>
      </c>
      <c r="B21" s="13">
        <v>2643</v>
      </c>
      <c r="C21" s="14">
        <v>27</v>
      </c>
      <c r="D21" s="13">
        <v>2783</v>
      </c>
      <c r="E21" s="14">
        <v>30</v>
      </c>
      <c r="F21" s="13">
        <v>4712</v>
      </c>
      <c r="G21" s="14">
        <v>18</v>
      </c>
      <c r="H21" s="13">
        <v>3606</v>
      </c>
      <c r="I21" s="14">
        <v>27</v>
      </c>
      <c r="J21" s="13">
        <v>7268</v>
      </c>
      <c r="K21" s="14">
        <v>6</v>
      </c>
      <c r="L21" s="13">
        <v>8571</v>
      </c>
      <c r="M21" s="14">
        <v>1</v>
      </c>
      <c r="N21" s="13">
        <v>29583</v>
      </c>
      <c r="O21" s="14">
        <v>22</v>
      </c>
    </row>
    <row r="22" spans="1:15" x14ac:dyDescent="0.25">
      <c r="A22" s="12" t="s">
        <v>40</v>
      </c>
      <c r="B22" s="13">
        <v>5912</v>
      </c>
      <c r="C22" s="14">
        <v>17</v>
      </c>
      <c r="D22" s="13">
        <v>3786</v>
      </c>
      <c r="E22" s="14">
        <v>24</v>
      </c>
      <c r="F22" s="13">
        <v>5065</v>
      </c>
      <c r="G22" s="14">
        <v>13</v>
      </c>
      <c r="H22" s="13">
        <v>4823</v>
      </c>
      <c r="I22" s="14">
        <v>18</v>
      </c>
      <c r="J22" s="13">
        <v>5811</v>
      </c>
      <c r="K22" s="14">
        <v>11</v>
      </c>
      <c r="L22" s="13">
        <v>4188</v>
      </c>
      <c r="M22" s="14">
        <v>21</v>
      </c>
      <c r="N22" s="13">
        <v>29585</v>
      </c>
      <c r="O22" s="14">
        <v>21</v>
      </c>
    </row>
    <row r="23" spans="1:15" x14ac:dyDescent="0.25">
      <c r="A23" s="12" t="s">
        <v>41</v>
      </c>
      <c r="B23" s="13">
        <v>9129</v>
      </c>
      <c r="C23" s="14">
        <v>4</v>
      </c>
      <c r="D23" s="13">
        <v>3507</v>
      </c>
      <c r="E23" s="14">
        <v>26</v>
      </c>
      <c r="F23" s="13">
        <v>2782</v>
      </c>
      <c r="G23" s="14">
        <v>28</v>
      </c>
      <c r="H23" s="13">
        <v>4682</v>
      </c>
      <c r="I23" s="14">
        <v>20</v>
      </c>
      <c r="J23" s="13">
        <v>4951</v>
      </c>
      <c r="K23" s="14">
        <v>16</v>
      </c>
      <c r="L23" s="13">
        <v>1286</v>
      </c>
      <c r="M23" s="14">
        <v>31</v>
      </c>
      <c r="N23" s="13">
        <v>26337</v>
      </c>
      <c r="O23" s="14">
        <v>29</v>
      </c>
    </row>
    <row r="24" spans="1:15" x14ac:dyDescent="0.25">
      <c r="A24" s="12" t="s">
        <v>42</v>
      </c>
      <c r="B24" s="13">
        <v>2940</v>
      </c>
      <c r="C24" s="14">
        <v>26</v>
      </c>
      <c r="D24" s="13">
        <v>9264</v>
      </c>
      <c r="E24" s="14">
        <v>5</v>
      </c>
      <c r="F24" s="13">
        <v>5613</v>
      </c>
      <c r="G24" s="14">
        <v>8</v>
      </c>
      <c r="H24" s="13">
        <v>4891</v>
      </c>
      <c r="I24" s="14">
        <v>17</v>
      </c>
      <c r="J24" s="13">
        <v>4340</v>
      </c>
      <c r="K24" s="14">
        <v>21</v>
      </c>
      <c r="L24" s="13">
        <v>4240</v>
      </c>
      <c r="M24" s="14">
        <v>19</v>
      </c>
      <c r="N24" s="13">
        <v>31288</v>
      </c>
      <c r="O24" s="14">
        <v>17</v>
      </c>
    </row>
    <row r="25" spans="1:15" x14ac:dyDescent="0.25">
      <c r="A25" s="12" t="s">
        <v>43</v>
      </c>
      <c r="B25" s="13">
        <v>4487</v>
      </c>
      <c r="C25" s="14">
        <v>22</v>
      </c>
      <c r="D25" s="13">
        <v>9086</v>
      </c>
      <c r="E25" s="14">
        <v>6</v>
      </c>
      <c r="F25" s="13">
        <v>4015</v>
      </c>
      <c r="G25" s="14">
        <v>24</v>
      </c>
      <c r="H25" s="13">
        <v>10440</v>
      </c>
      <c r="I25" s="14">
        <v>1</v>
      </c>
      <c r="J25" s="13">
        <v>5490</v>
      </c>
      <c r="K25" s="14">
        <v>13</v>
      </c>
      <c r="L25" s="13">
        <v>6851</v>
      </c>
      <c r="M25" s="14">
        <v>4</v>
      </c>
      <c r="N25" s="13">
        <v>40369</v>
      </c>
      <c r="O25" s="14">
        <v>4</v>
      </c>
    </row>
    <row r="26" spans="1:15" x14ac:dyDescent="0.25">
      <c r="A26" s="12" t="s">
        <v>44</v>
      </c>
      <c r="B26" s="13">
        <v>2190</v>
      </c>
      <c r="C26" s="14">
        <v>31</v>
      </c>
      <c r="D26" s="13">
        <v>11326</v>
      </c>
      <c r="E26" s="14">
        <v>2</v>
      </c>
      <c r="F26" s="13">
        <v>4271</v>
      </c>
      <c r="G26" s="14">
        <v>21</v>
      </c>
      <c r="H26" s="13">
        <v>5367</v>
      </c>
      <c r="I26" s="14">
        <v>15</v>
      </c>
      <c r="J26" s="13">
        <v>2949</v>
      </c>
      <c r="K26" s="14">
        <v>25</v>
      </c>
      <c r="L26" s="13">
        <v>8559</v>
      </c>
      <c r="M26" s="14">
        <v>2</v>
      </c>
      <c r="N26" s="13">
        <v>34662</v>
      </c>
      <c r="O26" s="14">
        <v>11</v>
      </c>
    </row>
    <row r="27" spans="1:15" x14ac:dyDescent="0.25">
      <c r="A27" s="12" t="s">
        <v>45</v>
      </c>
      <c r="B27" s="13">
        <v>5296</v>
      </c>
      <c r="C27" s="14">
        <v>19</v>
      </c>
      <c r="D27" s="13">
        <v>3564</v>
      </c>
      <c r="E27" s="14">
        <v>25</v>
      </c>
      <c r="F27" s="13">
        <v>3931</v>
      </c>
      <c r="G27" s="14">
        <v>25</v>
      </c>
      <c r="H27" s="13">
        <v>4240</v>
      </c>
      <c r="I27" s="14">
        <v>25</v>
      </c>
      <c r="J27" s="13">
        <v>1097</v>
      </c>
      <c r="K27" s="14">
        <v>31</v>
      </c>
      <c r="L27" s="13">
        <v>4153</v>
      </c>
      <c r="M27" s="14">
        <v>22</v>
      </c>
      <c r="N27" s="13">
        <v>22281</v>
      </c>
      <c r="O27" s="14">
        <v>32</v>
      </c>
    </row>
    <row r="28" spans="1:15" x14ac:dyDescent="0.25">
      <c r="A28" s="12" t="s">
        <v>46</v>
      </c>
      <c r="B28" s="13">
        <v>7100</v>
      </c>
      <c r="C28" s="14">
        <v>11</v>
      </c>
      <c r="D28" s="13">
        <v>3274</v>
      </c>
      <c r="E28" s="14">
        <v>28</v>
      </c>
      <c r="F28" s="13">
        <v>7065</v>
      </c>
      <c r="G28" s="14">
        <v>5</v>
      </c>
      <c r="H28" s="13">
        <v>6774</v>
      </c>
      <c r="I28" s="14">
        <v>8</v>
      </c>
      <c r="J28" s="13">
        <v>4698</v>
      </c>
      <c r="K28" s="14">
        <v>20</v>
      </c>
      <c r="L28" s="13">
        <v>3851</v>
      </c>
      <c r="M28" s="14">
        <v>25</v>
      </c>
      <c r="N28" s="13">
        <v>32762</v>
      </c>
      <c r="O28" s="14">
        <v>15</v>
      </c>
    </row>
    <row r="29" spans="1:15" x14ac:dyDescent="0.25">
      <c r="A29" s="12" t="s">
        <v>47</v>
      </c>
      <c r="B29" s="13">
        <v>9959</v>
      </c>
      <c r="C29" s="14">
        <v>1</v>
      </c>
      <c r="D29" s="13">
        <v>8063</v>
      </c>
      <c r="E29" s="14">
        <v>9</v>
      </c>
      <c r="F29" s="13">
        <v>4926</v>
      </c>
      <c r="G29" s="14">
        <v>15</v>
      </c>
      <c r="H29" s="13">
        <v>9067</v>
      </c>
      <c r="I29" s="14">
        <v>3</v>
      </c>
      <c r="J29" s="13">
        <v>3584</v>
      </c>
      <c r="K29" s="14">
        <v>23</v>
      </c>
      <c r="L29" s="13">
        <v>5797</v>
      </c>
      <c r="M29" s="14">
        <v>10</v>
      </c>
      <c r="N29" s="13">
        <v>41396</v>
      </c>
      <c r="O29" s="14">
        <v>3</v>
      </c>
    </row>
    <row r="30" spans="1:15" x14ac:dyDescent="0.25">
      <c r="A30" s="12" t="s">
        <v>19</v>
      </c>
      <c r="B30" s="13">
        <v>2625</v>
      </c>
      <c r="C30" s="14">
        <v>28</v>
      </c>
      <c r="D30" s="13">
        <v>7632</v>
      </c>
      <c r="E30" s="14">
        <v>11</v>
      </c>
      <c r="F30" s="13">
        <v>3166</v>
      </c>
      <c r="G30" s="14">
        <v>27</v>
      </c>
      <c r="H30" s="13">
        <v>4578</v>
      </c>
      <c r="I30" s="14">
        <v>21</v>
      </c>
      <c r="J30" s="13">
        <v>3276</v>
      </c>
      <c r="K30" s="14">
        <v>24</v>
      </c>
      <c r="L30" s="13">
        <v>5736</v>
      </c>
      <c r="M30" s="14">
        <v>11</v>
      </c>
      <c r="N30" s="13">
        <v>27013</v>
      </c>
      <c r="O30" s="14">
        <v>27</v>
      </c>
    </row>
    <row r="31" spans="1:15" x14ac:dyDescent="0.25">
      <c r="A31" s="12" t="s">
        <v>48</v>
      </c>
      <c r="B31" s="13">
        <v>8757</v>
      </c>
      <c r="C31" s="14">
        <v>5</v>
      </c>
      <c r="D31" s="13">
        <v>5275</v>
      </c>
      <c r="E31" s="14">
        <v>20</v>
      </c>
      <c r="F31" s="13">
        <v>5657</v>
      </c>
      <c r="G31" s="14">
        <v>7</v>
      </c>
      <c r="H31" s="13">
        <v>7077</v>
      </c>
      <c r="I31" s="14">
        <v>5</v>
      </c>
      <c r="J31" s="13">
        <v>5670</v>
      </c>
      <c r="K31" s="14">
        <v>12</v>
      </c>
      <c r="L31" s="13">
        <v>4214</v>
      </c>
      <c r="M31" s="14">
        <v>20</v>
      </c>
      <c r="N31" s="13">
        <v>36650</v>
      </c>
      <c r="O31" s="14">
        <v>8</v>
      </c>
    </row>
    <row r="32" spans="1:15" x14ac:dyDescent="0.25">
      <c r="A32" s="12" t="s">
        <v>49</v>
      </c>
      <c r="B32" s="13">
        <v>3364</v>
      </c>
      <c r="C32" s="14">
        <v>24</v>
      </c>
      <c r="D32" s="13">
        <v>3430</v>
      </c>
      <c r="E32" s="14">
        <v>27</v>
      </c>
      <c r="F32" s="13">
        <v>7093</v>
      </c>
      <c r="G32" s="14">
        <v>4</v>
      </c>
      <c r="H32" s="13">
        <v>5418</v>
      </c>
      <c r="I32" s="14">
        <v>14</v>
      </c>
      <c r="J32" s="13">
        <v>4769</v>
      </c>
      <c r="K32" s="14">
        <v>17</v>
      </c>
      <c r="L32" s="13">
        <v>3852</v>
      </c>
      <c r="M32" s="14">
        <v>24</v>
      </c>
      <c r="N32" s="13">
        <v>27926</v>
      </c>
      <c r="O32" s="14">
        <v>24</v>
      </c>
    </row>
    <row r="33" spans="1:15" x14ac:dyDescent="0.25">
      <c r="A33" s="12" t="s">
        <v>50</v>
      </c>
      <c r="B33" s="13">
        <v>6093</v>
      </c>
      <c r="C33" s="14">
        <v>16</v>
      </c>
      <c r="D33" s="13">
        <v>4753</v>
      </c>
      <c r="E33" s="14">
        <v>21</v>
      </c>
      <c r="F33" s="13">
        <v>5460</v>
      </c>
      <c r="G33" s="14">
        <v>9</v>
      </c>
      <c r="H33" s="13">
        <v>9182</v>
      </c>
      <c r="I33" s="14">
        <v>2</v>
      </c>
      <c r="J33" s="13">
        <v>8246</v>
      </c>
      <c r="K33" s="14">
        <v>4</v>
      </c>
      <c r="L33" s="13">
        <v>4973</v>
      </c>
      <c r="M33" s="14">
        <v>13</v>
      </c>
      <c r="N33" s="13">
        <v>38707</v>
      </c>
      <c r="O33" s="14">
        <v>5</v>
      </c>
    </row>
    <row r="34" spans="1:15" x14ac:dyDescent="0.25">
      <c r="A34" s="12" t="s">
        <v>20</v>
      </c>
      <c r="B34" s="13">
        <v>9409</v>
      </c>
      <c r="C34" s="14">
        <v>2</v>
      </c>
      <c r="D34" s="13">
        <v>6162</v>
      </c>
      <c r="E34" s="14">
        <v>17</v>
      </c>
      <c r="F34" s="13">
        <v>3600</v>
      </c>
      <c r="G34" s="14">
        <v>26</v>
      </c>
      <c r="H34" s="13">
        <v>6446</v>
      </c>
      <c r="I34" s="14">
        <v>10</v>
      </c>
      <c r="J34" s="13">
        <v>8413</v>
      </c>
      <c r="K34" s="14">
        <v>3</v>
      </c>
      <c r="L34" s="13">
        <v>3377</v>
      </c>
      <c r="M34" s="14">
        <v>27</v>
      </c>
      <c r="N34" s="13">
        <v>37407</v>
      </c>
      <c r="O34" s="14">
        <v>7</v>
      </c>
    </row>
    <row r="35" spans="1:15" x14ac:dyDescent="0.25">
      <c r="A35" s="12" t="s">
        <v>21</v>
      </c>
      <c r="B35" s="13">
        <v>6168</v>
      </c>
      <c r="C35" s="14">
        <v>15</v>
      </c>
      <c r="D35" s="13">
        <v>1549</v>
      </c>
      <c r="E35" s="14">
        <v>32</v>
      </c>
      <c r="F35" s="13">
        <v>8090</v>
      </c>
      <c r="G35" s="14">
        <v>2</v>
      </c>
      <c r="H35" s="13">
        <v>4098</v>
      </c>
      <c r="I35" s="14">
        <v>26</v>
      </c>
      <c r="J35" s="13">
        <v>6319</v>
      </c>
      <c r="K35" s="14">
        <v>9</v>
      </c>
      <c r="L35" s="13">
        <v>6896</v>
      </c>
      <c r="M35" s="14">
        <v>3</v>
      </c>
      <c r="N35" s="13">
        <v>33120</v>
      </c>
      <c r="O35" s="14">
        <v>14</v>
      </c>
    </row>
    <row r="36" spans="1:15" x14ac:dyDescent="0.25">
      <c r="A36" s="12" t="s">
        <v>22</v>
      </c>
      <c r="B36" s="13">
        <v>8019</v>
      </c>
      <c r="C36" s="14">
        <v>7</v>
      </c>
      <c r="D36" s="13">
        <v>11457</v>
      </c>
      <c r="E36" s="14">
        <v>1</v>
      </c>
      <c r="F36" s="13">
        <v>4784</v>
      </c>
      <c r="G36" s="14">
        <v>17</v>
      </c>
      <c r="H36" s="13">
        <v>6885</v>
      </c>
      <c r="I36" s="14">
        <v>7</v>
      </c>
      <c r="J36" s="13">
        <v>4759</v>
      </c>
      <c r="K36" s="14">
        <v>18</v>
      </c>
      <c r="L36" s="13">
        <v>6249</v>
      </c>
      <c r="M36" s="14">
        <v>9</v>
      </c>
      <c r="N36" s="13">
        <v>42153</v>
      </c>
      <c r="O36" s="14">
        <v>1</v>
      </c>
    </row>
    <row r="37" spans="1:15" x14ac:dyDescent="0.25">
      <c r="A37" s="12" t="s">
        <v>24</v>
      </c>
      <c r="B37" s="13">
        <v>6819</v>
      </c>
      <c r="C37" s="14">
        <v>13</v>
      </c>
      <c r="D37" s="13">
        <v>8219</v>
      </c>
      <c r="E37" s="14">
        <v>8</v>
      </c>
      <c r="F37" s="13">
        <v>2043</v>
      </c>
      <c r="G37" s="14">
        <v>30</v>
      </c>
      <c r="H37" s="13">
        <v>4735</v>
      </c>
      <c r="I37" s="14">
        <v>19</v>
      </c>
      <c r="J37" s="13">
        <v>6045</v>
      </c>
      <c r="K37" s="14">
        <v>10</v>
      </c>
      <c r="L37" s="13">
        <v>6694</v>
      </c>
      <c r="M37" s="14">
        <v>7</v>
      </c>
      <c r="N37" s="13">
        <v>34555</v>
      </c>
      <c r="O37" s="14">
        <v>12</v>
      </c>
    </row>
    <row r="38" spans="1:15" x14ac:dyDescent="0.25">
      <c r="A38" s="12" t="s">
        <v>26</v>
      </c>
      <c r="B38" s="13">
        <v>7215</v>
      </c>
      <c r="C38" s="14">
        <v>10</v>
      </c>
      <c r="D38" s="13">
        <v>4547</v>
      </c>
      <c r="E38" s="14">
        <v>22</v>
      </c>
      <c r="F38" s="13"/>
      <c r="G38" s="14"/>
      <c r="H38" s="13">
        <v>3176</v>
      </c>
      <c r="I38" s="14">
        <v>30</v>
      </c>
      <c r="J38" s="13">
        <v>12477</v>
      </c>
      <c r="K38" s="14">
        <v>2</v>
      </c>
      <c r="L38" s="13">
        <v>3966</v>
      </c>
      <c r="M38" s="14">
        <v>23</v>
      </c>
      <c r="N38" s="13">
        <v>31381</v>
      </c>
      <c r="O38" s="14">
        <v>16</v>
      </c>
    </row>
    <row r="39" spans="1:15" x14ac:dyDescent="0.25">
      <c r="A39" s="12" t="s">
        <v>27</v>
      </c>
      <c r="B39" s="13">
        <v>7428</v>
      </c>
      <c r="C39" s="14">
        <v>9</v>
      </c>
      <c r="D39" s="13">
        <v>7582</v>
      </c>
      <c r="E39" s="14">
        <v>12</v>
      </c>
      <c r="F39" s="13">
        <v>5347</v>
      </c>
      <c r="G39" s="14">
        <v>10</v>
      </c>
      <c r="H39" s="13">
        <v>4564</v>
      </c>
      <c r="I39" s="14">
        <v>23</v>
      </c>
      <c r="J39" s="13">
        <v>6392</v>
      </c>
      <c r="K39" s="14">
        <v>8</v>
      </c>
      <c r="L39" s="13">
        <v>4553</v>
      </c>
      <c r="M39" s="14">
        <v>16</v>
      </c>
      <c r="N39" s="13">
        <v>35866</v>
      </c>
      <c r="O39" s="14">
        <v>10</v>
      </c>
    </row>
    <row r="40" spans="1:15" x14ac:dyDescent="0.25">
      <c r="A40" s="12" t="s">
        <v>59</v>
      </c>
      <c r="B40" s="13">
        <v>184377</v>
      </c>
      <c r="C40" s="14"/>
      <c r="D40" s="13">
        <v>198673</v>
      </c>
      <c r="E40" s="14"/>
      <c r="F40" s="13">
        <v>153957</v>
      </c>
      <c r="G40" s="14"/>
      <c r="H40" s="13">
        <v>173547</v>
      </c>
      <c r="I40" s="14"/>
      <c r="J40" s="13">
        <v>168264</v>
      </c>
      <c r="K40" s="14"/>
      <c r="L40" s="13">
        <v>154206</v>
      </c>
      <c r="M40" s="14"/>
      <c r="N40" s="13">
        <v>1033024</v>
      </c>
      <c r="O40" s="14"/>
    </row>
  </sheetData>
  <conditionalFormatting sqref="A7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pivot="1" sqref="C8:C40 E8:E40 G8:G40 I8:I40 K8:K40 M8:M40 O8:O4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opLeftCell="A2" workbookViewId="0"/>
  </sheetViews>
  <sheetFormatPr baseColWidth="10" defaultColWidth="14.42578125" defaultRowHeight="15" customHeight="1" x14ac:dyDescent="0.25"/>
  <cols>
    <col min="1" max="1" width="11.85546875" customWidth="1"/>
    <col min="2" max="2" width="18.85546875" customWidth="1"/>
    <col min="3" max="3" width="14.7109375" customWidth="1"/>
    <col min="4" max="4" width="12" customWidth="1"/>
    <col min="5" max="5" width="12.85546875" customWidth="1"/>
    <col min="6" max="6" width="13.5703125" customWidth="1"/>
    <col min="7" max="7" width="13.140625" customWidth="1"/>
    <col min="8" max="8" width="9.7109375" customWidth="1"/>
    <col min="9" max="26" width="8.7109375" customWidth="1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51</v>
      </c>
      <c r="G1" s="7" t="s">
        <v>14</v>
      </c>
      <c r="H1" s="7" t="s">
        <v>52</v>
      </c>
    </row>
    <row r="2" spans="1:8" x14ac:dyDescent="0.25">
      <c r="A2" s="1">
        <v>200000</v>
      </c>
      <c r="B2" s="2">
        <v>45832</v>
      </c>
      <c r="C2" s="1">
        <v>30</v>
      </c>
      <c r="D2" s="1" t="s">
        <v>5</v>
      </c>
      <c r="E2" s="1">
        <v>641</v>
      </c>
      <c r="F2" t="str">
        <f>VLOOKUP(Tabla1[[#This Row],[IDProducto]],producto!$A$1:$C$33,2,FALSE)</f>
        <v>Producto_30</v>
      </c>
      <c r="G2" t="str">
        <f>VLOOKUP(Tabla1[[#This Row],[IDProducto]],producto!$A$1:$C$33,3,FALSE)</f>
        <v>Hogar</v>
      </c>
      <c r="H2" s="6" t="str">
        <f>VLOOKUP(Tabla1[[#This Row],[Estado]],Tabla3[#All],2,0)</f>
        <v>Centro</v>
      </c>
    </row>
    <row r="3" spans="1:8" x14ac:dyDescent="0.25">
      <c r="A3" s="1">
        <v>200001</v>
      </c>
      <c r="B3" s="2">
        <v>45718</v>
      </c>
      <c r="C3" s="1">
        <v>12</v>
      </c>
      <c r="D3" s="1" t="s">
        <v>6</v>
      </c>
      <c r="E3" s="1">
        <v>1247</v>
      </c>
      <c r="F3" t="str">
        <f>VLOOKUP(Tabla1[[#This Row],[IDProducto]],producto!$A$1:$C$33,2,FALSE)</f>
        <v>Producto_12</v>
      </c>
      <c r="G3" t="str">
        <f>VLOOKUP(Tabla1[[#This Row],[IDProducto]],producto!$A$1:$C$33,3,FALSE)</f>
        <v>Hogar</v>
      </c>
      <c r="H3" s="6" t="str">
        <f>VLOOKUP(Tabla1[[#This Row],[Estado]],Tabla3[#All],2,0)</f>
        <v>Occidente</v>
      </c>
    </row>
    <row r="4" spans="1:8" x14ac:dyDescent="0.25">
      <c r="A4" s="1">
        <v>200002</v>
      </c>
      <c r="B4" s="2">
        <v>45703</v>
      </c>
      <c r="C4" s="1">
        <v>20</v>
      </c>
      <c r="D4" s="1" t="s">
        <v>5</v>
      </c>
      <c r="E4" s="1">
        <v>1241</v>
      </c>
      <c r="F4" t="str">
        <f>VLOOKUP(Tabla1[[#This Row],[IDProducto]],producto!$A$1:$C$33,2,FALSE)</f>
        <v>Producto_20</v>
      </c>
      <c r="G4" t="str">
        <f>VLOOKUP(Tabla1[[#This Row],[IDProducto]],producto!$A$1:$C$33,3,FALSE)</f>
        <v>Deportes</v>
      </c>
      <c r="H4" s="6" t="str">
        <f>VLOOKUP(Tabla1[[#This Row],[Estado]],Tabla3[#All],2,0)</f>
        <v>Centro</v>
      </c>
    </row>
    <row r="5" spans="1:8" x14ac:dyDescent="0.25">
      <c r="A5" s="1">
        <v>200003</v>
      </c>
      <c r="B5" s="2">
        <v>45667</v>
      </c>
      <c r="C5" s="1">
        <v>14</v>
      </c>
      <c r="D5" s="1" t="s">
        <v>7</v>
      </c>
      <c r="E5" s="1">
        <v>712</v>
      </c>
      <c r="F5" t="str">
        <f>VLOOKUP(Tabla1[[#This Row],[IDProducto]],producto!$A$1:$C$33,2,FALSE)</f>
        <v>Producto_14</v>
      </c>
      <c r="G5" t="str">
        <f>VLOOKUP(Tabla1[[#This Row],[IDProducto]],producto!$A$1:$C$33,3,FALSE)</f>
        <v>Hogar</v>
      </c>
      <c r="H5" s="6" t="str">
        <f>VLOOKUP(Tabla1[[#This Row],[Estado]],Tabla3[#All],2,0)</f>
        <v>Norte</v>
      </c>
    </row>
    <row r="6" spans="1:8" x14ac:dyDescent="0.25">
      <c r="A6" s="1">
        <v>200004</v>
      </c>
      <c r="B6" s="2">
        <v>45832</v>
      </c>
      <c r="C6" s="1">
        <v>12</v>
      </c>
      <c r="D6" s="1" t="s">
        <v>8</v>
      </c>
      <c r="E6" s="1">
        <v>1011</v>
      </c>
      <c r="F6" t="str">
        <f>VLOOKUP(Tabla1[[#This Row],[IDProducto]],producto!$A$1:$C$33,2,FALSE)</f>
        <v>Producto_12</v>
      </c>
      <c r="G6" t="str">
        <f>VLOOKUP(Tabla1[[#This Row],[IDProducto]],producto!$A$1:$C$33,3,FALSE)</f>
        <v>Hogar</v>
      </c>
      <c r="H6" s="6" t="str">
        <f>VLOOKUP(Tabla1[[#This Row],[Estado]],Tabla3[#All],2,0)</f>
        <v>Norte</v>
      </c>
    </row>
    <row r="7" spans="1:8" x14ac:dyDescent="0.25">
      <c r="A7" s="1">
        <v>200005</v>
      </c>
      <c r="B7" s="2">
        <v>45671</v>
      </c>
      <c r="C7" s="1">
        <v>32</v>
      </c>
      <c r="D7" s="1" t="s">
        <v>5</v>
      </c>
      <c r="E7" s="1">
        <v>1305</v>
      </c>
      <c r="F7" t="str">
        <f>VLOOKUP(Tabla1[[#This Row],[IDProducto]],producto!$A$1:$C$33,2,FALSE)</f>
        <v>Producto_32</v>
      </c>
      <c r="G7" t="str">
        <f>VLOOKUP(Tabla1[[#This Row],[IDProducto]],producto!$A$1:$C$33,3,FALSE)</f>
        <v>Hogar</v>
      </c>
      <c r="H7" s="6" t="str">
        <f>VLOOKUP(Tabla1[[#This Row],[Estado]],Tabla3[#All],2,0)</f>
        <v>Centro</v>
      </c>
    </row>
    <row r="8" spans="1:8" x14ac:dyDescent="0.25">
      <c r="A8" s="1">
        <v>200006</v>
      </c>
      <c r="B8" s="2">
        <v>45728</v>
      </c>
      <c r="C8" s="1">
        <v>32</v>
      </c>
      <c r="D8" s="1" t="s">
        <v>7</v>
      </c>
      <c r="E8" s="1">
        <v>1697</v>
      </c>
      <c r="F8" t="str">
        <f>VLOOKUP(Tabla1[[#This Row],[IDProducto]],producto!$A$1:$C$33,2,FALSE)</f>
        <v>Producto_32</v>
      </c>
      <c r="G8" t="str">
        <f>VLOOKUP(Tabla1[[#This Row],[IDProducto]],producto!$A$1:$C$33,3,FALSE)</f>
        <v>Hogar</v>
      </c>
      <c r="H8" s="6" t="str">
        <f>VLOOKUP(Tabla1[[#This Row],[Estado]],Tabla3[#All],2,0)</f>
        <v>Norte</v>
      </c>
    </row>
    <row r="9" spans="1:8" x14ac:dyDescent="0.25">
      <c r="A9" s="1">
        <v>200007</v>
      </c>
      <c r="B9" s="2">
        <v>45677</v>
      </c>
      <c r="C9" s="1">
        <v>4</v>
      </c>
      <c r="D9" s="1" t="s">
        <v>5</v>
      </c>
      <c r="E9" s="1">
        <v>1836</v>
      </c>
      <c r="F9" t="str">
        <f>VLOOKUP(Tabla1[[#This Row],[IDProducto]],producto!$A$1:$C$33,2,FALSE)</f>
        <v>Producto_4</v>
      </c>
      <c r="G9" t="str">
        <f>VLOOKUP(Tabla1[[#This Row],[IDProducto]],producto!$A$1:$C$33,3,FALSE)</f>
        <v>Deportes</v>
      </c>
      <c r="H9" s="6" t="str">
        <f>VLOOKUP(Tabla1[[#This Row],[Estado]],Tabla3[#All],2,0)</f>
        <v>Centro</v>
      </c>
    </row>
    <row r="10" spans="1:8" x14ac:dyDescent="0.25">
      <c r="A10" s="1">
        <v>200008</v>
      </c>
      <c r="B10" s="2">
        <v>45726</v>
      </c>
      <c r="C10" s="1">
        <v>2</v>
      </c>
      <c r="D10" s="1" t="s">
        <v>9</v>
      </c>
      <c r="E10" s="1">
        <v>1345</v>
      </c>
      <c r="F10" t="str">
        <f>VLOOKUP(Tabla1[[#This Row],[IDProducto]],producto!$A$1:$C$33,2,FALSE)</f>
        <v>Producto_2</v>
      </c>
      <c r="G10" t="str">
        <f>VLOOKUP(Tabla1[[#This Row],[IDProducto]],producto!$A$1:$C$33,3,FALSE)</f>
        <v>Deportes</v>
      </c>
      <c r="H10" s="6" t="str">
        <f>VLOOKUP(Tabla1[[#This Row],[Estado]],Tabla3[#All],2,0)</f>
        <v>Sur</v>
      </c>
    </row>
    <row r="11" spans="1:8" x14ac:dyDescent="0.25">
      <c r="A11" s="1">
        <v>200009</v>
      </c>
      <c r="B11" s="2">
        <v>45733</v>
      </c>
      <c r="C11" s="1">
        <v>22</v>
      </c>
      <c r="D11" s="1" t="s">
        <v>9</v>
      </c>
      <c r="E11" s="1">
        <v>1188</v>
      </c>
      <c r="F11" t="str">
        <f>VLOOKUP(Tabla1[[#This Row],[IDProducto]],producto!$A$1:$C$33,2,FALSE)</f>
        <v>Producto_22</v>
      </c>
      <c r="G11" t="str">
        <f>VLOOKUP(Tabla1[[#This Row],[IDProducto]],producto!$A$1:$C$33,3,FALSE)</f>
        <v>Hogar</v>
      </c>
      <c r="H11" s="6" t="str">
        <f>VLOOKUP(Tabla1[[#This Row],[Estado]],Tabla3[#All],2,0)</f>
        <v>Sur</v>
      </c>
    </row>
    <row r="12" spans="1:8" x14ac:dyDescent="0.25">
      <c r="A12" s="1">
        <v>200010</v>
      </c>
      <c r="B12" s="2">
        <v>45768</v>
      </c>
      <c r="C12" s="1">
        <v>27</v>
      </c>
      <c r="D12" s="1" t="s">
        <v>6</v>
      </c>
      <c r="E12" s="1">
        <v>1266</v>
      </c>
      <c r="F12" t="str">
        <f>VLOOKUP(Tabla1[[#This Row],[IDProducto]],producto!$A$1:$C$33,2,FALSE)</f>
        <v>Producto_27</v>
      </c>
      <c r="G12" t="str">
        <f>VLOOKUP(Tabla1[[#This Row],[IDProducto]],producto!$A$1:$C$33,3,FALSE)</f>
        <v>Electrónica</v>
      </c>
      <c r="H12" s="6" t="str">
        <f>VLOOKUP(Tabla1[[#This Row],[Estado]],Tabla3[#All],2,0)</f>
        <v>Occidente</v>
      </c>
    </row>
    <row r="13" spans="1:8" x14ac:dyDescent="0.25">
      <c r="A13" s="1">
        <v>200011</v>
      </c>
      <c r="B13" s="2">
        <v>45667</v>
      </c>
      <c r="C13" s="1">
        <v>28</v>
      </c>
      <c r="D13" s="1" t="s">
        <v>9</v>
      </c>
      <c r="E13" s="1">
        <v>1888</v>
      </c>
      <c r="F13" t="str">
        <f>VLOOKUP(Tabla1[[#This Row],[IDProducto]],producto!$A$1:$C$33,2,FALSE)</f>
        <v>Producto_28</v>
      </c>
      <c r="G13" t="str">
        <f>VLOOKUP(Tabla1[[#This Row],[IDProducto]],producto!$A$1:$C$33,3,FALSE)</f>
        <v>Hogar</v>
      </c>
      <c r="H13" s="6" t="str">
        <f>VLOOKUP(Tabla1[[#This Row],[Estado]],Tabla3[#All],2,0)</f>
        <v>Sur</v>
      </c>
    </row>
    <row r="14" spans="1:8" x14ac:dyDescent="0.25">
      <c r="A14" s="1">
        <v>200012</v>
      </c>
      <c r="B14" s="2">
        <v>45659</v>
      </c>
      <c r="C14" s="1">
        <v>9</v>
      </c>
      <c r="D14" s="1" t="s">
        <v>6</v>
      </c>
      <c r="E14" s="1">
        <v>437</v>
      </c>
      <c r="F14" t="str">
        <f>VLOOKUP(Tabla1[[#This Row],[IDProducto]],producto!$A$1:$C$33,2,FALSE)</f>
        <v>Producto_9</v>
      </c>
      <c r="G14" t="str">
        <f>VLOOKUP(Tabla1[[#This Row],[IDProducto]],producto!$A$1:$C$33,3,FALSE)</f>
        <v>Electrónica</v>
      </c>
      <c r="H14" s="6" t="str">
        <f>VLOOKUP(Tabla1[[#This Row],[Estado]],Tabla3[#All],2,0)</f>
        <v>Occidente</v>
      </c>
    </row>
    <row r="15" spans="1:8" x14ac:dyDescent="0.25">
      <c r="A15" s="1">
        <v>200013</v>
      </c>
      <c r="B15" s="2">
        <v>45720</v>
      </c>
      <c r="C15" s="1">
        <v>6</v>
      </c>
      <c r="D15" s="1" t="s">
        <v>9</v>
      </c>
      <c r="E15" s="1">
        <v>1659</v>
      </c>
      <c r="F15" t="str">
        <f>VLOOKUP(Tabla1[[#This Row],[IDProducto]],producto!$A$1:$C$33,2,FALSE)</f>
        <v>Producto_6</v>
      </c>
      <c r="G15" t="str">
        <f>VLOOKUP(Tabla1[[#This Row],[IDProducto]],producto!$A$1:$C$33,3,FALSE)</f>
        <v>Electrónica</v>
      </c>
      <c r="H15" s="6" t="str">
        <f>VLOOKUP(Tabla1[[#This Row],[Estado]],Tabla3[#All],2,0)</f>
        <v>Sur</v>
      </c>
    </row>
    <row r="16" spans="1:8" x14ac:dyDescent="0.25">
      <c r="A16" s="1">
        <v>200014</v>
      </c>
      <c r="B16" s="2">
        <v>45740</v>
      </c>
      <c r="C16" s="1">
        <v>3</v>
      </c>
      <c r="D16" s="1" t="s">
        <v>5</v>
      </c>
      <c r="E16" s="1">
        <v>327</v>
      </c>
      <c r="F16" t="str">
        <f>VLOOKUP(Tabla1[[#This Row],[IDProducto]],producto!$A$1:$C$33,2,FALSE)</f>
        <v>Producto_3</v>
      </c>
      <c r="G16" t="str">
        <f>VLOOKUP(Tabla1[[#This Row],[IDProducto]],producto!$A$1:$C$33,3,FALSE)</f>
        <v>Deportes</v>
      </c>
      <c r="H16" s="6" t="str">
        <f>VLOOKUP(Tabla1[[#This Row],[Estado]],Tabla3[#All],2,0)</f>
        <v>Centro</v>
      </c>
    </row>
    <row r="17" spans="1:8" x14ac:dyDescent="0.25">
      <c r="A17" s="1">
        <v>200015</v>
      </c>
      <c r="B17" s="2">
        <v>45659</v>
      </c>
      <c r="C17" s="1">
        <v>21</v>
      </c>
      <c r="D17" s="1" t="s">
        <v>10</v>
      </c>
      <c r="E17" s="1">
        <v>342</v>
      </c>
      <c r="F17" t="str">
        <f>VLOOKUP(Tabla1[[#This Row],[IDProducto]],producto!$A$1:$C$33,2,FALSE)</f>
        <v>Producto_21</v>
      </c>
      <c r="G17" t="str">
        <f>VLOOKUP(Tabla1[[#This Row],[IDProducto]],producto!$A$1:$C$33,3,FALSE)</f>
        <v>Electrónica</v>
      </c>
      <c r="H17" s="6" t="str">
        <f>VLOOKUP(Tabla1[[#This Row],[Estado]],Tabla3[#All],2,0)</f>
        <v>Centro</v>
      </c>
    </row>
    <row r="18" spans="1:8" x14ac:dyDescent="0.25">
      <c r="A18" s="1">
        <v>200016</v>
      </c>
      <c r="B18" s="2">
        <v>45796</v>
      </c>
      <c r="C18" s="1">
        <v>31</v>
      </c>
      <c r="D18" s="1" t="s">
        <v>9</v>
      </c>
      <c r="E18" s="1">
        <v>1363</v>
      </c>
      <c r="F18" t="str">
        <f>VLOOKUP(Tabla1[[#This Row],[IDProducto]],producto!$A$1:$C$33,2,FALSE)</f>
        <v>Producto_31</v>
      </c>
      <c r="G18" t="str">
        <f>VLOOKUP(Tabla1[[#This Row],[IDProducto]],producto!$A$1:$C$33,3,FALSE)</f>
        <v>Deportes</v>
      </c>
      <c r="H18" s="6" t="str">
        <f>VLOOKUP(Tabla1[[#This Row],[Estado]],Tabla3[#All],2,0)</f>
        <v>Sur</v>
      </c>
    </row>
    <row r="19" spans="1:8" x14ac:dyDescent="0.25">
      <c r="A19" s="1">
        <v>200017</v>
      </c>
      <c r="B19" s="2">
        <v>45686</v>
      </c>
      <c r="C19" s="1">
        <v>5</v>
      </c>
      <c r="D19" s="1" t="s">
        <v>6</v>
      </c>
      <c r="E19" s="1">
        <v>1593</v>
      </c>
      <c r="F19" t="str">
        <f>VLOOKUP(Tabla1[[#This Row],[IDProducto]],producto!$A$1:$C$33,2,FALSE)</f>
        <v>Producto_5</v>
      </c>
      <c r="G19" t="str">
        <f>VLOOKUP(Tabla1[[#This Row],[IDProducto]],producto!$A$1:$C$33,3,FALSE)</f>
        <v>Hogar</v>
      </c>
      <c r="H19" s="6" t="str">
        <f>VLOOKUP(Tabla1[[#This Row],[Estado]],Tabla3[#All],2,0)</f>
        <v>Occidente</v>
      </c>
    </row>
    <row r="20" spans="1:8" x14ac:dyDescent="0.25">
      <c r="A20" s="1">
        <v>200018</v>
      </c>
      <c r="B20" s="2">
        <v>45813</v>
      </c>
      <c r="C20" s="1">
        <v>5</v>
      </c>
      <c r="D20" s="1" t="s">
        <v>6</v>
      </c>
      <c r="E20" s="1">
        <v>532</v>
      </c>
      <c r="F20" t="str">
        <f>VLOOKUP(Tabla1[[#This Row],[IDProducto]],producto!$A$1:$C$33,2,FALSE)</f>
        <v>Producto_5</v>
      </c>
      <c r="G20" t="str">
        <f>VLOOKUP(Tabla1[[#This Row],[IDProducto]],producto!$A$1:$C$33,3,FALSE)</f>
        <v>Hogar</v>
      </c>
      <c r="H20" s="6" t="str">
        <f>VLOOKUP(Tabla1[[#This Row],[Estado]],Tabla3[#All],2,0)</f>
        <v>Occidente</v>
      </c>
    </row>
    <row r="21" spans="1:8" ht="15.75" customHeight="1" x14ac:dyDescent="0.25">
      <c r="A21" s="1">
        <v>200019</v>
      </c>
      <c r="B21" s="2">
        <v>45689</v>
      </c>
      <c r="C21" s="1">
        <v>22</v>
      </c>
      <c r="D21" s="1" t="s">
        <v>8</v>
      </c>
      <c r="E21" s="1">
        <v>1532</v>
      </c>
      <c r="F21" t="str">
        <f>VLOOKUP(Tabla1[[#This Row],[IDProducto]],producto!$A$1:$C$33,2,FALSE)</f>
        <v>Producto_22</v>
      </c>
      <c r="G21" t="str">
        <f>VLOOKUP(Tabla1[[#This Row],[IDProducto]],producto!$A$1:$C$33,3,FALSE)</f>
        <v>Hogar</v>
      </c>
      <c r="H21" s="6" t="str">
        <f>VLOOKUP(Tabla1[[#This Row],[Estado]],Tabla3[#All],2,0)</f>
        <v>Norte</v>
      </c>
    </row>
    <row r="22" spans="1:8" ht="15.75" customHeight="1" x14ac:dyDescent="0.25">
      <c r="A22" s="1">
        <v>200020</v>
      </c>
      <c r="B22" s="2">
        <v>45790</v>
      </c>
      <c r="C22" s="1">
        <v>25</v>
      </c>
      <c r="D22" s="1" t="s">
        <v>7</v>
      </c>
      <c r="E22" s="1">
        <v>906</v>
      </c>
      <c r="F22" t="str">
        <f>VLOOKUP(Tabla1[[#This Row],[IDProducto]],producto!$A$1:$C$33,2,FALSE)</f>
        <v>Producto_25</v>
      </c>
      <c r="G22" t="str">
        <f>VLOOKUP(Tabla1[[#This Row],[IDProducto]],producto!$A$1:$C$33,3,FALSE)</f>
        <v>Electrónica</v>
      </c>
      <c r="H22" s="6" t="str">
        <f>VLOOKUP(Tabla1[[#This Row],[Estado]],Tabla3[#All],2,0)</f>
        <v>Norte</v>
      </c>
    </row>
    <row r="23" spans="1:8" ht="15.75" customHeight="1" x14ac:dyDescent="0.25">
      <c r="A23" s="1">
        <v>200021</v>
      </c>
      <c r="B23" s="2">
        <v>45695</v>
      </c>
      <c r="C23" s="1">
        <v>11</v>
      </c>
      <c r="D23" s="1" t="s">
        <v>7</v>
      </c>
      <c r="E23" s="1">
        <v>624</v>
      </c>
      <c r="F23" t="str">
        <f>VLOOKUP(Tabla1[[#This Row],[IDProducto]],producto!$A$1:$C$33,2,FALSE)</f>
        <v>Producto_11</v>
      </c>
      <c r="G23" t="str">
        <f>VLOOKUP(Tabla1[[#This Row],[IDProducto]],producto!$A$1:$C$33,3,FALSE)</f>
        <v>Ropa</v>
      </c>
      <c r="H23" s="6" t="str">
        <f>VLOOKUP(Tabla1[[#This Row],[Estado]],Tabla3[#All],2,0)</f>
        <v>Norte</v>
      </c>
    </row>
    <row r="24" spans="1:8" ht="15.75" customHeight="1" x14ac:dyDescent="0.25">
      <c r="A24" s="1">
        <v>200022</v>
      </c>
      <c r="B24" s="2">
        <v>45681</v>
      </c>
      <c r="C24" s="1">
        <v>10</v>
      </c>
      <c r="D24" s="1" t="s">
        <v>10</v>
      </c>
      <c r="E24" s="1">
        <v>1746</v>
      </c>
      <c r="F24" t="str">
        <f>VLOOKUP(Tabla1[[#This Row],[IDProducto]],producto!$A$1:$C$33,2,FALSE)</f>
        <v>Producto_10</v>
      </c>
      <c r="G24" t="str">
        <f>VLOOKUP(Tabla1[[#This Row],[IDProducto]],producto!$A$1:$C$33,3,FALSE)</f>
        <v>Ropa</v>
      </c>
      <c r="H24" s="6" t="str">
        <f>VLOOKUP(Tabla1[[#This Row],[Estado]],Tabla3[#All],2,0)</f>
        <v>Centro</v>
      </c>
    </row>
    <row r="25" spans="1:8" ht="15.75" customHeight="1" x14ac:dyDescent="0.25">
      <c r="A25" s="1">
        <v>200023</v>
      </c>
      <c r="B25" s="2">
        <v>45763</v>
      </c>
      <c r="C25" s="1">
        <v>4</v>
      </c>
      <c r="D25" s="1" t="s">
        <v>6</v>
      </c>
      <c r="E25" s="1">
        <v>971</v>
      </c>
      <c r="F25" t="str">
        <f>VLOOKUP(Tabla1[[#This Row],[IDProducto]],producto!$A$1:$C$33,2,FALSE)</f>
        <v>Producto_4</v>
      </c>
      <c r="G25" t="str">
        <f>VLOOKUP(Tabla1[[#This Row],[IDProducto]],producto!$A$1:$C$33,3,FALSE)</f>
        <v>Deportes</v>
      </c>
      <c r="H25" s="6" t="str">
        <f>VLOOKUP(Tabla1[[#This Row],[Estado]],Tabla3[#All],2,0)</f>
        <v>Occidente</v>
      </c>
    </row>
    <row r="26" spans="1:8" ht="15.75" customHeight="1" x14ac:dyDescent="0.25">
      <c r="A26" s="1">
        <v>200024</v>
      </c>
      <c r="B26" s="2">
        <v>45812</v>
      </c>
      <c r="C26" s="1">
        <v>16</v>
      </c>
      <c r="D26" s="1" t="s">
        <v>11</v>
      </c>
      <c r="E26" s="1">
        <v>710</v>
      </c>
      <c r="F26" t="str">
        <f>VLOOKUP(Tabla1[[#This Row],[IDProducto]],producto!$A$1:$C$33,2,FALSE)</f>
        <v>Producto_16</v>
      </c>
      <c r="G26" t="str">
        <f>VLOOKUP(Tabla1[[#This Row],[IDProducto]],producto!$A$1:$C$33,3,FALSE)</f>
        <v>Ropa</v>
      </c>
      <c r="H26" s="6" t="str">
        <f>VLOOKUP(Tabla1[[#This Row],[Estado]],Tabla3[#All],2,0)</f>
        <v>Occidente</v>
      </c>
    </row>
    <row r="27" spans="1:8" ht="15.75" customHeight="1" x14ac:dyDescent="0.25">
      <c r="A27" s="1">
        <v>200025</v>
      </c>
      <c r="B27" s="2">
        <v>45701</v>
      </c>
      <c r="C27" s="1">
        <v>1</v>
      </c>
      <c r="D27" s="1" t="s">
        <v>11</v>
      </c>
      <c r="E27" s="1">
        <v>1725</v>
      </c>
      <c r="F27" t="str">
        <f>VLOOKUP(Tabla1[[#This Row],[IDProducto]],producto!$A$1:$C$33,2,FALSE)</f>
        <v>Producto_1</v>
      </c>
      <c r="G27" t="str">
        <f>VLOOKUP(Tabla1[[#This Row],[IDProducto]],producto!$A$1:$C$33,3,FALSE)</f>
        <v>Hogar</v>
      </c>
      <c r="H27" s="6" t="str">
        <f>VLOOKUP(Tabla1[[#This Row],[Estado]],Tabla3[#All],2,0)</f>
        <v>Occidente</v>
      </c>
    </row>
    <row r="28" spans="1:8" ht="15.75" customHeight="1" x14ac:dyDescent="0.25">
      <c r="A28" s="1">
        <v>200026</v>
      </c>
      <c r="B28" s="2">
        <v>45730</v>
      </c>
      <c r="C28" s="1">
        <v>25</v>
      </c>
      <c r="D28" s="1" t="s">
        <v>10</v>
      </c>
      <c r="E28" s="1">
        <v>132</v>
      </c>
      <c r="F28" t="str">
        <f>VLOOKUP(Tabla1[[#This Row],[IDProducto]],producto!$A$1:$C$33,2,FALSE)</f>
        <v>Producto_25</v>
      </c>
      <c r="G28" t="str">
        <f>VLOOKUP(Tabla1[[#This Row],[IDProducto]],producto!$A$1:$C$33,3,FALSE)</f>
        <v>Electrónica</v>
      </c>
      <c r="H28" s="6" t="str">
        <f>VLOOKUP(Tabla1[[#This Row],[Estado]],Tabla3[#All],2,0)</f>
        <v>Centro</v>
      </c>
    </row>
    <row r="29" spans="1:8" ht="15.75" customHeight="1" x14ac:dyDescent="0.25">
      <c r="A29" s="1">
        <v>200027</v>
      </c>
      <c r="B29" s="2">
        <v>45664</v>
      </c>
      <c r="C29" s="1">
        <v>9</v>
      </c>
      <c r="D29" s="1" t="s">
        <v>5</v>
      </c>
      <c r="E29" s="1">
        <v>115</v>
      </c>
      <c r="F29" t="str">
        <f>VLOOKUP(Tabla1[[#This Row],[IDProducto]],producto!$A$1:$C$33,2,FALSE)</f>
        <v>Producto_9</v>
      </c>
      <c r="G29" t="str">
        <f>VLOOKUP(Tabla1[[#This Row],[IDProducto]],producto!$A$1:$C$33,3,FALSE)</f>
        <v>Electrónica</v>
      </c>
      <c r="H29" s="6" t="str">
        <f>VLOOKUP(Tabla1[[#This Row],[Estado]],Tabla3[#All],2,0)</f>
        <v>Centro</v>
      </c>
    </row>
    <row r="30" spans="1:8" ht="15.75" customHeight="1" x14ac:dyDescent="0.25">
      <c r="A30" s="1">
        <v>200028</v>
      </c>
      <c r="B30" s="2">
        <v>45699</v>
      </c>
      <c r="C30" s="1">
        <v>14</v>
      </c>
      <c r="D30" s="1" t="s">
        <v>9</v>
      </c>
      <c r="E30" s="1">
        <v>1068</v>
      </c>
      <c r="F30" t="str">
        <f>VLOOKUP(Tabla1[[#This Row],[IDProducto]],producto!$A$1:$C$33,2,FALSE)</f>
        <v>Producto_14</v>
      </c>
      <c r="G30" t="str">
        <f>VLOOKUP(Tabla1[[#This Row],[IDProducto]],producto!$A$1:$C$33,3,FALSE)</f>
        <v>Hogar</v>
      </c>
      <c r="H30" s="6" t="str">
        <f>VLOOKUP(Tabla1[[#This Row],[Estado]],Tabla3[#All],2,0)</f>
        <v>Sur</v>
      </c>
    </row>
    <row r="31" spans="1:8" ht="15.75" customHeight="1" x14ac:dyDescent="0.25">
      <c r="A31" s="1">
        <v>200029</v>
      </c>
      <c r="B31" s="2">
        <v>45663</v>
      </c>
      <c r="C31" s="1">
        <v>8</v>
      </c>
      <c r="D31" s="1" t="s">
        <v>10</v>
      </c>
      <c r="E31" s="1">
        <v>1623</v>
      </c>
      <c r="F31" t="str">
        <f>VLOOKUP(Tabla1[[#This Row],[IDProducto]],producto!$A$1:$C$33,2,FALSE)</f>
        <v>Producto_8</v>
      </c>
      <c r="G31" t="str">
        <f>VLOOKUP(Tabla1[[#This Row],[IDProducto]],producto!$A$1:$C$33,3,FALSE)</f>
        <v>Electrónica</v>
      </c>
      <c r="H31" s="6" t="str">
        <f>VLOOKUP(Tabla1[[#This Row],[Estado]],Tabla3[#All],2,0)</f>
        <v>Centro</v>
      </c>
    </row>
    <row r="32" spans="1:8" ht="15.75" customHeight="1" x14ac:dyDescent="0.25">
      <c r="A32" s="1">
        <v>200030</v>
      </c>
      <c r="B32" s="2">
        <v>45749</v>
      </c>
      <c r="C32" s="1">
        <v>21</v>
      </c>
      <c r="D32" s="1" t="s">
        <v>7</v>
      </c>
      <c r="E32" s="1">
        <v>514</v>
      </c>
      <c r="F32" t="str">
        <f>VLOOKUP(Tabla1[[#This Row],[IDProducto]],producto!$A$1:$C$33,2,FALSE)</f>
        <v>Producto_21</v>
      </c>
      <c r="G32" t="str">
        <f>VLOOKUP(Tabla1[[#This Row],[IDProducto]],producto!$A$1:$C$33,3,FALSE)</f>
        <v>Electrónica</v>
      </c>
      <c r="H32" s="6" t="str">
        <f>VLOOKUP(Tabla1[[#This Row],[Estado]],Tabla3[#All],2,0)</f>
        <v>Norte</v>
      </c>
    </row>
    <row r="33" spans="1:8" ht="15.75" customHeight="1" x14ac:dyDescent="0.25">
      <c r="A33" s="1">
        <v>200031</v>
      </c>
      <c r="B33" s="2">
        <v>45757</v>
      </c>
      <c r="C33" s="1">
        <v>25</v>
      </c>
      <c r="D33" s="1" t="s">
        <v>8</v>
      </c>
      <c r="E33" s="1">
        <v>1496</v>
      </c>
      <c r="F33" t="str">
        <f>VLOOKUP(Tabla1[[#This Row],[IDProducto]],producto!$A$1:$C$33,2,FALSE)</f>
        <v>Producto_25</v>
      </c>
      <c r="G33" t="str">
        <f>VLOOKUP(Tabla1[[#This Row],[IDProducto]],producto!$A$1:$C$33,3,FALSE)</f>
        <v>Electrónica</v>
      </c>
      <c r="H33" s="6" t="str">
        <f>VLOOKUP(Tabla1[[#This Row],[Estado]],Tabla3[#All],2,0)</f>
        <v>Norte</v>
      </c>
    </row>
    <row r="34" spans="1:8" ht="15.75" customHeight="1" x14ac:dyDescent="0.25">
      <c r="A34" s="1">
        <v>200032</v>
      </c>
      <c r="B34" s="2">
        <v>45815</v>
      </c>
      <c r="C34" s="1">
        <v>16</v>
      </c>
      <c r="D34" s="1" t="s">
        <v>12</v>
      </c>
      <c r="E34" s="1">
        <v>1451</v>
      </c>
      <c r="F34" t="str">
        <f>VLOOKUP(Tabla1[[#This Row],[IDProducto]],producto!$A$1:$C$33,2,FALSE)</f>
        <v>Producto_16</v>
      </c>
      <c r="G34" t="str">
        <f>VLOOKUP(Tabla1[[#This Row],[IDProducto]],producto!$A$1:$C$33,3,FALSE)</f>
        <v>Ropa</v>
      </c>
      <c r="H34" s="6" t="str">
        <f>VLOOKUP(Tabla1[[#This Row],[Estado]],Tabla3[#All],2,0)</f>
        <v>Centro</v>
      </c>
    </row>
    <row r="35" spans="1:8" ht="15.75" customHeight="1" x14ac:dyDescent="0.25">
      <c r="A35" s="1">
        <v>200033</v>
      </c>
      <c r="B35" s="2">
        <v>45786</v>
      </c>
      <c r="C35" s="1">
        <v>29</v>
      </c>
      <c r="D35" s="1" t="s">
        <v>6</v>
      </c>
      <c r="E35" s="1">
        <v>169</v>
      </c>
      <c r="F35" t="str">
        <f>VLOOKUP(Tabla1[[#This Row],[IDProducto]],producto!$A$1:$C$33,2,FALSE)</f>
        <v>Producto_29</v>
      </c>
      <c r="G35" t="str">
        <f>VLOOKUP(Tabla1[[#This Row],[IDProducto]],producto!$A$1:$C$33,3,FALSE)</f>
        <v>Electrónica</v>
      </c>
      <c r="H35" s="6" t="str">
        <f>VLOOKUP(Tabla1[[#This Row],[Estado]],Tabla3[#All],2,0)</f>
        <v>Occidente</v>
      </c>
    </row>
    <row r="36" spans="1:8" ht="15.75" customHeight="1" x14ac:dyDescent="0.25">
      <c r="A36" s="1">
        <v>200034</v>
      </c>
      <c r="B36" s="2">
        <v>45709</v>
      </c>
      <c r="C36" s="1">
        <v>21</v>
      </c>
      <c r="D36" s="1" t="s">
        <v>10</v>
      </c>
      <c r="E36" s="1">
        <v>664</v>
      </c>
      <c r="F36" t="str">
        <f>VLOOKUP(Tabla1[[#This Row],[IDProducto]],producto!$A$1:$C$33,2,FALSE)</f>
        <v>Producto_21</v>
      </c>
      <c r="G36" t="str">
        <f>VLOOKUP(Tabla1[[#This Row],[IDProducto]],producto!$A$1:$C$33,3,FALSE)</f>
        <v>Electrónica</v>
      </c>
      <c r="H36" s="6" t="str">
        <f>VLOOKUP(Tabla1[[#This Row],[Estado]],Tabla3[#All],2,0)</f>
        <v>Centro</v>
      </c>
    </row>
    <row r="37" spans="1:8" ht="15.75" customHeight="1" x14ac:dyDescent="0.25">
      <c r="A37" s="1">
        <v>200035</v>
      </c>
      <c r="B37" s="2">
        <v>45688</v>
      </c>
      <c r="C37" s="1">
        <v>25</v>
      </c>
      <c r="D37" s="1" t="s">
        <v>12</v>
      </c>
      <c r="E37" s="1">
        <v>1716</v>
      </c>
      <c r="F37" t="str">
        <f>VLOOKUP(Tabla1[[#This Row],[IDProducto]],producto!$A$1:$C$33,2,FALSE)</f>
        <v>Producto_25</v>
      </c>
      <c r="G37" t="str">
        <f>VLOOKUP(Tabla1[[#This Row],[IDProducto]],producto!$A$1:$C$33,3,FALSE)</f>
        <v>Electrónica</v>
      </c>
      <c r="H37" s="6" t="str">
        <f>VLOOKUP(Tabla1[[#This Row],[Estado]],Tabla3[#All],2,0)</f>
        <v>Centro</v>
      </c>
    </row>
    <row r="38" spans="1:8" ht="15.75" customHeight="1" x14ac:dyDescent="0.25">
      <c r="A38" s="1">
        <v>200036</v>
      </c>
      <c r="B38" s="2">
        <v>45760</v>
      </c>
      <c r="C38" s="1">
        <v>19</v>
      </c>
      <c r="D38" s="1" t="s">
        <v>10</v>
      </c>
      <c r="E38" s="1">
        <v>1745</v>
      </c>
      <c r="F38" t="str">
        <f>VLOOKUP(Tabla1[[#This Row],[IDProducto]],producto!$A$1:$C$33,2,FALSE)</f>
        <v>Producto_19</v>
      </c>
      <c r="G38" t="str">
        <f>VLOOKUP(Tabla1[[#This Row],[IDProducto]],producto!$A$1:$C$33,3,FALSE)</f>
        <v>Ropa</v>
      </c>
      <c r="H38" s="6" t="str">
        <f>VLOOKUP(Tabla1[[#This Row],[Estado]],Tabla3[#All],2,0)</f>
        <v>Centro</v>
      </c>
    </row>
    <row r="39" spans="1:8" ht="15.75" customHeight="1" x14ac:dyDescent="0.25">
      <c r="A39" s="1">
        <v>200037</v>
      </c>
      <c r="B39" s="2">
        <v>45690</v>
      </c>
      <c r="C39" s="1">
        <v>3</v>
      </c>
      <c r="D39" s="1" t="s">
        <v>10</v>
      </c>
      <c r="E39" s="1">
        <v>984</v>
      </c>
      <c r="F39" t="str">
        <f>VLOOKUP(Tabla1[[#This Row],[IDProducto]],producto!$A$1:$C$33,2,FALSE)</f>
        <v>Producto_3</v>
      </c>
      <c r="G39" t="str">
        <f>VLOOKUP(Tabla1[[#This Row],[IDProducto]],producto!$A$1:$C$33,3,FALSE)</f>
        <v>Deportes</v>
      </c>
      <c r="H39" s="6" t="str">
        <f>VLOOKUP(Tabla1[[#This Row],[Estado]],Tabla3[#All],2,0)</f>
        <v>Centro</v>
      </c>
    </row>
    <row r="40" spans="1:8" ht="15.75" customHeight="1" x14ac:dyDescent="0.25">
      <c r="A40" s="1">
        <v>200038</v>
      </c>
      <c r="B40" s="2">
        <v>45794</v>
      </c>
      <c r="C40" s="1">
        <v>7</v>
      </c>
      <c r="D40" s="1" t="s">
        <v>6</v>
      </c>
      <c r="E40" s="1">
        <v>1116</v>
      </c>
      <c r="F40" t="str">
        <f>VLOOKUP(Tabla1[[#This Row],[IDProducto]],producto!$A$1:$C$33,2,FALSE)</f>
        <v>Producto_7</v>
      </c>
      <c r="G40" t="str">
        <f>VLOOKUP(Tabla1[[#This Row],[IDProducto]],producto!$A$1:$C$33,3,FALSE)</f>
        <v>Ropa</v>
      </c>
      <c r="H40" s="6" t="str">
        <f>VLOOKUP(Tabla1[[#This Row],[Estado]],Tabla3[#All],2,0)</f>
        <v>Occidente</v>
      </c>
    </row>
    <row r="41" spans="1:8" ht="15.75" customHeight="1" x14ac:dyDescent="0.25">
      <c r="A41" s="1">
        <v>200039</v>
      </c>
      <c r="B41" s="2">
        <v>45750</v>
      </c>
      <c r="C41" s="1">
        <v>6</v>
      </c>
      <c r="D41" s="1" t="s">
        <v>9</v>
      </c>
      <c r="E41" s="1">
        <v>1524</v>
      </c>
      <c r="F41" t="str">
        <f>VLOOKUP(Tabla1[[#This Row],[IDProducto]],producto!$A$1:$C$33,2,FALSE)</f>
        <v>Producto_6</v>
      </c>
      <c r="G41" t="str">
        <f>VLOOKUP(Tabla1[[#This Row],[IDProducto]],producto!$A$1:$C$33,3,FALSE)</f>
        <v>Electrónica</v>
      </c>
      <c r="H41" s="6" t="str">
        <f>VLOOKUP(Tabla1[[#This Row],[Estado]],Tabla3[#All],2,0)</f>
        <v>Sur</v>
      </c>
    </row>
    <row r="42" spans="1:8" ht="15.75" customHeight="1" x14ac:dyDescent="0.25">
      <c r="A42" s="1">
        <v>200040</v>
      </c>
      <c r="B42" s="2">
        <v>45730</v>
      </c>
      <c r="C42" s="1">
        <v>2</v>
      </c>
      <c r="D42" s="1" t="s">
        <v>6</v>
      </c>
      <c r="E42" s="1">
        <v>1361</v>
      </c>
      <c r="F42" t="str">
        <f>VLOOKUP(Tabla1[[#This Row],[IDProducto]],producto!$A$1:$C$33,2,FALSE)</f>
        <v>Producto_2</v>
      </c>
      <c r="G42" t="str">
        <f>VLOOKUP(Tabla1[[#This Row],[IDProducto]],producto!$A$1:$C$33,3,FALSE)</f>
        <v>Deportes</v>
      </c>
      <c r="H42" s="6" t="str">
        <f>VLOOKUP(Tabla1[[#This Row],[Estado]],Tabla3[#All],2,0)</f>
        <v>Occidente</v>
      </c>
    </row>
    <row r="43" spans="1:8" ht="15.75" customHeight="1" x14ac:dyDescent="0.25">
      <c r="A43" s="1">
        <v>200041</v>
      </c>
      <c r="B43" s="2">
        <v>45694</v>
      </c>
      <c r="C43" s="1">
        <v>20</v>
      </c>
      <c r="D43" s="1" t="s">
        <v>11</v>
      </c>
      <c r="E43" s="1">
        <v>498</v>
      </c>
      <c r="F43" t="str">
        <f>VLOOKUP(Tabla1[[#This Row],[IDProducto]],producto!$A$1:$C$33,2,FALSE)</f>
        <v>Producto_20</v>
      </c>
      <c r="G43" t="str">
        <f>VLOOKUP(Tabla1[[#This Row],[IDProducto]],producto!$A$1:$C$33,3,FALSE)</f>
        <v>Deportes</v>
      </c>
      <c r="H43" s="6" t="str">
        <f>VLOOKUP(Tabla1[[#This Row],[Estado]],Tabla3[#All],2,0)</f>
        <v>Occidente</v>
      </c>
    </row>
    <row r="44" spans="1:8" ht="15.75" customHeight="1" x14ac:dyDescent="0.25">
      <c r="A44" s="1">
        <v>200042</v>
      </c>
      <c r="B44" s="2">
        <v>45711</v>
      </c>
      <c r="C44" s="1">
        <v>32</v>
      </c>
      <c r="D44" s="1" t="s">
        <v>8</v>
      </c>
      <c r="E44" s="1">
        <v>872</v>
      </c>
      <c r="F44" t="str">
        <f>VLOOKUP(Tabla1[[#This Row],[IDProducto]],producto!$A$1:$C$33,2,FALSE)</f>
        <v>Producto_32</v>
      </c>
      <c r="G44" t="str">
        <f>VLOOKUP(Tabla1[[#This Row],[IDProducto]],producto!$A$1:$C$33,3,FALSE)</f>
        <v>Hogar</v>
      </c>
      <c r="H44" s="6" t="str">
        <f>VLOOKUP(Tabla1[[#This Row],[Estado]],Tabla3[#All],2,0)</f>
        <v>Norte</v>
      </c>
    </row>
    <row r="45" spans="1:8" ht="15.75" customHeight="1" x14ac:dyDescent="0.25">
      <c r="A45" s="1">
        <v>200043</v>
      </c>
      <c r="B45" s="2">
        <v>45737</v>
      </c>
      <c r="C45" s="1">
        <v>27</v>
      </c>
      <c r="D45" s="1" t="s">
        <v>10</v>
      </c>
      <c r="E45" s="1">
        <v>889</v>
      </c>
      <c r="F45" t="str">
        <f>VLOOKUP(Tabla1[[#This Row],[IDProducto]],producto!$A$1:$C$33,2,FALSE)</f>
        <v>Producto_27</v>
      </c>
      <c r="G45" t="str">
        <f>VLOOKUP(Tabla1[[#This Row],[IDProducto]],producto!$A$1:$C$33,3,FALSE)</f>
        <v>Electrónica</v>
      </c>
      <c r="H45" s="6" t="str">
        <f>VLOOKUP(Tabla1[[#This Row],[Estado]],Tabla3[#All],2,0)</f>
        <v>Centro</v>
      </c>
    </row>
    <row r="46" spans="1:8" ht="15.75" customHeight="1" x14ac:dyDescent="0.25">
      <c r="A46" s="1">
        <v>200044</v>
      </c>
      <c r="B46" s="2">
        <v>45674</v>
      </c>
      <c r="C46" s="1">
        <v>19</v>
      </c>
      <c r="D46" s="1" t="s">
        <v>12</v>
      </c>
      <c r="E46" s="1">
        <v>327</v>
      </c>
      <c r="F46" t="str">
        <f>VLOOKUP(Tabla1[[#This Row],[IDProducto]],producto!$A$1:$C$33,2,FALSE)</f>
        <v>Producto_19</v>
      </c>
      <c r="G46" t="str">
        <f>VLOOKUP(Tabla1[[#This Row],[IDProducto]],producto!$A$1:$C$33,3,FALSE)</f>
        <v>Ropa</v>
      </c>
      <c r="H46" s="6" t="str">
        <f>VLOOKUP(Tabla1[[#This Row],[Estado]],Tabla3[#All],2,0)</f>
        <v>Centro</v>
      </c>
    </row>
    <row r="47" spans="1:8" ht="15.75" customHeight="1" x14ac:dyDescent="0.25">
      <c r="A47" s="1">
        <v>200045</v>
      </c>
      <c r="B47" s="2">
        <v>45813</v>
      </c>
      <c r="C47" s="1">
        <v>15</v>
      </c>
      <c r="D47" s="1" t="s">
        <v>11</v>
      </c>
      <c r="E47" s="1">
        <v>1004</v>
      </c>
      <c r="F47" t="str">
        <f>VLOOKUP(Tabla1[[#This Row],[IDProducto]],producto!$A$1:$C$33,2,FALSE)</f>
        <v>Producto_15</v>
      </c>
      <c r="G47" t="str">
        <f>VLOOKUP(Tabla1[[#This Row],[IDProducto]],producto!$A$1:$C$33,3,FALSE)</f>
        <v>Hogar</v>
      </c>
      <c r="H47" s="6" t="str">
        <f>VLOOKUP(Tabla1[[#This Row],[Estado]],Tabla3[#All],2,0)</f>
        <v>Occidente</v>
      </c>
    </row>
    <row r="48" spans="1:8" ht="15.75" customHeight="1" x14ac:dyDescent="0.25">
      <c r="A48" s="1">
        <v>200046</v>
      </c>
      <c r="B48" s="2">
        <v>45694</v>
      </c>
      <c r="C48" s="1">
        <v>16</v>
      </c>
      <c r="D48" s="1" t="s">
        <v>5</v>
      </c>
      <c r="E48" s="1">
        <v>1340</v>
      </c>
      <c r="F48" t="str">
        <f>VLOOKUP(Tabla1[[#This Row],[IDProducto]],producto!$A$1:$C$33,2,FALSE)</f>
        <v>Producto_16</v>
      </c>
      <c r="G48" t="str">
        <f>VLOOKUP(Tabla1[[#This Row],[IDProducto]],producto!$A$1:$C$33,3,FALSE)</f>
        <v>Ropa</v>
      </c>
      <c r="H48" s="6" t="str">
        <f>VLOOKUP(Tabla1[[#This Row],[Estado]],Tabla3[#All],2,0)</f>
        <v>Centro</v>
      </c>
    </row>
    <row r="49" spans="1:8" ht="15.75" customHeight="1" x14ac:dyDescent="0.25">
      <c r="A49" s="1">
        <v>200047</v>
      </c>
      <c r="B49" s="2">
        <v>45731</v>
      </c>
      <c r="C49" s="1">
        <v>15</v>
      </c>
      <c r="D49" s="1" t="s">
        <v>7</v>
      </c>
      <c r="E49" s="1">
        <v>1498</v>
      </c>
      <c r="F49" t="str">
        <f>VLOOKUP(Tabla1[[#This Row],[IDProducto]],producto!$A$1:$C$33,2,FALSE)</f>
        <v>Producto_15</v>
      </c>
      <c r="G49" t="str">
        <f>VLOOKUP(Tabla1[[#This Row],[IDProducto]],producto!$A$1:$C$33,3,FALSE)</f>
        <v>Hogar</v>
      </c>
      <c r="H49" s="6" t="str">
        <f>VLOOKUP(Tabla1[[#This Row],[Estado]],Tabla3[#All],2,0)</f>
        <v>Norte</v>
      </c>
    </row>
    <row r="50" spans="1:8" ht="15.75" customHeight="1" x14ac:dyDescent="0.25">
      <c r="A50" s="1">
        <v>200048</v>
      </c>
      <c r="B50" s="2">
        <v>45809</v>
      </c>
      <c r="C50" s="1">
        <v>26</v>
      </c>
      <c r="D50" s="1" t="s">
        <v>7</v>
      </c>
      <c r="E50" s="1">
        <v>733</v>
      </c>
      <c r="F50" t="str">
        <f>VLOOKUP(Tabla1[[#This Row],[IDProducto]],producto!$A$1:$C$33,2,FALSE)</f>
        <v>Producto_26</v>
      </c>
      <c r="G50" t="str">
        <f>VLOOKUP(Tabla1[[#This Row],[IDProducto]],producto!$A$1:$C$33,3,FALSE)</f>
        <v>Hogar</v>
      </c>
      <c r="H50" s="6" t="str">
        <f>VLOOKUP(Tabla1[[#This Row],[Estado]],Tabla3[#All],2,0)</f>
        <v>Norte</v>
      </c>
    </row>
    <row r="51" spans="1:8" ht="15.75" customHeight="1" x14ac:dyDescent="0.25">
      <c r="A51" s="1">
        <v>200049</v>
      </c>
      <c r="B51" s="2">
        <v>45787</v>
      </c>
      <c r="C51" s="1">
        <v>16</v>
      </c>
      <c r="D51" s="1" t="s">
        <v>6</v>
      </c>
      <c r="E51" s="1">
        <v>950</v>
      </c>
      <c r="F51" t="str">
        <f>VLOOKUP(Tabla1[[#This Row],[IDProducto]],producto!$A$1:$C$33,2,FALSE)</f>
        <v>Producto_16</v>
      </c>
      <c r="G51" t="str">
        <f>VLOOKUP(Tabla1[[#This Row],[IDProducto]],producto!$A$1:$C$33,3,FALSE)</f>
        <v>Ropa</v>
      </c>
      <c r="H51" s="6" t="str">
        <f>VLOOKUP(Tabla1[[#This Row],[Estado]],Tabla3[#All],2,0)</f>
        <v>Occidente</v>
      </c>
    </row>
    <row r="52" spans="1:8" ht="15.75" customHeight="1" x14ac:dyDescent="0.25">
      <c r="A52" s="1">
        <v>200050</v>
      </c>
      <c r="B52" s="2">
        <v>45823</v>
      </c>
      <c r="C52" s="1">
        <v>25</v>
      </c>
      <c r="D52" s="1" t="s">
        <v>11</v>
      </c>
      <c r="E52" s="1">
        <v>902</v>
      </c>
      <c r="F52" t="str">
        <f>VLOOKUP(Tabla1[[#This Row],[IDProducto]],producto!$A$1:$C$33,2,FALSE)</f>
        <v>Producto_25</v>
      </c>
      <c r="G52" t="str">
        <f>VLOOKUP(Tabla1[[#This Row],[IDProducto]],producto!$A$1:$C$33,3,FALSE)</f>
        <v>Electrónica</v>
      </c>
      <c r="H52" s="6" t="str">
        <f>VLOOKUP(Tabla1[[#This Row],[Estado]],Tabla3[#All],2,0)</f>
        <v>Occidente</v>
      </c>
    </row>
    <row r="53" spans="1:8" ht="15.75" customHeight="1" x14ac:dyDescent="0.25">
      <c r="A53" s="1">
        <v>200051</v>
      </c>
      <c r="B53" s="2">
        <v>45774</v>
      </c>
      <c r="C53" s="1">
        <v>7</v>
      </c>
      <c r="D53" s="1" t="s">
        <v>8</v>
      </c>
      <c r="E53" s="1">
        <v>444</v>
      </c>
      <c r="F53" t="str">
        <f>VLOOKUP(Tabla1[[#This Row],[IDProducto]],producto!$A$1:$C$33,2,FALSE)</f>
        <v>Producto_7</v>
      </c>
      <c r="G53" t="str">
        <f>VLOOKUP(Tabla1[[#This Row],[IDProducto]],producto!$A$1:$C$33,3,FALSE)</f>
        <v>Ropa</v>
      </c>
      <c r="H53" s="6" t="str">
        <f>VLOOKUP(Tabla1[[#This Row],[Estado]],Tabla3[#All],2,0)</f>
        <v>Norte</v>
      </c>
    </row>
    <row r="54" spans="1:8" ht="15.75" customHeight="1" x14ac:dyDescent="0.25">
      <c r="A54" s="1">
        <v>200052</v>
      </c>
      <c r="B54" s="2">
        <v>45708</v>
      </c>
      <c r="C54" s="1">
        <v>9</v>
      </c>
      <c r="D54" s="1" t="s">
        <v>5</v>
      </c>
      <c r="E54" s="1">
        <v>912</v>
      </c>
      <c r="F54" t="str">
        <f>VLOOKUP(Tabla1[[#This Row],[IDProducto]],producto!$A$1:$C$33,2,FALSE)</f>
        <v>Producto_9</v>
      </c>
      <c r="G54" t="str">
        <f>VLOOKUP(Tabla1[[#This Row],[IDProducto]],producto!$A$1:$C$33,3,FALSE)</f>
        <v>Electrónica</v>
      </c>
      <c r="H54" s="6" t="str">
        <f>VLOOKUP(Tabla1[[#This Row],[Estado]],Tabla3[#All],2,0)</f>
        <v>Centro</v>
      </c>
    </row>
    <row r="55" spans="1:8" ht="15.75" customHeight="1" x14ac:dyDescent="0.25">
      <c r="A55" s="1">
        <v>200053</v>
      </c>
      <c r="B55" s="2">
        <v>45813</v>
      </c>
      <c r="C55" s="1">
        <v>25</v>
      </c>
      <c r="D55" s="1" t="s">
        <v>12</v>
      </c>
      <c r="E55" s="1">
        <v>1556</v>
      </c>
      <c r="F55" t="str">
        <f>VLOOKUP(Tabla1[[#This Row],[IDProducto]],producto!$A$1:$C$33,2,FALSE)</f>
        <v>Producto_25</v>
      </c>
      <c r="G55" t="str">
        <f>VLOOKUP(Tabla1[[#This Row],[IDProducto]],producto!$A$1:$C$33,3,FALSE)</f>
        <v>Electrónica</v>
      </c>
      <c r="H55" s="6" t="str">
        <f>VLOOKUP(Tabla1[[#This Row],[Estado]],Tabla3[#All],2,0)</f>
        <v>Centro</v>
      </c>
    </row>
    <row r="56" spans="1:8" ht="15.75" customHeight="1" x14ac:dyDescent="0.25">
      <c r="A56" s="1">
        <v>200054</v>
      </c>
      <c r="B56" s="2">
        <v>45759</v>
      </c>
      <c r="C56" s="1">
        <v>22</v>
      </c>
      <c r="D56" s="1" t="s">
        <v>10</v>
      </c>
      <c r="E56" s="1">
        <v>678</v>
      </c>
      <c r="F56" t="str">
        <f>VLOOKUP(Tabla1[[#This Row],[IDProducto]],producto!$A$1:$C$33,2,FALSE)</f>
        <v>Producto_22</v>
      </c>
      <c r="G56" t="str">
        <f>VLOOKUP(Tabla1[[#This Row],[IDProducto]],producto!$A$1:$C$33,3,FALSE)</f>
        <v>Hogar</v>
      </c>
      <c r="H56" s="6" t="str">
        <f>VLOOKUP(Tabla1[[#This Row],[Estado]],Tabla3[#All],2,0)</f>
        <v>Centro</v>
      </c>
    </row>
    <row r="57" spans="1:8" ht="15.75" customHeight="1" x14ac:dyDescent="0.25">
      <c r="A57" s="1">
        <v>200055</v>
      </c>
      <c r="B57" s="2">
        <v>45790</v>
      </c>
      <c r="C57" s="1">
        <v>24</v>
      </c>
      <c r="D57" s="1" t="s">
        <v>5</v>
      </c>
      <c r="E57" s="1">
        <v>1364</v>
      </c>
      <c r="F57" t="str">
        <f>VLOOKUP(Tabla1[[#This Row],[IDProducto]],producto!$A$1:$C$33,2,FALSE)</f>
        <v>Producto_24</v>
      </c>
      <c r="G57" t="str">
        <f>VLOOKUP(Tabla1[[#This Row],[IDProducto]],producto!$A$1:$C$33,3,FALSE)</f>
        <v>Ropa</v>
      </c>
      <c r="H57" s="6" t="str">
        <f>VLOOKUP(Tabla1[[#This Row],[Estado]],Tabla3[#All],2,0)</f>
        <v>Centro</v>
      </c>
    </row>
    <row r="58" spans="1:8" ht="15.75" customHeight="1" x14ac:dyDescent="0.25">
      <c r="A58" s="1">
        <v>200056</v>
      </c>
      <c r="B58" s="2">
        <v>45678</v>
      </c>
      <c r="C58" s="1">
        <v>19</v>
      </c>
      <c r="D58" s="1" t="s">
        <v>12</v>
      </c>
      <c r="E58" s="1">
        <v>681</v>
      </c>
      <c r="F58" t="str">
        <f>VLOOKUP(Tabla1[[#This Row],[IDProducto]],producto!$A$1:$C$33,2,FALSE)</f>
        <v>Producto_19</v>
      </c>
      <c r="G58" t="str">
        <f>VLOOKUP(Tabla1[[#This Row],[IDProducto]],producto!$A$1:$C$33,3,FALSE)</f>
        <v>Ropa</v>
      </c>
      <c r="H58" s="6" t="str">
        <f>VLOOKUP(Tabla1[[#This Row],[Estado]],Tabla3[#All],2,0)</f>
        <v>Centro</v>
      </c>
    </row>
    <row r="59" spans="1:8" ht="15.75" customHeight="1" x14ac:dyDescent="0.25">
      <c r="A59" s="1">
        <v>200057</v>
      </c>
      <c r="B59" s="2">
        <v>45700</v>
      </c>
      <c r="C59" s="1">
        <v>9</v>
      </c>
      <c r="D59" s="1" t="s">
        <v>10</v>
      </c>
      <c r="E59" s="1">
        <v>144</v>
      </c>
      <c r="F59" t="str">
        <f>VLOOKUP(Tabla1[[#This Row],[IDProducto]],producto!$A$1:$C$33,2,FALSE)</f>
        <v>Producto_9</v>
      </c>
      <c r="G59" t="str">
        <f>VLOOKUP(Tabla1[[#This Row],[IDProducto]],producto!$A$1:$C$33,3,FALSE)</f>
        <v>Electrónica</v>
      </c>
      <c r="H59" s="6" t="str">
        <f>VLOOKUP(Tabla1[[#This Row],[Estado]],Tabla3[#All],2,0)</f>
        <v>Centro</v>
      </c>
    </row>
    <row r="60" spans="1:8" ht="15.75" customHeight="1" x14ac:dyDescent="0.25">
      <c r="A60" s="1">
        <v>200058</v>
      </c>
      <c r="B60" s="2">
        <v>45767</v>
      </c>
      <c r="C60" s="1">
        <v>25</v>
      </c>
      <c r="D60" s="1" t="s">
        <v>8</v>
      </c>
      <c r="E60" s="1">
        <v>898</v>
      </c>
      <c r="F60" t="str">
        <f>VLOOKUP(Tabla1[[#This Row],[IDProducto]],producto!$A$1:$C$33,2,FALSE)</f>
        <v>Producto_25</v>
      </c>
      <c r="G60" t="str">
        <f>VLOOKUP(Tabla1[[#This Row],[IDProducto]],producto!$A$1:$C$33,3,FALSE)</f>
        <v>Electrónica</v>
      </c>
      <c r="H60" s="6" t="str">
        <f>VLOOKUP(Tabla1[[#This Row],[Estado]],Tabla3[#All],2,0)</f>
        <v>Norte</v>
      </c>
    </row>
    <row r="61" spans="1:8" ht="15.75" customHeight="1" x14ac:dyDescent="0.25">
      <c r="A61" s="1">
        <v>200059</v>
      </c>
      <c r="B61" s="2">
        <v>45750</v>
      </c>
      <c r="C61" s="1">
        <v>7</v>
      </c>
      <c r="D61" s="1" t="s">
        <v>6</v>
      </c>
      <c r="E61" s="1">
        <v>1329</v>
      </c>
      <c r="F61" t="str">
        <f>VLOOKUP(Tabla1[[#This Row],[IDProducto]],producto!$A$1:$C$33,2,FALSE)</f>
        <v>Producto_7</v>
      </c>
      <c r="G61" t="str">
        <f>VLOOKUP(Tabla1[[#This Row],[IDProducto]],producto!$A$1:$C$33,3,FALSE)</f>
        <v>Ropa</v>
      </c>
      <c r="H61" s="6" t="str">
        <f>VLOOKUP(Tabla1[[#This Row],[Estado]],Tabla3[#All],2,0)</f>
        <v>Occidente</v>
      </c>
    </row>
    <row r="62" spans="1:8" ht="15.75" customHeight="1" x14ac:dyDescent="0.25">
      <c r="A62" s="1">
        <v>200060</v>
      </c>
      <c r="B62" s="2">
        <v>45825</v>
      </c>
      <c r="C62" s="1">
        <v>31</v>
      </c>
      <c r="D62" s="1" t="s">
        <v>5</v>
      </c>
      <c r="E62" s="1">
        <v>1367</v>
      </c>
      <c r="F62" t="str">
        <f>VLOOKUP(Tabla1[[#This Row],[IDProducto]],producto!$A$1:$C$33,2,FALSE)</f>
        <v>Producto_31</v>
      </c>
      <c r="G62" t="str">
        <f>VLOOKUP(Tabla1[[#This Row],[IDProducto]],producto!$A$1:$C$33,3,FALSE)</f>
        <v>Deportes</v>
      </c>
      <c r="H62" s="6" t="str">
        <f>VLOOKUP(Tabla1[[#This Row],[Estado]],Tabla3[#All],2,0)</f>
        <v>Centro</v>
      </c>
    </row>
    <row r="63" spans="1:8" ht="15.75" customHeight="1" x14ac:dyDescent="0.25">
      <c r="A63" s="1">
        <v>200061</v>
      </c>
      <c r="B63" s="2">
        <v>45710</v>
      </c>
      <c r="C63" s="1">
        <v>24</v>
      </c>
      <c r="D63" s="1" t="s">
        <v>12</v>
      </c>
      <c r="E63" s="1">
        <v>552</v>
      </c>
      <c r="F63" t="str">
        <f>VLOOKUP(Tabla1[[#This Row],[IDProducto]],producto!$A$1:$C$33,2,FALSE)</f>
        <v>Producto_24</v>
      </c>
      <c r="G63" t="str">
        <f>VLOOKUP(Tabla1[[#This Row],[IDProducto]],producto!$A$1:$C$33,3,FALSE)</f>
        <v>Ropa</v>
      </c>
      <c r="H63" s="6" t="str">
        <f>VLOOKUP(Tabla1[[#This Row],[Estado]],Tabla3[#All],2,0)</f>
        <v>Centro</v>
      </c>
    </row>
    <row r="64" spans="1:8" ht="15.75" customHeight="1" x14ac:dyDescent="0.25">
      <c r="A64" s="1">
        <v>200062</v>
      </c>
      <c r="B64" s="2">
        <v>45797</v>
      </c>
      <c r="C64" s="1">
        <v>32</v>
      </c>
      <c r="D64" s="1" t="s">
        <v>10</v>
      </c>
      <c r="E64" s="1">
        <v>1291</v>
      </c>
      <c r="F64" t="str">
        <f>VLOOKUP(Tabla1[[#This Row],[IDProducto]],producto!$A$1:$C$33,2,FALSE)</f>
        <v>Producto_32</v>
      </c>
      <c r="G64" t="str">
        <f>VLOOKUP(Tabla1[[#This Row],[IDProducto]],producto!$A$1:$C$33,3,FALSE)</f>
        <v>Hogar</v>
      </c>
      <c r="H64" s="6" t="str">
        <f>VLOOKUP(Tabla1[[#This Row],[Estado]],Tabla3[#All],2,0)</f>
        <v>Centro</v>
      </c>
    </row>
    <row r="65" spans="1:8" ht="15.75" customHeight="1" x14ac:dyDescent="0.25">
      <c r="A65" s="1">
        <v>200063</v>
      </c>
      <c r="B65" s="2">
        <v>45737</v>
      </c>
      <c r="C65" s="1">
        <v>22</v>
      </c>
      <c r="D65" s="1" t="s">
        <v>11</v>
      </c>
      <c r="E65" s="1">
        <v>505</v>
      </c>
      <c r="F65" t="str">
        <f>VLOOKUP(Tabla1[[#This Row],[IDProducto]],producto!$A$1:$C$33,2,FALSE)</f>
        <v>Producto_22</v>
      </c>
      <c r="G65" t="str">
        <f>VLOOKUP(Tabla1[[#This Row],[IDProducto]],producto!$A$1:$C$33,3,FALSE)</f>
        <v>Hogar</v>
      </c>
      <c r="H65" s="6" t="str">
        <f>VLOOKUP(Tabla1[[#This Row],[Estado]],Tabla3[#All],2,0)</f>
        <v>Occidente</v>
      </c>
    </row>
    <row r="66" spans="1:8" ht="15.75" customHeight="1" x14ac:dyDescent="0.25">
      <c r="A66" s="1">
        <v>200064</v>
      </c>
      <c r="B66" s="2">
        <v>45676</v>
      </c>
      <c r="C66" s="1">
        <v>19</v>
      </c>
      <c r="D66" s="1" t="s">
        <v>12</v>
      </c>
      <c r="E66" s="1">
        <v>1577</v>
      </c>
      <c r="F66" t="str">
        <f>VLOOKUP(Tabla1[[#This Row],[IDProducto]],producto!$A$1:$C$33,2,FALSE)</f>
        <v>Producto_19</v>
      </c>
      <c r="G66" t="str">
        <f>VLOOKUP(Tabla1[[#This Row],[IDProducto]],producto!$A$1:$C$33,3,FALSE)</f>
        <v>Ropa</v>
      </c>
      <c r="H66" s="6" t="str">
        <f>VLOOKUP(Tabla1[[#This Row],[Estado]],Tabla3[#All],2,0)</f>
        <v>Centro</v>
      </c>
    </row>
    <row r="67" spans="1:8" ht="15.75" customHeight="1" x14ac:dyDescent="0.25">
      <c r="A67" s="1">
        <v>200065</v>
      </c>
      <c r="B67" s="2">
        <v>45693</v>
      </c>
      <c r="C67" s="1">
        <v>29</v>
      </c>
      <c r="D67" s="1" t="s">
        <v>10</v>
      </c>
      <c r="E67" s="1">
        <v>509</v>
      </c>
      <c r="F67" t="str">
        <f>VLOOKUP(Tabla1[[#This Row],[IDProducto]],producto!$A$1:$C$33,2,FALSE)</f>
        <v>Producto_29</v>
      </c>
      <c r="G67" t="str">
        <f>VLOOKUP(Tabla1[[#This Row],[IDProducto]],producto!$A$1:$C$33,3,FALSE)</f>
        <v>Electrónica</v>
      </c>
      <c r="H67" s="6" t="str">
        <f>VLOOKUP(Tabla1[[#This Row],[Estado]],Tabla3[#All],2,0)</f>
        <v>Centro</v>
      </c>
    </row>
    <row r="68" spans="1:8" ht="15.75" customHeight="1" x14ac:dyDescent="0.25">
      <c r="A68" s="1">
        <v>200066</v>
      </c>
      <c r="B68" s="2">
        <v>45755</v>
      </c>
      <c r="C68" s="1">
        <v>31</v>
      </c>
      <c r="D68" s="1" t="s">
        <v>7</v>
      </c>
      <c r="E68" s="1">
        <v>1229</v>
      </c>
      <c r="F68" t="str">
        <f>VLOOKUP(Tabla1[[#This Row],[IDProducto]],producto!$A$1:$C$33,2,FALSE)</f>
        <v>Producto_31</v>
      </c>
      <c r="G68" t="str">
        <f>VLOOKUP(Tabla1[[#This Row],[IDProducto]],producto!$A$1:$C$33,3,FALSE)</f>
        <v>Deportes</v>
      </c>
      <c r="H68" s="6" t="str">
        <f>VLOOKUP(Tabla1[[#This Row],[Estado]],Tabla3[#All],2,0)</f>
        <v>Norte</v>
      </c>
    </row>
    <row r="69" spans="1:8" ht="15.75" customHeight="1" x14ac:dyDescent="0.25">
      <c r="A69" s="1">
        <v>200067</v>
      </c>
      <c r="B69" s="2">
        <v>45708</v>
      </c>
      <c r="C69" s="1">
        <v>8</v>
      </c>
      <c r="D69" s="1" t="s">
        <v>12</v>
      </c>
      <c r="E69" s="1">
        <v>926</v>
      </c>
      <c r="F69" t="str">
        <f>VLOOKUP(Tabla1[[#This Row],[IDProducto]],producto!$A$1:$C$33,2,FALSE)</f>
        <v>Producto_8</v>
      </c>
      <c r="G69" t="str">
        <f>VLOOKUP(Tabla1[[#This Row],[IDProducto]],producto!$A$1:$C$33,3,FALSE)</f>
        <v>Electrónica</v>
      </c>
      <c r="H69" s="6" t="str">
        <f>VLOOKUP(Tabla1[[#This Row],[Estado]],Tabla3[#All],2,0)</f>
        <v>Centro</v>
      </c>
    </row>
    <row r="70" spans="1:8" ht="15.75" customHeight="1" x14ac:dyDescent="0.25">
      <c r="A70" s="1">
        <v>200068</v>
      </c>
      <c r="B70" s="2">
        <v>45781</v>
      </c>
      <c r="C70" s="1">
        <v>8</v>
      </c>
      <c r="D70" s="1" t="s">
        <v>10</v>
      </c>
      <c r="E70" s="1">
        <v>987</v>
      </c>
      <c r="F70" t="str">
        <f>VLOOKUP(Tabla1[[#This Row],[IDProducto]],producto!$A$1:$C$33,2,FALSE)</f>
        <v>Producto_8</v>
      </c>
      <c r="G70" t="str">
        <f>VLOOKUP(Tabla1[[#This Row],[IDProducto]],producto!$A$1:$C$33,3,FALSE)</f>
        <v>Electrónica</v>
      </c>
      <c r="H70" s="6" t="str">
        <f>VLOOKUP(Tabla1[[#This Row],[Estado]],Tabla3[#All],2,0)</f>
        <v>Centro</v>
      </c>
    </row>
    <row r="71" spans="1:8" ht="15.75" customHeight="1" x14ac:dyDescent="0.25">
      <c r="A71" s="1">
        <v>200069</v>
      </c>
      <c r="B71" s="2">
        <v>45695</v>
      </c>
      <c r="C71" s="1">
        <v>6</v>
      </c>
      <c r="D71" s="1" t="s">
        <v>11</v>
      </c>
      <c r="E71" s="1">
        <v>954</v>
      </c>
      <c r="F71" t="str">
        <f>VLOOKUP(Tabla1[[#This Row],[IDProducto]],producto!$A$1:$C$33,2,FALSE)</f>
        <v>Producto_6</v>
      </c>
      <c r="G71" t="str">
        <f>VLOOKUP(Tabla1[[#This Row],[IDProducto]],producto!$A$1:$C$33,3,FALSE)</f>
        <v>Electrónica</v>
      </c>
      <c r="H71" s="6" t="str">
        <f>VLOOKUP(Tabla1[[#This Row],[Estado]],Tabla3[#All],2,0)</f>
        <v>Occidente</v>
      </c>
    </row>
    <row r="72" spans="1:8" ht="15.75" customHeight="1" x14ac:dyDescent="0.25">
      <c r="A72" s="1">
        <v>200070</v>
      </c>
      <c r="B72" s="2">
        <v>45690</v>
      </c>
      <c r="C72" s="1">
        <v>5</v>
      </c>
      <c r="D72" s="1" t="s">
        <v>9</v>
      </c>
      <c r="E72" s="1">
        <v>336</v>
      </c>
      <c r="F72" t="str">
        <f>VLOOKUP(Tabla1[[#This Row],[IDProducto]],producto!$A$1:$C$33,2,FALSE)</f>
        <v>Producto_5</v>
      </c>
      <c r="G72" t="str">
        <f>VLOOKUP(Tabla1[[#This Row],[IDProducto]],producto!$A$1:$C$33,3,FALSE)</f>
        <v>Hogar</v>
      </c>
      <c r="H72" s="6" t="str">
        <f>VLOOKUP(Tabla1[[#This Row],[Estado]],Tabla3[#All],2,0)</f>
        <v>Sur</v>
      </c>
    </row>
    <row r="73" spans="1:8" ht="15.75" customHeight="1" x14ac:dyDescent="0.25">
      <c r="A73" s="1">
        <v>200071</v>
      </c>
      <c r="B73" s="2">
        <v>45806</v>
      </c>
      <c r="C73" s="1">
        <v>21</v>
      </c>
      <c r="D73" s="1" t="s">
        <v>6</v>
      </c>
      <c r="E73" s="1">
        <v>1463</v>
      </c>
      <c r="F73" t="str">
        <f>VLOOKUP(Tabla1[[#This Row],[IDProducto]],producto!$A$1:$C$33,2,FALSE)</f>
        <v>Producto_21</v>
      </c>
      <c r="G73" t="str">
        <f>VLOOKUP(Tabla1[[#This Row],[IDProducto]],producto!$A$1:$C$33,3,FALSE)</f>
        <v>Electrónica</v>
      </c>
      <c r="H73" s="6" t="str">
        <f>VLOOKUP(Tabla1[[#This Row],[Estado]],Tabla3[#All],2,0)</f>
        <v>Occidente</v>
      </c>
    </row>
    <row r="74" spans="1:8" ht="15.75" customHeight="1" x14ac:dyDescent="0.25">
      <c r="A74" s="1">
        <v>200072</v>
      </c>
      <c r="B74" s="2">
        <v>45749</v>
      </c>
      <c r="C74" s="1">
        <v>4</v>
      </c>
      <c r="D74" s="1" t="s">
        <v>11</v>
      </c>
      <c r="E74" s="1">
        <v>645</v>
      </c>
      <c r="F74" t="str">
        <f>VLOOKUP(Tabla1[[#This Row],[IDProducto]],producto!$A$1:$C$33,2,FALSE)</f>
        <v>Producto_4</v>
      </c>
      <c r="G74" t="str">
        <f>VLOOKUP(Tabla1[[#This Row],[IDProducto]],producto!$A$1:$C$33,3,FALSE)</f>
        <v>Deportes</v>
      </c>
      <c r="H74" s="6" t="str">
        <f>VLOOKUP(Tabla1[[#This Row],[Estado]],Tabla3[#All],2,0)</f>
        <v>Occidente</v>
      </c>
    </row>
    <row r="75" spans="1:8" ht="15.75" customHeight="1" x14ac:dyDescent="0.25">
      <c r="A75" s="1">
        <v>200073</v>
      </c>
      <c r="B75" s="2">
        <v>45728</v>
      </c>
      <c r="C75" s="1">
        <v>19</v>
      </c>
      <c r="D75" s="1" t="s">
        <v>11</v>
      </c>
      <c r="E75" s="1">
        <v>1219</v>
      </c>
      <c r="F75" t="str">
        <f>VLOOKUP(Tabla1[[#This Row],[IDProducto]],producto!$A$1:$C$33,2,FALSE)</f>
        <v>Producto_19</v>
      </c>
      <c r="G75" t="str">
        <f>VLOOKUP(Tabla1[[#This Row],[IDProducto]],producto!$A$1:$C$33,3,FALSE)</f>
        <v>Ropa</v>
      </c>
      <c r="H75" s="6" t="str">
        <f>VLOOKUP(Tabla1[[#This Row],[Estado]],Tabla3[#All],2,0)</f>
        <v>Occidente</v>
      </c>
    </row>
    <row r="76" spans="1:8" ht="15.75" customHeight="1" x14ac:dyDescent="0.25">
      <c r="A76" s="1">
        <v>200074</v>
      </c>
      <c r="B76" s="2">
        <v>45747</v>
      </c>
      <c r="C76" s="1">
        <v>9</v>
      </c>
      <c r="D76" s="1" t="s">
        <v>8</v>
      </c>
      <c r="E76" s="1">
        <v>1090</v>
      </c>
      <c r="F76" t="str">
        <f>VLOOKUP(Tabla1[[#This Row],[IDProducto]],producto!$A$1:$C$33,2,FALSE)</f>
        <v>Producto_9</v>
      </c>
      <c r="G76" t="str">
        <f>VLOOKUP(Tabla1[[#This Row],[IDProducto]],producto!$A$1:$C$33,3,FALSE)</f>
        <v>Electrónica</v>
      </c>
      <c r="H76" s="6" t="str">
        <f>VLOOKUP(Tabla1[[#This Row],[Estado]],Tabla3[#All],2,0)</f>
        <v>Norte</v>
      </c>
    </row>
    <row r="77" spans="1:8" ht="15.75" customHeight="1" x14ac:dyDescent="0.25">
      <c r="A77" s="1">
        <v>200075</v>
      </c>
      <c r="B77" s="2">
        <v>45710</v>
      </c>
      <c r="C77" s="1">
        <v>29</v>
      </c>
      <c r="D77" s="1" t="s">
        <v>7</v>
      </c>
      <c r="E77" s="1">
        <v>1862</v>
      </c>
      <c r="F77" t="str">
        <f>VLOOKUP(Tabla1[[#This Row],[IDProducto]],producto!$A$1:$C$33,2,FALSE)</f>
        <v>Producto_29</v>
      </c>
      <c r="G77" t="str">
        <f>VLOOKUP(Tabla1[[#This Row],[IDProducto]],producto!$A$1:$C$33,3,FALSE)</f>
        <v>Electrónica</v>
      </c>
      <c r="H77" s="6" t="str">
        <f>VLOOKUP(Tabla1[[#This Row],[Estado]],Tabla3[#All],2,0)</f>
        <v>Norte</v>
      </c>
    </row>
    <row r="78" spans="1:8" ht="15.75" customHeight="1" x14ac:dyDescent="0.25">
      <c r="A78" s="1">
        <v>200076</v>
      </c>
      <c r="B78" s="2">
        <v>45795</v>
      </c>
      <c r="C78" s="1">
        <v>26</v>
      </c>
      <c r="D78" s="1" t="s">
        <v>7</v>
      </c>
      <c r="E78" s="1">
        <v>447</v>
      </c>
      <c r="F78" t="str">
        <f>VLOOKUP(Tabla1[[#This Row],[IDProducto]],producto!$A$1:$C$33,2,FALSE)</f>
        <v>Producto_26</v>
      </c>
      <c r="G78" t="str">
        <f>VLOOKUP(Tabla1[[#This Row],[IDProducto]],producto!$A$1:$C$33,3,FALSE)</f>
        <v>Hogar</v>
      </c>
      <c r="H78" s="6" t="str">
        <f>VLOOKUP(Tabla1[[#This Row],[Estado]],Tabla3[#All],2,0)</f>
        <v>Norte</v>
      </c>
    </row>
    <row r="79" spans="1:8" ht="15.75" customHeight="1" x14ac:dyDescent="0.25">
      <c r="A79" s="1">
        <v>200077</v>
      </c>
      <c r="B79" s="2">
        <v>45685</v>
      </c>
      <c r="C79" s="1">
        <v>1</v>
      </c>
      <c r="D79" s="1" t="s">
        <v>6</v>
      </c>
      <c r="E79" s="1">
        <v>1136</v>
      </c>
      <c r="F79" t="str">
        <f>VLOOKUP(Tabla1[[#This Row],[IDProducto]],producto!$A$1:$C$33,2,FALSE)</f>
        <v>Producto_1</v>
      </c>
      <c r="G79" t="str">
        <f>VLOOKUP(Tabla1[[#This Row],[IDProducto]],producto!$A$1:$C$33,3,FALSE)</f>
        <v>Hogar</v>
      </c>
      <c r="H79" s="6" t="str">
        <f>VLOOKUP(Tabla1[[#This Row],[Estado]],Tabla3[#All],2,0)</f>
        <v>Occidente</v>
      </c>
    </row>
    <row r="80" spans="1:8" ht="15.75" customHeight="1" x14ac:dyDescent="0.25">
      <c r="A80" s="1">
        <v>200078</v>
      </c>
      <c r="B80" s="2">
        <v>45771</v>
      </c>
      <c r="C80" s="1">
        <v>29</v>
      </c>
      <c r="D80" s="1" t="s">
        <v>5</v>
      </c>
      <c r="E80" s="1">
        <v>1353</v>
      </c>
      <c r="F80" t="str">
        <f>VLOOKUP(Tabla1[[#This Row],[IDProducto]],producto!$A$1:$C$33,2,FALSE)</f>
        <v>Producto_29</v>
      </c>
      <c r="G80" t="str">
        <f>VLOOKUP(Tabla1[[#This Row],[IDProducto]],producto!$A$1:$C$33,3,FALSE)</f>
        <v>Electrónica</v>
      </c>
      <c r="H80" s="6" t="str">
        <f>VLOOKUP(Tabla1[[#This Row],[Estado]],Tabla3[#All],2,0)</f>
        <v>Centro</v>
      </c>
    </row>
    <row r="81" spans="1:8" ht="15.75" customHeight="1" x14ac:dyDescent="0.25">
      <c r="A81" s="1">
        <v>200079</v>
      </c>
      <c r="B81" s="2">
        <v>45769</v>
      </c>
      <c r="C81" s="1">
        <v>17</v>
      </c>
      <c r="D81" s="1" t="s">
        <v>6</v>
      </c>
      <c r="E81" s="1">
        <v>1420</v>
      </c>
      <c r="F81" t="str">
        <f>VLOOKUP(Tabla1[[#This Row],[IDProducto]],producto!$A$1:$C$33,2,FALSE)</f>
        <v>Producto_17</v>
      </c>
      <c r="G81" t="str">
        <f>VLOOKUP(Tabla1[[#This Row],[IDProducto]],producto!$A$1:$C$33,3,FALSE)</f>
        <v>Ropa</v>
      </c>
      <c r="H81" s="6" t="str">
        <f>VLOOKUP(Tabla1[[#This Row],[Estado]],Tabla3[#All],2,0)</f>
        <v>Occidente</v>
      </c>
    </row>
    <row r="82" spans="1:8" ht="15.75" customHeight="1" x14ac:dyDescent="0.25">
      <c r="A82" s="1">
        <v>200080</v>
      </c>
      <c r="B82" s="2">
        <v>45736</v>
      </c>
      <c r="C82" s="1">
        <v>6</v>
      </c>
      <c r="D82" s="1" t="s">
        <v>5</v>
      </c>
      <c r="E82" s="1">
        <v>638</v>
      </c>
      <c r="F82" t="str">
        <f>VLOOKUP(Tabla1[[#This Row],[IDProducto]],producto!$A$1:$C$33,2,FALSE)</f>
        <v>Producto_6</v>
      </c>
      <c r="G82" t="str">
        <f>VLOOKUP(Tabla1[[#This Row],[IDProducto]],producto!$A$1:$C$33,3,FALSE)</f>
        <v>Electrónica</v>
      </c>
      <c r="H82" s="6" t="str">
        <f>VLOOKUP(Tabla1[[#This Row],[Estado]],Tabla3[#All],2,0)</f>
        <v>Centro</v>
      </c>
    </row>
    <row r="83" spans="1:8" ht="15.75" customHeight="1" x14ac:dyDescent="0.25">
      <c r="A83" s="1">
        <v>200081</v>
      </c>
      <c r="B83" s="2">
        <v>45720</v>
      </c>
      <c r="C83" s="1">
        <v>22</v>
      </c>
      <c r="D83" s="1" t="s">
        <v>5</v>
      </c>
      <c r="E83" s="1">
        <v>556</v>
      </c>
      <c r="F83" t="str">
        <f>VLOOKUP(Tabla1[[#This Row],[IDProducto]],producto!$A$1:$C$33,2,FALSE)</f>
        <v>Producto_22</v>
      </c>
      <c r="G83" t="str">
        <f>VLOOKUP(Tabla1[[#This Row],[IDProducto]],producto!$A$1:$C$33,3,FALSE)</f>
        <v>Hogar</v>
      </c>
      <c r="H83" s="6" t="str">
        <f>VLOOKUP(Tabla1[[#This Row],[Estado]],Tabla3[#All],2,0)</f>
        <v>Centro</v>
      </c>
    </row>
    <row r="84" spans="1:8" ht="15.75" customHeight="1" x14ac:dyDescent="0.25">
      <c r="A84" s="1">
        <v>200082</v>
      </c>
      <c r="B84" s="2">
        <v>45757</v>
      </c>
      <c r="C84" s="1">
        <v>3</v>
      </c>
      <c r="D84" s="1" t="s">
        <v>9</v>
      </c>
      <c r="E84" s="1">
        <v>1034</v>
      </c>
      <c r="F84" t="str">
        <f>VLOOKUP(Tabla1[[#This Row],[IDProducto]],producto!$A$1:$C$33,2,FALSE)</f>
        <v>Producto_3</v>
      </c>
      <c r="G84" t="str">
        <f>VLOOKUP(Tabla1[[#This Row],[IDProducto]],producto!$A$1:$C$33,3,FALSE)</f>
        <v>Deportes</v>
      </c>
      <c r="H84" s="6" t="str">
        <f>VLOOKUP(Tabla1[[#This Row],[Estado]],Tabla3[#All],2,0)</f>
        <v>Sur</v>
      </c>
    </row>
    <row r="85" spans="1:8" ht="15.75" customHeight="1" x14ac:dyDescent="0.25">
      <c r="A85" s="1">
        <v>200083</v>
      </c>
      <c r="B85" s="2">
        <v>45834</v>
      </c>
      <c r="C85" s="1">
        <v>2</v>
      </c>
      <c r="D85" s="1" t="s">
        <v>12</v>
      </c>
      <c r="E85" s="1">
        <v>171</v>
      </c>
      <c r="F85" t="str">
        <f>VLOOKUP(Tabla1[[#This Row],[IDProducto]],producto!$A$1:$C$33,2,FALSE)</f>
        <v>Producto_2</v>
      </c>
      <c r="G85" t="str">
        <f>VLOOKUP(Tabla1[[#This Row],[IDProducto]],producto!$A$1:$C$33,3,FALSE)</f>
        <v>Deportes</v>
      </c>
      <c r="H85" s="6" t="str">
        <f>VLOOKUP(Tabla1[[#This Row],[Estado]],Tabla3[#All],2,0)</f>
        <v>Centro</v>
      </c>
    </row>
    <row r="86" spans="1:8" ht="15.75" customHeight="1" x14ac:dyDescent="0.25">
      <c r="A86" s="1">
        <v>200084</v>
      </c>
      <c r="B86" s="2">
        <v>45681</v>
      </c>
      <c r="C86" s="1">
        <v>13</v>
      </c>
      <c r="D86" s="1" t="s">
        <v>9</v>
      </c>
      <c r="E86" s="1">
        <v>529</v>
      </c>
      <c r="F86" t="str">
        <f>VLOOKUP(Tabla1[[#This Row],[IDProducto]],producto!$A$1:$C$33,2,FALSE)</f>
        <v>Producto_13</v>
      </c>
      <c r="G86" t="str">
        <f>VLOOKUP(Tabla1[[#This Row],[IDProducto]],producto!$A$1:$C$33,3,FALSE)</f>
        <v>Deportes</v>
      </c>
      <c r="H86" s="6" t="str">
        <f>VLOOKUP(Tabla1[[#This Row],[Estado]],Tabla3[#All],2,0)</f>
        <v>Sur</v>
      </c>
    </row>
    <row r="87" spans="1:8" ht="15.75" customHeight="1" x14ac:dyDescent="0.25">
      <c r="A87" s="1">
        <v>200085</v>
      </c>
      <c r="B87" s="2">
        <v>45791</v>
      </c>
      <c r="C87" s="1">
        <v>7</v>
      </c>
      <c r="D87" s="1" t="s">
        <v>6</v>
      </c>
      <c r="E87" s="1">
        <v>130</v>
      </c>
      <c r="F87" t="str">
        <f>VLOOKUP(Tabla1[[#This Row],[IDProducto]],producto!$A$1:$C$33,2,FALSE)</f>
        <v>Producto_7</v>
      </c>
      <c r="G87" t="str">
        <f>VLOOKUP(Tabla1[[#This Row],[IDProducto]],producto!$A$1:$C$33,3,FALSE)</f>
        <v>Ropa</v>
      </c>
      <c r="H87" s="6" t="str">
        <f>VLOOKUP(Tabla1[[#This Row],[Estado]],Tabla3[#All],2,0)</f>
        <v>Occidente</v>
      </c>
    </row>
    <row r="88" spans="1:8" ht="15.75" customHeight="1" x14ac:dyDescent="0.25">
      <c r="A88" s="1">
        <v>200086</v>
      </c>
      <c r="B88" s="2">
        <v>45758</v>
      </c>
      <c r="C88" s="1">
        <v>27</v>
      </c>
      <c r="D88" s="1" t="s">
        <v>9</v>
      </c>
      <c r="E88" s="1">
        <v>437</v>
      </c>
      <c r="F88" t="str">
        <f>VLOOKUP(Tabla1[[#This Row],[IDProducto]],producto!$A$1:$C$33,2,FALSE)</f>
        <v>Producto_27</v>
      </c>
      <c r="G88" t="str">
        <f>VLOOKUP(Tabla1[[#This Row],[IDProducto]],producto!$A$1:$C$33,3,FALSE)</f>
        <v>Electrónica</v>
      </c>
      <c r="H88" s="6" t="str">
        <f>VLOOKUP(Tabla1[[#This Row],[Estado]],Tabla3[#All],2,0)</f>
        <v>Sur</v>
      </c>
    </row>
    <row r="89" spans="1:8" ht="15.75" customHeight="1" x14ac:dyDescent="0.25">
      <c r="A89" s="1">
        <v>200087</v>
      </c>
      <c r="B89" s="2">
        <v>45675</v>
      </c>
      <c r="C89" s="1">
        <v>2</v>
      </c>
      <c r="D89" s="1" t="s">
        <v>8</v>
      </c>
      <c r="E89" s="1">
        <v>872</v>
      </c>
      <c r="F89" t="str">
        <f>VLOOKUP(Tabla1[[#This Row],[IDProducto]],producto!$A$1:$C$33,2,FALSE)</f>
        <v>Producto_2</v>
      </c>
      <c r="G89" t="str">
        <f>VLOOKUP(Tabla1[[#This Row],[IDProducto]],producto!$A$1:$C$33,3,FALSE)</f>
        <v>Deportes</v>
      </c>
      <c r="H89" s="6" t="str">
        <f>VLOOKUP(Tabla1[[#This Row],[Estado]],Tabla3[#All],2,0)</f>
        <v>Norte</v>
      </c>
    </row>
    <row r="90" spans="1:8" ht="15.75" customHeight="1" x14ac:dyDescent="0.25">
      <c r="A90" s="1">
        <v>200088</v>
      </c>
      <c r="B90" s="2">
        <v>45800</v>
      </c>
      <c r="C90" s="1">
        <v>14</v>
      </c>
      <c r="D90" s="1" t="s">
        <v>8</v>
      </c>
      <c r="E90" s="1">
        <v>885</v>
      </c>
      <c r="F90" t="str">
        <f>VLOOKUP(Tabla1[[#This Row],[IDProducto]],producto!$A$1:$C$33,2,FALSE)</f>
        <v>Producto_14</v>
      </c>
      <c r="G90" t="str">
        <f>VLOOKUP(Tabla1[[#This Row],[IDProducto]],producto!$A$1:$C$33,3,FALSE)</f>
        <v>Hogar</v>
      </c>
      <c r="H90" s="6" t="str">
        <f>VLOOKUP(Tabla1[[#This Row],[Estado]],Tabla3[#All],2,0)</f>
        <v>Norte</v>
      </c>
    </row>
    <row r="91" spans="1:8" ht="15.75" customHeight="1" x14ac:dyDescent="0.25">
      <c r="A91" s="1">
        <v>200089</v>
      </c>
      <c r="B91" s="2">
        <v>45777</v>
      </c>
      <c r="C91" s="1">
        <v>13</v>
      </c>
      <c r="D91" s="1" t="s">
        <v>8</v>
      </c>
      <c r="E91" s="1">
        <v>1421</v>
      </c>
      <c r="F91" t="str">
        <f>VLOOKUP(Tabla1[[#This Row],[IDProducto]],producto!$A$1:$C$33,2,FALSE)</f>
        <v>Producto_13</v>
      </c>
      <c r="G91" t="str">
        <f>VLOOKUP(Tabla1[[#This Row],[IDProducto]],producto!$A$1:$C$33,3,FALSE)</f>
        <v>Deportes</v>
      </c>
      <c r="H91" s="6" t="str">
        <f>VLOOKUP(Tabla1[[#This Row],[Estado]],Tabla3[#All],2,0)</f>
        <v>Norte</v>
      </c>
    </row>
    <row r="92" spans="1:8" ht="15.75" customHeight="1" x14ac:dyDescent="0.25">
      <c r="A92" s="1">
        <v>200090</v>
      </c>
      <c r="B92" s="2">
        <v>45667</v>
      </c>
      <c r="C92" s="1">
        <v>6</v>
      </c>
      <c r="D92" s="1" t="s">
        <v>11</v>
      </c>
      <c r="E92" s="1">
        <v>1564</v>
      </c>
      <c r="F92" t="str">
        <f>VLOOKUP(Tabla1[[#This Row],[IDProducto]],producto!$A$1:$C$33,2,FALSE)</f>
        <v>Producto_6</v>
      </c>
      <c r="G92" t="str">
        <f>VLOOKUP(Tabla1[[#This Row],[IDProducto]],producto!$A$1:$C$33,3,FALSE)</f>
        <v>Electrónica</v>
      </c>
      <c r="H92" s="6" t="str">
        <f>VLOOKUP(Tabla1[[#This Row],[Estado]],Tabla3[#All],2,0)</f>
        <v>Occidente</v>
      </c>
    </row>
    <row r="93" spans="1:8" ht="15.75" customHeight="1" x14ac:dyDescent="0.25">
      <c r="A93" s="1">
        <v>200091</v>
      </c>
      <c r="B93" s="2">
        <v>45820</v>
      </c>
      <c r="C93" s="1">
        <v>21</v>
      </c>
      <c r="D93" s="1" t="s">
        <v>10</v>
      </c>
      <c r="E93" s="1">
        <v>577</v>
      </c>
      <c r="F93" t="str">
        <f>VLOOKUP(Tabla1[[#This Row],[IDProducto]],producto!$A$1:$C$33,2,FALSE)</f>
        <v>Producto_21</v>
      </c>
      <c r="G93" t="str">
        <f>VLOOKUP(Tabla1[[#This Row],[IDProducto]],producto!$A$1:$C$33,3,FALSE)</f>
        <v>Electrónica</v>
      </c>
      <c r="H93" s="6" t="str">
        <f>VLOOKUP(Tabla1[[#This Row],[Estado]],Tabla3[#All],2,0)</f>
        <v>Centro</v>
      </c>
    </row>
    <row r="94" spans="1:8" ht="15.75" customHeight="1" x14ac:dyDescent="0.25">
      <c r="A94" s="1">
        <v>200092</v>
      </c>
      <c r="B94" s="2">
        <v>45812</v>
      </c>
      <c r="C94" s="1">
        <v>9</v>
      </c>
      <c r="D94" s="1" t="s">
        <v>9</v>
      </c>
      <c r="E94" s="1">
        <v>1263</v>
      </c>
      <c r="F94" t="str">
        <f>VLOOKUP(Tabla1[[#This Row],[IDProducto]],producto!$A$1:$C$33,2,FALSE)</f>
        <v>Producto_9</v>
      </c>
      <c r="G94" t="str">
        <f>VLOOKUP(Tabla1[[#This Row],[IDProducto]],producto!$A$1:$C$33,3,FALSE)</f>
        <v>Electrónica</v>
      </c>
      <c r="H94" s="6" t="str">
        <f>VLOOKUP(Tabla1[[#This Row],[Estado]],Tabla3[#All],2,0)</f>
        <v>Sur</v>
      </c>
    </row>
    <row r="95" spans="1:8" ht="15.75" customHeight="1" x14ac:dyDescent="0.25">
      <c r="A95" s="1">
        <v>200093</v>
      </c>
      <c r="B95" s="2">
        <v>45682</v>
      </c>
      <c r="C95" s="1">
        <v>10</v>
      </c>
      <c r="D95" s="1" t="s">
        <v>11</v>
      </c>
      <c r="E95" s="1">
        <v>333</v>
      </c>
      <c r="F95" t="str">
        <f>VLOOKUP(Tabla1[[#This Row],[IDProducto]],producto!$A$1:$C$33,2,FALSE)</f>
        <v>Producto_10</v>
      </c>
      <c r="G95" t="str">
        <f>VLOOKUP(Tabla1[[#This Row],[IDProducto]],producto!$A$1:$C$33,3,FALSE)</f>
        <v>Ropa</v>
      </c>
      <c r="H95" s="6" t="str">
        <f>VLOOKUP(Tabla1[[#This Row],[Estado]],Tabla3[#All],2,0)</f>
        <v>Occidente</v>
      </c>
    </row>
    <row r="96" spans="1:8" ht="15.75" customHeight="1" x14ac:dyDescent="0.25">
      <c r="A96" s="1">
        <v>200094</v>
      </c>
      <c r="B96" s="2">
        <v>45798</v>
      </c>
      <c r="C96" s="1">
        <v>8</v>
      </c>
      <c r="D96" s="1" t="s">
        <v>9</v>
      </c>
      <c r="E96" s="1">
        <v>1837</v>
      </c>
      <c r="F96" t="str">
        <f>VLOOKUP(Tabla1[[#This Row],[IDProducto]],producto!$A$1:$C$33,2,FALSE)</f>
        <v>Producto_8</v>
      </c>
      <c r="G96" t="str">
        <f>VLOOKUP(Tabla1[[#This Row],[IDProducto]],producto!$A$1:$C$33,3,FALSE)</f>
        <v>Electrónica</v>
      </c>
      <c r="H96" s="6" t="str">
        <f>VLOOKUP(Tabla1[[#This Row],[Estado]],Tabla3[#All],2,0)</f>
        <v>Sur</v>
      </c>
    </row>
    <row r="97" spans="1:8" ht="15.75" customHeight="1" x14ac:dyDescent="0.25">
      <c r="A97" s="1">
        <v>200095</v>
      </c>
      <c r="B97" s="2">
        <v>45836</v>
      </c>
      <c r="C97" s="1">
        <v>30</v>
      </c>
      <c r="D97" s="1" t="s">
        <v>5</v>
      </c>
      <c r="E97" s="1">
        <v>1384</v>
      </c>
      <c r="F97" t="str">
        <f>VLOOKUP(Tabla1[[#This Row],[IDProducto]],producto!$A$1:$C$33,2,FALSE)</f>
        <v>Producto_30</v>
      </c>
      <c r="G97" t="str">
        <f>VLOOKUP(Tabla1[[#This Row],[IDProducto]],producto!$A$1:$C$33,3,FALSE)</f>
        <v>Hogar</v>
      </c>
      <c r="H97" s="6" t="str">
        <f>VLOOKUP(Tabla1[[#This Row],[Estado]],Tabla3[#All],2,0)</f>
        <v>Centro</v>
      </c>
    </row>
    <row r="98" spans="1:8" ht="15.75" customHeight="1" x14ac:dyDescent="0.25">
      <c r="A98" s="1">
        <v>200096</v>
      </c>
      <c r="B98" s="2">
        <v>45799</v>
      </c>
      <c r="C98" s="1">
        <v>2</v>
      </c>
      <c r="D98" s="1" t="s">
        <v>7</v>
      </c>
      <c r="E98" s="1">
        <v>245</v>
      </c>
      <c r="F98" t="str">
        <f>VLOOKUP(Tabla1[[#This Row],[IDProducto]],producto!$A$1:$C$33,2,FALSE)</f>
        <v>Producto_2</v>
      </c>
      <c r="G98" t="str">
        <f>VLOOKUP(Tabla1[[#This Row],[IDProducto]],producto!$A$1:$C$33,3,FALSE)</f>
        <v>Deportes</v>
      </c>
      <c r="H98" s="6" t="str">
        <f>VLOOKUP(Tabla1[[#This Row],[Estado]],Tabla3[#All],2,0)</f>
        <v>Norte</v>
      </c>
    </row>
    <row r="99" spans="1:8" ht="15.75" customHeight="1" x14ac:dyDescent="0.25">
      <c r="A99" s="1">
        <v>200097</v>
      </c>
      <c r="B99" s="2">
        <v>45711</v>
      </c>
      <c r="C99" s="1">
        <v>1</v>
      </c>
      <c r="D99" s="1" t="s">
        <v>10</v>
      </c>
      <c r="E99" s="1">
        <v>1765</v>
      </c>
      <c r="F99" t="str">
        <f>VLOOKUP(Tabla1[[#This Row],[IDProducto]],producto!$A$1:$C$33,2,FALSE)</f>
        <v>Producto_1</v>
      </c>
      <c r="G99" t="str">
        <f>VLOOKUP(Tabla1[[#This Row],[IDProducto]],producto!$A$1:$C$33,3,FALSE)</f>
        <v>Hogar</v>
      </c>
      <c r="H99" s="6" t="str">
        <f>VLOOKUP(Tabla1[[#This Row],[Estado]],Tabla3[#All],2,0)</f>
        <v>Centro</v>
      </c>
    </row>
    <row r="100" spans="1:8" ht="15.75" customHeight="1" x14ac:dyDescent="0.25">
      <c r="A100" s="1">
        <v>200098</v>
      </c>
      <c r="B100" s="2">
        <v>45691</v>
      </c>
      <c r="C100" s="1">
        <v>24</v>
      </c>
      <c r="D100" s="1" t="s">
        <v>6</v>
      </c>
      <c r="E100" s="1">
        <v>133</v>
      </c>
      <c r="F100" t="str">
        <f>VLOOKUP(Tabla1[[#This Row],[IDProducto]],producto!$A$1:$C$33,2,FALSE)</f>
        <v>Producto_24</v>
      </c>
      <c r="G100" t="str">
        <f>VLOOKUP(Tabla1[[#This Row],[IDProducto]],producto!$A$1:$C$33,3,FALSE)</f>
        <v>Ropa</v>
      </c>
      <c r="H100" s="6" t="str">
        <f>VLOOKUP(Tabla1[[#This Row],[Estado]],Tabla3[#All],2,0)</f>
        <v>Occidente</v>
      </c>
    </row>
    <row r="101" spans="1:8" ht="15.75" customHeight="1" x14ac:dyDescent="0.25">
      <c r="A101" s="1">
        <v>200099</v>
      </c>
      <c r="B101" s="2">
        <v>45687</v>
      </c>
      <c r="C101" s="1">
        <v>6</v>
      </c>
      <c r="D101" s="1" t="s">
        <v>12</v>
      </c>
      <c r="E101" s="1">
        <v>771</v>
      </c>
      <c r="F101" t="str">
        <f>VLOOKUP(Tabla1[[#This Row],[IDProducto]],producto!$A$1:$C$33,2,FALSE)</f>
        <v>Producto_6</v>
      </c>
      <c r="G101" t="str">
        <f>VLOOKUP(Tabla1[[#This Row],[IDProducto]],producto!$A$1:$C$33,3,FALSE)</f>
        <v>Electrónica</v>
      </c>
      <c r="H101" s="6" t="str">
        <f>VLOOKUP(Tabla1[[#This Row],[Estado]],Tabla3[#All],2,0)</f>
        <v>Centro</v>
      </c>
    </row>
    <row r="102" spans="1:8" ht="15.75" customHeight="1" x14ac:dyDescent="0.25">
      <c r="A102" s="1">
        <v>200100</v>
      </c>
      <c r="B102" s="2">
        <v>45787</v>
      </c>
      <c r="C102" s="1">
        <v>6</v>
      </c>
      <c r="D102" s="1" t="s">
        <v>12</v>
      </c>
      <c r="E102" s="1">
        <v>1684</v>
      </c>
      <c r="F102" t="str">
        <f>VLOOKUP(Tabla1[[#This Row],[IDProducto]],producto!$A$1:$C$33,2,FALSE)</f>
        <v>Producto_6</v>
      </c>
      <c r="G102" t="str">
        <f>VLOOKUP(Tabla1[[#This Row],[IDProducto]],producto!$A$1:$C$33,3,FALSE)</f>
        <v>Electrónica</v>
      </c>
      <c r="H102" s="6" t="str">
        <f>VLOOKUP(Tabla1[[#This Row],[Estado]],Tabla3[#All],2,0)</f>
        <v>Centro</v>
      </c>
    </row>
    <row r="103" spans="1:8" ht="15.75" customHeight="1" x14ac:dyDescent="0.25">
      <c r="A103" s="1">
        <v>200101</v>
      </c>
      <c r="B103" s="2">
        <v>45790</v>
      </c>
      <c r="C103" s="1">
        <v>9</v>
      </c>
      <c r="D103" s="1" t="s">
        <v>8</v>
      </c>
      <c r="E103" s="1">
        <v>1148</v>
      </c>
      <c r="F103" t="str">
        <f>VLOOKUP(Tabla1[[#This Row],[IDProducto]],producto!$A$1:$C$33,2,FALSE)</f>
        <v>Producto_9</v>
      </c>
      <c r="G103" t="str">
        <f>VLOOKUP(Tabla1[[#This Row],[IDProducto]],producto!$A$1:$C$33,3,FALSE)</f>
        <v>Electrónica</v>
      </c>
      <c r="H103" s="6" t="str">
        <f>VLOOKUP(Tabla1[[#This Row],[Estado]],Tabla3[#All],2,0)</f>
        <v>Norte</v>
      </c>
    </row>
    <row r="104" spans="1:8" ht="15.75" customHeight="1" x14ac:dyDescent="0.25">
      <c r="A104" s="1">
        <v>200102</v>
      </c>
      <c r="B104" s="2">
        <v>45826</v>
      </c>
      <c r="C104" s="1">
        <v>4</v>
      </c>
      <c r="D104" s="1" t="s">
        <v>9</v>
      </c>
      <c r="E104" s="1">
        <v>209</v>
      </c>
      <c r="F104" t="str">
        <f>VLOOKUP(Tabla1[[#This Row],[IDProducto]],producto!$A$1:$C$33,2,FALSE)</f>
        <v>Producto_4</v>
      </c>
      <c r="G104" t="str">
        <f>VLOOKUP(Tabla1[[#This Row],[IDProducto]],producto!$A$1:$C$33,3,FALSE)</f>
        <v>Deportes</v>
      </c>
      <c r="H104" s="6" t="str">
        <f>VLOOKUP(Tabla1[[#This Row],[Estado]],Tabla3[#All],2,0)</f>
        <v>Sur</v>
      </c>
    </row>
    <row r="105" spans="1:8" ht="15.75" customHeight="1" x14ac:dyDescent="0.25">
      <c r="A105" s="1">
        <v>200103</v>
      </c>
      <c r="B105" s="2">
        <v>45709</v>
      </c>
      <c r="C105" s="1">
        <v>12</v>
      </c>
      <c r="D105" s="1" t="s">
        <v>11</v>
      </c>
      <c r="E105" s="1">
        <v>177</v>
      </c>
      <c r="F105" t="str">
        <f>VLOOKUP(Tabla1[[#This Row],[IDProducto]],producto!$A$1:$C$33,2,FALSE)</f>
        <v>Producto_12</v>
      </c>
      <c r="G105" t="str">
        <f>VLOOKUP(Tabla1[[#This Row],[IDProducto]],producto!$A$1:$C$33,3,FALSE)</f>
        <v>Hogar</v>
      </c>
      <c r="H105" s="6" t="str">
        <f>VLOOKUP(Tabla1[[#This Row],[Estado]],Tabla3[#All],2,0)</f>
        <v>Occidente</v>
      </c>
    </row>
    <row r="106" spans="1:8" ht="15.75" customHeight="1" x14ac:dyDescent="0.25">
      <c r="A106" s="1">
        <v>200104</v>
      </c>
      <c r="B106" s="2">
        <v>45833</v>
      </c>
      <c r="C106" s="1">
        <v>20</v>
      </c>
      <c r="D106" s="1" t="s">
        <v>8</v>
      </c>
      <c r="E106" s="1">
        <v>913</v>
      </c>
      <c r="F106" t="str">
        <f>VLOOKUP(Tabla1[[#This Row],[IDProducto]],producto!$A$1:$C$33,2,FALSE)</f>
        <v>Producto_20</v>
      </c>
      <c r="G106" t="str">
        <f>VLOOKUP(Tabla1[[#This Row],[IDProducto]],producto!$A$1:$C$33,3,FALSE)</f>
        <v>Deportes</v>
      </c>
      <c r="H106" s="6" t="str">
        <f>VLOOKUP(Tabla1[[#This Row],[Estado]],Tabla3[#All],2,0)</f>
        <v>Norte</v>
      </c>
    </row>
    <row r="107" spans="1:8" ht="15.75" customHeight="1" x14ac:dyDescent="0.25">
      <c r="A107" s="1">
        <v>200105</v>
      </c>
      <c r="B107" s="2">
        <v>45675</v>
      </c>
      <c r="C107" s="1">
        <v>6</v>
      </c>
      <c r="D107" s="1" t="s">
        <v>10</v>
      </c>
      <c r="E107" s="1">
        <v>1348</v>
      </c>
      <c r="F107" t="str">
        <f>VLOOKUP(Tabla1[[#This Row],[IDProducto]],producto!$A$1:$C$33,2,FALSE)</f>
        <v>Producto_6</v>
      </c>
      <c r="G107" t="str">
        <f>VLOOKUP(Tabla1[[#This Row],[IDProducto]],producto!$A$1:$C$33,3,FALSE)</f>
        <v>Electrónica</v>
      </c>
      <c r="H107" s="6" t="str">
        <f>VLOOKUP(Tabla1[[#This Row],[Estado]],Tabla3[#All],2,0)</f>
        <v>Centro</v>
      </c>
    </row>
    <row r="108" spans="1:8" ht="15.75" customHeight="1" x14ac:dyDescent="0.25">
      <c r="A108" s="1">
        <v>200106</v>
      </c>
      <c r="B108" s="2">
        <v>45802</v>
      </c>
      <c r="C108" s="1">
        <v>32</v>
      </c>
      <c r="D108" s="1" t="s">
        <v>6</v>
      </c>
      <c r="E108" s="1">
        <v>813</v>
      </c>
      <c r="F108" t="str">
        <f>VLOOKUP(Tabla1[[#This Row],[IDProducto]],producto!$A$1:$C$33,2,FALSE)</f>
        <v>Producto_32</v>
      </c>
      <c r="G108" t="str">
        <f>VLOOKUP(Tabla1[[#This Row],[IDProducto]],producto!$A$1:$C$33,3,FALSE)</f>
        <v>Hogar</v>
      </c>
      <c r="H108" s="6" t="str">
        <f>VLOOKUP(Tabla1[[#This Row],[Estado]],Tabla3[#All],2,0)</f>
        <v>Occidente</v>
      </c>
    </row>
    <row r="109" spans="1:8" ht="15.75" customHeight="1" x14ac:dyDescent="0.25">
      <c r="A109" s="1">
        <v>200107</v>
      </c>
      <c r="B109" s="2">
        <v>45760</v>
      </c>
      <c r="C109" s="1">
        <v>2</v>
      </c>
      <c r="D109" s="1" t="s">
        <v>5</v>
      </c>
      <c r="E109" s="1">
        <v>1786</v>
      </c>
      <c r="F109" t="str">
        <f>VLOOKUP(Tabla1[[#This Row],[IDProducto]],producto!$A$1:$C$33,2,FALSE)</f>
        <v>Producto_2</v>
      </c>
      <c r="G109" t="str">
        <f>VLOOKUP(Tabla1[[#This Row],[IDProducto]],producto!$A$1:$C$33,3,FALSE)</f>
        <v>Deportes</v>
      </c>
      <c r="H109" s="6" t="str">
        <f>VLOOKUP(Tabla1[[#This Row],[Estado]],Tabla3[#All],2,0)</f>
        <v>Centro</v>
      </c>
    </row>
    <row r="110" spans="1:8" ht="15.75" customHeight="1" x14ac:dyDescent="0.25">
      <c r="A110" s="1">
        <v>200108</v>
      </c>
      <c r="B110" s="2">
        <v>45746</v>
      </c>
      <c r="C110" s="1">
        <v>14</v>
      </c>
      <c r="D110" s="1" t="s">
        <v>12</v>
      </c>
      <c r="E110" s="1">
        <v>1142</v>
      </c>
      <c r="F110" t="str">
        <f>VLOOKUP(Tabla1[[#This Row],[IDProducto]],producto!$A$1:$C$33,2,FALSE)</f>
        <v>Producto_14</v>
      </c>
      <c r="G110" t="str">
        <f>VLOOKUP(Tabla1[[#This Row],[IDProducto]],producto!$A$1:$C$33,3,FALSE)</f>
        <v>Hogar</v>
      </c>
      <c r="H110" s="6" t="str">
        <f>VLOOKUP(Tabla1[[#This Row],[Estado]],Tabla3[#All],2,0)</f>
        <v>Centro</v>
      </c>
    </row>
    <row r="111" spans="1:8" ht="15.75" customHeight="1" x14ac:dyDescent="0.25">
      <c r="A111" s="1">
        <v>200109</v>
      </c>
      <c r="B111" s="2">
        <v>45692</v>
      </c>
      <c r="C111" s="1">
        <v>29</v>
      </c>
      <c r="D111" s="1" t="s">
        <v>6</v>
      </c>
      <c r="E111" s="1">
        <v>1631</v>
      </c>
      <c r="F111" t="str">
        <f>VLOOKUP(Tabla1[[#This Row],[IDProducto]],producto!$A$1:$C$33,2,FALSE)</f>
        <v>Producto_29</v>
      </c>
      <c r="G111" t="str">
        <f>VLOOKUP(Tabla1[[#This Row],[IDProducto]],producto!$A$1:$C$33,3,FALSE)</f>
        <v>Electrónica</v>
      </c>
      <c r="H111" s="6" t="str">
        <f>VLOOKUP(Tabla1[[#This Row],[Estado]],Tabla3[#All],2,0)</f>
        <v>Occidente</v>
      </c>
    </row>
    <row r="112" spans="1:8" ht="15.75" customHeight="1" x14ac:dyDescent="0.25">
      <c r="A112" s="1">
        <v>200110</v>
      </c>
      <c r="B112" s="2">
        <v>45802</v>
      </c>
      <c r="C112" s="1">
        <v>1</v>
      </c>
      <c r="D112" s="1" t="s">
        <v>5</v>
      </c>
      <c r="E112" s="1">
        <v>367</v>
      </c>
      <c r="F112" t="str">
        <f>VLOOKUP(Tabla1[[#This Row],[IDProducto]],producto!$A$1:$C$33,2,FALSE)</f>
        <v>Producto_1</v>
      </c>
      <c r="G112" t="str">
        <f>VLOOKUP(Tabla1[[#This Row],[IDProducto]],producto!$A$1:$C$33,3,FALSE)</f>
        <v>Hogar</v>
      </c>
      <c r="H112" s="6" t="str">
        <f>VLOOKUP(Tabla1[[#This Row],[Estado]],Tabla3[#All],2,0)</f>
        <v>Centro</v>
      </c>
    </row>
    <row r="113" spans="1:8" ht="15.75" customHeight="1" x14ac:dyDescent="0.25">
      <c r="A113" s="1">
        <v>200111</v>
      </c>
      <c r="B113" s="2">
        <v>45834</v>
      </c>
      <c r="C113" s="1">
        <v>9</v>
      </c>
      <c r="D113" s="1" t="s">
        <v>8</v>
      </c>
      <c r="E113" s="1">
        <v>1524</v>
      </c>
      <c r="F113" t="str">
        <f>VLOOKUP(Tabla1[[#This Row],[IDProducto]],producto!$A$1:$C$33,2,FALSE)</f>
        <v>Producto_9</v>
      </c>
      <c r="G113" t="str">
        <f>VLOOKUP(Tabla1[[#This Row],[IDProducto]],producto!$A$1:$C$33,3,FALSE)</f>
        <v>Electrónica</v>
      </c>
      <c r="H113" s="6" t="str">
        <f>VLOOKUP(Tabla1[[#This Row],[Estado]],Tabla3[#All],2,0)</f>
        <v>Norte</v>
      </c>
    </row>
    <row r="114" spans="1:8" ht="15.75" customHeight="1" x14ac:dyDescent="0.25">
      <c r="A114" s="1">
        <v>200112</v>
      </c>
      <c r="B114" s="2">
        <v>45835</v>
      </c>
      <c r="C114" s="1">
        <v>22</v>
      </c>
      <c r="D114" s="1" t="s">
        <v>5</v>
      </c>
      <c r="E114" s="1">
        <v>1243</v>
      </c>
      <c r="F114" t="str">
        <f>VLOOKUP(Tabla1[[#This Row],[IDProducto]],producto!$A$1:$C$33,2,FALSE)</f>
        <v>Producto_22</v>
      </c>
      <c r="G114" t="str">
        <f>VLOOKUP(Tabla1[[#This Row],[IDProducto]],producto!$A$1:$C$33,3,FALSE)</f>
        <v>Hogar</v>
      </c>
      <c r="H114" s="6" t="str">
        <f>VLOOKUP(Tabla1[[#This Row],[Estado]],Tabla3[#All],2,0)</f>
        <v>Centro</v>
      </c>
    </row>
    <row r="115" spans="1:8" ht="15.75" customHeight="1" x14ac:dyDescent="0.25">
      <c r="A115" s="1">
        <v>200113</v>
      </c>
      <c r="B115" s="2">
        <v>45771</v>
      </c>
      <c r="C115" s="1">
        <v>20</v>
      </c>
      <c r="D115" s="1" t="s">
        <v>9</v>
      </c>
      <c r="E115" s="1">
        <v>1400</v>
      </c>
      <c r="F115" t="str">
        <f>VLOOKUP(Tabla1[[#This Row],[IDProducto]],producto!$A$1:$C$33,2,FALSE)</f>
        <v>Producto_20</v>
      </c>
      <c r="G115" t="str">
        <f>VLOOKUP(Tabla1[[#This Row],[IDProducto]],producto!$A$1:$C$33,3,FALSE)</f>
        <v>Deportes</v>
      </c>
      <c r="H115" s="6" t="str">
        <f>VLOOKUP(Tabla1[[#This Row],[Estado]],Tabla3[#All],2,0)</f>
        <v>Sur</v>
      </c>
    </row>
    <row r="116" spans="1:8" ht="15.75" customHeight="1" x14ac:dyDescent="0.25">
      <c r="A116" s="1">
        <v>200114</v>
      </c>
      <c r="B116" s="2">
        <v>45701</v>
      </c>
      <c r="C116" s="1">
        <v>25</v>
      </c>
      <c r="D116" s="1" t="s">
        <v>8</v>
      </c>
      <c r="E116" s="1">
        <v>1582</v>
      </c>
      <c r="F116" t="str">
        <f>VLOOKUP(Tabla1[[#This Row],[IDProducto]],producto!$A$1:$C$33,2,FALSE)</f>
        <v>Producto_25</v>
      </c>
      <c r="G116" t="str">
        <f>VLOOKUP(Tabla1[[#This Row],[IDProducto]],producto!$A$1:$C$33,3,FALSE)</f>
        <v>Electrónica</v>
      </c>
      <c r="H116" s="6" t="str">
        <f>VLOOKUP(Tabla1[[#This Row],[Estado]],Tabla3[#All],2,0)</f>
        <v>Norte</v>
      </c>
    </row>
    <row r="117" spans="1:8" ht="15.75" customHeight="1" x14ac:dyDescent="0.25">
      <c r="A117" s="1">
        <v>200115</v>
      </c>
      <c r="B117" s="2">
        <v>45695</v>
      </c>
      <c r="C117" s="1">
        <v>16</v>
      </c>
      <c r="D117" s="1" t="s">
        <v>9</v>
      </c>
      <c r="E117" s="1">
        <v>1336</v>
      </c>
      <c r="F117" t="str">
        <f>VLOOKUP(Tabla1[[#This Row],[IDProducto]],producto!$A$1:$C$33,2,FALSE)</f>
        <v>Producto_16</v>
      </c>
      <c r="G117" t="str">
        <f>VLOOKUP(Tabla1[[#This Row],[IDProducto]],producto!$A$1:$C$33,3,FALSE)</f>
        <v>Ropa</v>
      </c>
      <c r="H117" s="6" t="str">
        <f>VLOOKUP(Tabla1[[#This Row],[Estado]],Tabla3[#All],2,0)</f>
        <v>Sur</v>
      </c>
    </row>
    <row r="118" spans="1:8" ht="15.75" customHeight="1" x14ac:dyDescent="0.25">
      <c r="A118" s="1">
        <v>200116</v>
      </c>
      <c r="B118" s="2">
        <v>45791</v>
      </c>
      <c r="C118" s="1">
        <v>31</v>
      </c>
      <c r="D118" s="1" t="s">
        <v>6</v>
      </c>
      <c r="E118" s="1">
        <v>1968</v>
      </c>
      <c r="F118" t="str">
        <f>VLOOKUP(Tabla1[[#This Row],[IDProducto]],producto!$A$1:$C$33,2,FALSE)</f>
        <v>Producto_31</v>
      </c>
      <c r="G118" t="str">
        <f>VLOOKUP(Tabla1[[#This Row],[IDProducto]],producto!$A$1:$C$33,3,FALSE)</f>
        <v>Deportes</v>
      </c>
      <c r="H118" s="6" t="str">
        <f>VLOOKUP(Tabla1[[#This Row],[Estado]],Tabla3[#All],2,0)</f>
        <v>Occidente</v>
      </c>
    </row>
    <row r="119" spans="1:8" ht="15.75" customHeight="1" x14ac:dyDescent="0.25">
      <c r="A119" s="1">
        <v>200117</v>
      </c>
      <c r="B119" s="2">
        <v>45696</v>
      </c>
      <c r="C119" s="1">
        <v>16</v>
      </c>
      <c r="D119" s="1" t="s">
        <v>8</v>
      </c>
      <c r="E119" s="1">
        <v>972</v>
      </c>
      <c r="F119" t="str">
        <f>VLOOKUP(Tabla1[[#This Row],[IDProducto]],producto!$A$1:$C$33,2,FALSE)</f>
        <v>Producto_16</v>
      </c>
      <c r="G119" t="str">
        <f>VLOOKUP(Tabla1[[#This Row],[IDProducto]],producto!$A$1:$C$33,3,FALSE)</f>
        <v>Ropa</v>
      </c>
      <c r="H119" s="6" t="str">
        <f>VLOOKUP(Tabla1[[#This Row],[Estado]],Tabla3[#All],2,0)</f>
        <v>Norte</v>
      </c>
    </row>
    <row r="120" spans="1:8" ht="15.75" customHeight="1" x14ac:dyDescent="0.25">
      <c r="A120" s="1">
        <v>200118</v>
      </c>
      <c r="B120" s="2">
        <v>45717</v>
      </c>
      <c r="C120" s="1">
        <v>2</v>
      </c>
      <c r="D120" s="1" t="s">
        <v>7</v>
      </c>
      <c r="E120" s="1">
        <v>1922</v>
      </c>
      <c r="F120" t="str">
        <f>VLOOKUP(Tabla1[[#This Row],[IDProducto]],producto!$A$1:$C$33,2,FALSE)</f>
        <v>Producto_2</v>
      </c>
      <c r="G120" t="str">
        <f>VLOOKUP(Tabla1[[#This Row],[IDProducto]],producto!$A$1:$C$33,3,FALSE)</f>
        <v>Deportes</v>
      </c>
      <c r="H120" s="6" t="str">
        <f>VLOOKUP(Tabla1[[#This Row],[Estado]],Tabla3[#All],2,0)</f>
        <v>Norte</v>
      </c>
    </row>
    <row r="121" spans="1:8" ht="15.75" customHeight="1" x14ac:dyDescent="0.25">
      <c r="A121" s="1">
        <v>200119</v>
      </c>
      <c r="B121" s="2">
        <v>45661</v>
      </c>
      <c r="C121" s="1">
        <v>30</v>
      </c>
      <c r="D121" s="1" t="s">
        <v>9</v>
      </c>
      <c r="E121" s="1">
        <v>1409</v>
      </c>
      <c r="F121" t="str">
        <f>VLOOKUP(Tabla1[[#This Row],[IDProducto]],producto!$A$1:$C$33,2,FALSE)</f>
        <v>Producto_30</v>
      </c>
      <c r="G121" t="str">
        <f>VLOOKUP(Tabla1[[#This Row],[IDProducto]],producto!$A$1:$C$33,3,FALSE)</f>
        <v>Hogar</v>
      </c>
      <c r="H121" s="6" t="str">
        <f>VLOOKUP(Tabla1[[#This Row],[Estado]],Tabla3[#All],2,0)</f>
        <v>Sur</v>
      </c>
    </row>
    <row r="122" spans="1:8" ht="15.75" customHeight="1" x14ac:dyDescent="0.25">
      <c r="A122" s="1">
        <v>200120</v>
      </c>
      <c r="B122" s="2">
        <v>45810</v>
      </c>
      <c r="C122" s="1">
        <v>2</v>
      </c>
      <c r="D122" s="1" t="s">
        <v>10</v>
      </c>
      <c r="E122" s="1">
        <v>200</v>
      </c>
      <c r="F122" t="str">
        <f>VLOOKUP(Tabla1[[#This Row],[IDProducto]],producto!$A$1:$C$33,2,FALSE)</f>
        <v>Producto_2</v>
      </c>
      <c r="G122" t="str">
        <f>VLOOKUP(Tabla1[[#This Row],[IDProducto]],producto!$A$1:$C$33,3,FALSE)</f>
        <v>Deportes</v>
      </c>
      <c r="H122" s="6" t="str">
        <f>VLOOKUP(Tabla1[[#This Row],[Estado]],Tabla3[#All],2,0)</f>
        <v>Centro</v>
      </c>
    </row>
    <row r="123" spans="1:8" ht="15.75" customHeight="1" x14ac:dyDescent="0.25">
      <c r="A123" s="1">
        <v>200121</v>
      </c>
      <c r="B123" s="2">
        <v>45825</v>
      </c>
      <c r="C123" s="1">
        <v>22</v>
      </c>
      <c r="D123" s="1" t="s">
        <v>10</v>
      </c>
      <c r="E123" s="1">
        <v>307</v>
      </c>
      <c r="F123" t="str">
        <f>VLOOKUP(Tabla1[[#This Row],[IDProducto]],producto!$A$1:$C$33,2,FALSE)</f>
        <v>Producto_22</v>
      </c>
      <c r="G123" t="str">
        <f>VLOOKUP(Tabla1[[#This Row],[IDProducto]],producto!$A$1:$C$33,3,FALSE)</f>
        <v>Hogar</v>
      </c>
      <c r="H123" s="6" t="str">
        <f>VLOOKUP(Tabla1[[#This Row],[Estado]],Tabla3[#All],2,0)</f>
        <v>Centro</v>
      </c>
    </row>
    <row r="124" spans="1:8" ht="15.75" customHeight="1" x14ac:dyDescent="0.25">
      <c r="A124" s="1">
        <v>200122</v>
      </c>
      <c r="B124" s="2">
        <v>45690</v>
      </c>
      <c r="C124" s="1">
        <v>28</v>
      </c>
      <c r="D124" s="1" t="s">
        <v>8</v>
      </c>
      <c r="E124" s="1">
        <v>1073</v>
      </c>
      <c r="F124" t="str">
        <f>VLOOKUP(Tabla1[[#This Row],[IDProducto]],producto!$A$1:$C$33,2,FALSE)</f>
        <v>Producto_28</v>
      </c>
      <c r="G124" t="str">
        <f>VLOOKUP(Tabla1[[#This Row],[IDProducto]],producto!$A$1:$C$33,3,FALSE)</f>
        <v>Hogar</v>
      </c>
      <c r="H124" s="6" t="str">
        <f>VLOOKUP(Tabla1[[#This Row],[Estado]],Tabla3[#All],2,0)</f>
        <v>Norte</v>
      </c>
    </row>
    <row r="125" spans="1:8" ht="15.75" customHeight="1" x14ac:dyDescent="0.25">
      <c r="A125" s="1">
        <v>200123</v>
      </c>
      <c r="B125" s="2">
        <v>45836</v>
      </c>
      <c r="C125" s="1">
        <v>17</v>
      </c>
      <c r="D125" s="1" t="s">
        <v>10</v>
      </c>
      <c r="E125" s="1">
        <v>1915</v>
      </c>
      <c r="F125" t="str">
        <f>VLOOKUP(Tabla1[[#This Row],[IDProducto]],producto!$A$1:$C$33,2,FALSE)</f>
        <v>Producto_17</v>
      </c>
      <c r="G125" t="str">
        <f>VLOOKUP(Tabla1[[#This Row],[IDProducto]],producto!$A$1:$C$33,3,FALSE)</f>
        <v>Ropa</v>
      </c>
      <c r="H125" s="6" t="str">
        <f>VLOOKUP(Tabla1[[#This Row],[Estado]],Tabla3[#All],2,0)</f>
        <v>Centro</v>
      </c>
    </row>
    <row r="126" spans="1:8" ht="15.75" customHeight="1" x14ac:dyDescent="0.25">
      <c r="A126" s="1">
        <v>200124</v>
      </c>
      <c r="B126" s="2">
        <v>45706</v>
      </c>
      <c r="C126" s="1">
        <v>19</v>
      </c>
      <c r="D126" s="1" t="s">
        <v>11</v>
      </c>
      <c r="E126" s="1">
        <v>430</v>
      </c>
      <c r="F126" t="str">
        <f>VLOOKUP(Tabla1[[#This Row],[IDProducto]],producto!$A$1:$C$33,2,FALSE)</f>
        <v>Producto_19</v>
      </c>
      <c r="G126" t="str">
        <f>VLOOKUP(Tabla1[[#This Row],[IDProducto]],producto!$A$1:$C$33,3,FALSE)</f>
        <v>Ropa</v>
      </c>
      <c r="H126" s="6" t="str">
        <f>VLOOKUP(Tabla1[[#This Row],[Estado]],Tabla3[#All],2,0)</f>
        <v>Occidente</v>
      </c>
    </row>
    <row r="127" spans="1:8" ht="15.75" customHeight="1" x14ac:dyDescent="0.25">
      <c r="A127" s="1">
        <v>200125</v>
      </c>
      <c r="B127" s="2">
        <v>45677</v>
      </c>
      <c r="C127" s="1">
        <v>27</v>
      </c>
      <c r="D127" s="1" t="s">
        <v>5</v>
      </c>
      <c r="E127" s="1">
        <v>209</v>
      </c>
      <c r="F127" t="str">
        <f>VLOOKUP(Tabla1[[#This Row],[IDProducto]],producto!$A$1:$C$33,2,FALSE)</f>
        <v>Producto_27</v>
      </c>
      <c r="G127" t="str">
        <f>VLOOKUP(Tabla1[[#This Row],[IDProducto]],producto!$A$1:$C$33,3,FALSE)</f>
        <v>Electrónica</v>
      </c>
      <c r="H127" s="6" t="str">
        <f>VLOOKUP(Tabla1[[#This Row],[Estado]],Tabla3[#All],2,0)</f>
        <v>Centro</v>
      </c>
    </row>
    <row r="128" spans="1:8" ht="15.75" customHeight="1" x14ac:dyDescent="0.25">
      <c r="A128" s="1">
        <v>200126</v>
      </c>
      <c r="B128" s="2">
        <v>45773</v>
      </c>
      <c r="C128" s="1">
        <v>16</v>
      </c>
      <c r="D128" s="1" t="s">
        <v>7</v>
      </c>
      <c r="E128" s="1">
        <v>1416</v>
      </c>
      <c r="F128" t="str">
        <f>VLOOKUP(Tabla1[[#This Row],[IDProducto]],producto!$A$1:$C$33,2,FALSE)</f>
        <v>Producto_16</v>
      </c>
      <c r="G128" t="str">
        <f>VLOOKUP(Tabla1[[#This Row],[IDProducto]],producto!$A$1:$C$33,3,FALSE)</f>
        <v>Ropa</v>
      </c>
      <c r="H128" s="6" t="str">
        <f>VLOOKUP(Tabla1[[#This Row],[Estado]],Tabla3[#All],2,0)</f>
        <v>Norte</v>
      </c>
    </row>
    <row r="129" spans="1:8" ht="15.75" customHeight="1" x14ac:dyDescent="0.25">
      <c r="A129" s="1">
        <v>200127</v>
      </c>
      <c r="B129" s="2">
        <v>45689</v>
      </c>
      <c r="C129" s="1">
        <v>26</v>
      </c>
      <c r="D129" s="1" t="s">
        <v>6</v>
      </c>
      <c r="E129" s="1">
        <v>688</v>
      </c>
      <c r="F129" t="str">
        <f>VLOOKUP(Tabla1[[#This Row],[IDProducto]],producto!$A$1:$C$33,2,FALSE)</f>
        <v>Producto_26</v>
      </c>
      <c r="G129" t="str">
        <f>VLOOKUP(Tabla1[[#This Row],[IDProducto]],producto!$A$1:$C$33,3,FALSE)</f>
        <v>Hogar</v>
      </c>
      <c r="H129" s="6" t="str">
        <f>VLOOKUP(Tabla1[[#This Row],[Estado]],Tabla3[#All],2,0)</f>
        <v>Occidente</v>
      </c>
    </row>
    <row r="130" spans="1:8" ht="15.75" customHeight="1" x14ac:dyDescent="0.25">
      <c r="A130" s="1">
        <v>200128</v>
      </c>
      <c r="B130" s="2">
        <v>45668</v>
      </c>
      <c r="C130" s="1">
        <v>27</v>
      </c>
      <c r="D130" s="1" t="s">
        <v>11</v>
      </c>
      <c r="E130" s="1">
        <v>683</v>
      </c>
      <c r="F130" t="str">
        <f>VLOOKUP(Tabla1[[#This Row],[IDProducto]],producto!$A$1:$C$33,2,FALSE)</f>
        <v>Producto_27</v>
      </c>
      <c r="G130" t="str">
        <f>VLOOKUP(Tabla1[[#This Row],[IDProducto]],producto!$A$1:$C$33,3,FALSE)</f>
        <v>Electrónica</v>
      </c>
      <c r="H130" s="6" t="str">
        <f>VLOOKUP(Tabla1[[#This Row],[Estado]],Tabla3[#All],2,0)</f>
        <v>Occidente</v>
      </c>
    </row>
    <row r="131" spans="1:8" ht="15.75" customHeight="1" x14ac:dyDescent="0.25">
      <c r="A131" s="1">
        <v>200129</v>
      </c>
      <c r="B131" s="2">
        <v>45704</v>
      </c>
      <c r="C131" s="1">
        <v>10</v>
      </c>
      <c r="D131" s="1" t="s">
        <v>11</v>
      </c>
      <c r="E131" s="1">
        <v>1686</v>
      </c>
      <c r="F131" t="str">
        <f>VLOOKUP(Tabla1[[#This Row],[IDProducto]],producto!$A$1:$C$33,2,FALSE)</f>
        <v>Producto_10</v>
      </c>
      <c r="G131" t="str">
        <f>VLOOKUP(Tabla1[[#This Row],[IDProducto]],producto!$A$1:$C$33,3,FALSE)</f>
        <v>Ropa</v>
      </c>
      <c r="H131" s="6" t="str">
        <f>VLOOKUP(Tabla1[[#This Row],[Estado]],Tabla3[#All],2,0)</f>
        <v>Occidente</v>
      </c>
    </row>
    <row r="132" spans="1:8" ht="15.75" customHeight="1" x14ac:dyDescent="0.25">
      <c r="A132" s="1">
        <v>200130</v>
      </c>
      <c r="B132" s="2">
        <v>45808</v>
      </c>
      <c r="C132" s="1">
        <v>31</v>
      </c>
      <c r="D132" s="1" t="s">
        <v>11</v>
      </c>
      <c r="E132" s="1">
        <v>1260</v>
      </c>
      <c r="F132" t="str">
        <f>VLOOKUP(Tabla1[[#This Row],[IDProducto]],producto!$A$1:$C$33,2,FALSE)</f>
        <v>Producto_31</v>
      </c>
      <c r="G132" t="str">
        <f>VLOOKUP(Tabla1[[#This Row],[IDProducto]],producto!$A$1:$C$33,3,FALSE)</f>
        <v>Deportes</v>
      </c>
      <c r="H132" s="6" t="str">
        <f>VLOOKUP(Tabla1[[#This Row],[Estado]],Tabla3[#All],2,0)</f>
        <v>Occidente</v>
      </c>
    </row>
    <row r="133" spans="1:8" ht="15.75" customHeight="1" x14ac:dyDescent="0.25">
      <c r="A133" s="1">
        <v>200131</v>
      </c>
      <c r="B133" s="2">
        <v>45713</v>
      </c>
      <c r="C133" s="1">
        <v>26</v>
      </c>
      <c r="D133" s="1" t="s">
        <v>9</v>
      </c>
      <c r="E133" s="1">
        <v>1923</v>
      </c>
      <c r="F133" t="str">
        <f>VLOOKUP(Tabla1[[#This Row],[IDProducto]],producto!$A$1:$C$33,2,FALSE)</f>
        <v>Producto_26</v>
      </c>
      <c r="G133" t="str">
        <f>VLOOKUP(Tabla1[[#This Row],[IDProducto]],producto!$A$1:$C$33,3,FALSE)</f>
        <v>Hogar</v>
      </c>
      <c r="H133" s="6" t="str">
        <f>VLOOKUP(Tabla1[[#This Row],[Estado]],Tabla3[#All],2,0)</f>
        <v>Sur</v>
      </c>
    </row>
    <row r="134" spans="1:8" ht="15.75" customHeight="1" x14ac:dyDescent="0.25">
      <c r="A134" s="1">
        <v>200132</v>
      </c>
      <c r="B134" s="2">
        <v>45814</v>
      </c>
      <c r="C134" s="1">
        <v>5</v>
      </c>
      <c r="D134" s="1" t="s">
        <v>5</v>
      </c>
      <c r="E134" s="1">
        <v>1126</v>
      </c>
      <c r="F134" t="str">
        <f>VLOOKUP(Tabla1[[#This Row],[IDProducto]],producto!$A$1:$C$33,2,FALSE)</f>
        <v>Producto_5</v>
      </c>
      <c r="G134" t="str">
        <f>VLOOKUP(Tabla1[[#This Row],[IDProducto]],producto!$A$1:$C$33,3,FALSE)</f>
        <v>Hogar</v>
      </c>
      <c r="H134" s="6" t="str">
        <f>VLOOKUP(Tabla1[[#This Row],[Estado]],Tabla3[#All],2,0)</f>
        <v>Centro</v>
      </c>
    </row>
    <row r="135" spans="1:8" ht="15.75" customHeight="1" x14ac:dyDescent="0.25">
      <c r="A135" s="1">
        <v>200133</v>
      </c>
      <c r="B135" s="2">
        <v>45669</v>
      </c>
      <c r="C135" s="1">
        <v>11</v>
      </c>
      <c r="D135" s="1" t="s">
        <v>8</v>
      </c>
      <c r="E135" s="1">
        <v>496</v>
      </c>
      <c r="F135" t="str">
        <f>VLOOKUP(Tabla1[[#This Row],[IDProducto]],producto!$A$1:$C$33,2,FALSE)</f>
        <v>Producto_11</v>
      </c>
      <c r="G135" t="str">
        <f>VLOOKUP(Tabla1[[#This Row],[IDProducto]],producto!$A$1:$C$33,3,FALSE)</f>
        <v>Ropa</v>
      </c>
      <c r="H135" s="6" t="str">
        <f>VLOOKUP(Tabla1[[#This Row],[Estado]],Tabla3[#All],2,0)</f>
        <v>Norte</v>
      </c>
    </row>
    <row r="136" spans="1:8" ht="15.75" customHeight="1" x14ac:dyDescent="0.25">
      <c r="A136" s="1">
        <v>200134</v>
      </c>
      <c r="B136" s="2">
        <v>45678</v>
      </c>
      <c r="C136" s="1">
        <v>3</v>
      </c>
      <c r="D136" s="1" t="s">
        <v>6</v>
      </c>
      <c r="E136" s="1">
        <v>1711</v>
      </c>
      <c r="F136" t="str">
        <f>VLOOKUP(Tabla1[[#This Row],[IDProducto]],producto!$A$1:$C$33,2,FALSE)</f>
        <v>Producto_3</v>
      </c>
      <c r="G136" t="str">
        <f>VLOOKUP(Tabla1[[#This Row],[IDProducto]],producto!$A$1:$C$33,3,FALSE)</f>
        <v>Deportes</v>
      </c>
      <c r="H136" s="6" t="str">
        <f>VLOOKUP(Tabla1[[#This Row],[Estado]],Tabla3[#All],2,0)</f>
        <v>Occidente</v>
      </c>
    </row>
    <row r="137" spans="1:8" ht="15.75" customHeight="1" x14ac:dyDescent="0.25">
      <c r="A137" s="1">
        <v>200135</v>
      </c>
      <c r="B137" s="2">
        <v>45713</v>
      </c>
      <c r="C137" s="1">
        <v>26</v>
      </c>
      <c r="D137" s="1" t="s">
        <v>5</v>
      </c>
      <c r="E137" s="1">
        <v>1596</v>
      </c>
      <c r="F137" t="str">
        <f>VLOOKUP(Tabla1[[#This Row],[IDProducto]],producto!$A$1:$C$33,2,FALSE)</f>
        <v>Producto_26</v>
      </c>
      <c r="G137" t="str">
        <f>VLOOKUP(Tabla1[[#This Row],[IDProducto]],producto!$A$1:$C$33,3,FALSE)</f>
        <v>Hogar</v>
      </c>
      <c r="H137" s="6" t="str">
        <f>VLOOKUP(Tabla1[[#This Row],[Estado]],Tabla3[#All],2,0)</f>
        <v>Centro</v>
      </c>
    </row>
    <row r="138" spans="1:8" ht="15.75" customHeight="1" x14ac:dyDescent="0.25">
      <c r="A138" s="1">
        <v>200136</v>
      </c>
      <c r="B138" s="2">
        <v>45688</v>
      </c>
      <c r="C138" s="1">
        <v>21</v>
      </c>
      <c r="D138" s="1" t="s">
        <v>5</v>
      </c>
      <c r="E138" s="1">
        <v>268</v>
      </c>
      <c r="F138" t="str">
        <f>VLOOKUP(Tabla1[[#This Row],[IDProducto]],producto!$A$1:$C$33,2,FALSE)</f>
        <v>Producto_21</v>
      </c>
      <c r="G138" t="str">
        <f>VLOOKUP(Tabla1[[#This Row],[IDProducto]],producto!$A$1:$C$33,3,FALSE)</f>
        <v>Electrónica</v>
      </c>
      <c r="H138" s="6" t="str">
        <f>VLOOKUP(Tabla1[[#This Row],[Estado]],Tabla3[#All],2,0)</f>
        <v>Centro</v>
      </c>
    </row>
    <row r="139" spans="1:8" ht="15.75" customHeight="1" x14ac:dyDescent="0.25">
      <c r="A139" s="1">
        <v>200137</v>
      </c>
      <c r="B139" s="2">
        <v>45781</v>
      </c>
      <c r="C139" s="1">
        <v>9</v>
      </c>
      <c r="D139" s="1" t="s">
        <v>10</v>
      </c>
      <c r="E139" s="1">
        <v>627</v>
      </c>
      <c r="F139" t="str">
        <f>VLOOKUP(Tabla1[[#This Row],[IDProducto]],producto!$A$1:$C$33,2,FALSE)</f>
        <v>Producto_9</v>
      </c>
      <c r="G139" t="str">
        <f>VLOOKUP(Tabla1[[#This Row],[IDProducto]],producto!$A$1:$C$33,3,FALSE)</f>
        <v>Electrónica</v>
      </c>
      <c r="H139" s="6" t="str">
        <f>VLOOKUP(Tabla1[[#This Row],[Estado]],Tabla3[#All],2,0)</f>
        <v>Centro</v>
      </c>
    </row>
    <row r="140" spans="1:8" ht="15.75" customHeight="1" x14ac:dyDescent="0.25">
      <c r="A140" s="1">
        <v>200138</v>
      </c>
      <c r="B140" s="2">
        <v>45687</v>
      </c>
      <c r="C140" s="1">
        <v>2</v>
      </c>
      <c r="D140" s="1" t="s">
        <v>10</v>
      </c>
      <c r="E140" s="1">
        <v>1542</v>
      </c>
      <c r="F140" t="str">
        <f>VLOOKUP(Tabla1[[#This Row],[IDProducto]],producto!$A$1:$C$33,2,FALSE)</f>
        <v>Producto_2</v>
      </c>
      <c r="G140" t="str">
        <f>VLOOKUP(Tabla1[[#This Row],[IDProducto]],producto!$A$1:$C$33,3,FALSE)</f>
        <v>Deportes</v>
      </c>
      <c r="H140" s="6" t="str">
        <f>VLOOKUP(Tabla1[[#This Row],[Estado]],Tabla3[#All],2,0)</f>
        <v>Centro</v>
      </c>
    </row>
    <row r="141" spans="1:8" ht="15.75" customHeight="1" x14ac:dyDescent="0.25">
      <c r="A141" s="1">
        <v>200139</v>
      </c>
      <c r="B141" s="2">
        <v>45743</v>
      </c>
      <c r="C141" s="1">
        <v>32</v>
      </c>
      <c r="D141" s="1" t="s">
        <v>9</v>
      </c>
      <c r="E141" s="1">
        <v>1041</v>
      </c>
      <c r="F141" t="str">
        <f>VLOOKUP(Tabla1[[#This Row],[IDProducto]],producto!$A$1:$C$33,2,FALSE)</f>
        <v>Producto_32</v>
      </c>
      <c r="G141" t="str">
        <f>VLOOKUP(Tabla1[[#This Row],[IDProducto]],producto!$A$1:$C$33,3,FALSE)</f>
        <v>Hogar</v>
      </c>
      <c r="H141" s="6" t="str">
        <f>VLOOKUP(Tabla1[[#This Row],[Estado]],Tabla3[#All],2,0)</f>
        <v>Sur</v>
      </c>
    </row>
    <row r="142" spans="1:8" ht="15.75" customHeight="1" x14ac:dyDescent="0.25">
      <c r="A142" s="1">
        <v>200140</v>
      </c>
      <c r="B142" s="2">
        <v>45837</v>
      </c>
      <c r="C142" s="1">
        <v>6</v>
      </c>
      <c r="D142" s="1" t="s">
        <v>11</v>
      </c>
      <c r="E142" s="1">
        <v>1765</v>
      </c>
      <c r="F142" t="str">
        <f>VLOOKUP(Tabla1[[#This Row],[IDProducto]],producto!$A$1:$C$33,2,FALSE)</f>
        <v>Producto_6</v>
      </c>
      <c r="G142" t="str">
        <f>VLOOKUP(Tabla1[[#This Row],[IDProducto]],producto!$A$1:$C$33,3,FALSE)</f>
        <v>Electrónica</v>
      </c>
      <c r="H142" s="6" t="str">
        <f>VLOOKUP(Tabla1[[#This Row],[Estado]],Tabla3[#All],2,0)</f>
        <v>Occidente</v>
      </c>
    </row>
    <row r="143" spans="1:8" ht="15.75" customHeight="1" x14ac:dyDescent="0.25">
      <c r="A143" s="1">
        <v>200141</v>
      </c>
      <c r="B143" s="2">
        <v>45715</v>
      </c>
      <c r="C143" s="1">
        <v>10</v>
      </c>
      <c r="D143" s="1" t="s">
        <v>8</v>
      </c>
      <c r="E143" s="1">
        <v>1659</v>
      </c>
      <c r="F143" t="str">
        <f>VLOOKUP(Tabla1[[#This Row],[IDProducto]],producto!$A$1:$C$33,2,FALSE)</f>
        <v>Producto_10</v>
      </c>
      <c r="G143" t="str">
        <f>VLOOKUP(Tabla1[[#This Row],[IDProducto]],producto!$A$1:$C$33,3,FALSE)</f>
        <v>Ropa</v>
      </c>
      <c r="H143" s="6" t="str">
        <f>VLOOKUP(Tabla1[[#This Row],[Estado]],Tabla3[#All],2,0)</f>
        <v>Norte</v>
      </c>
    </row>
    <row r="144" spans="1:8" ht="15.75" customHeight="1" x14ac:dyDescent="0.25">
      <c r="A144" s="1">
        <v>200142</v>
      </c>
      <c r="B144" s="2">
        <v>45762</v>
      </c>
      <c r="C144" s="1">
        <v>32</v>
      </c>
      <c r="D144" s="1" t="s">
        <v>9</v>
      </c>
      <c r="E144" s="1">
        <v>789</v>
      </c>
      <c r="F144" t="str">
        <f>VLOOKUP(Tabla1[[#This Row],[IDProducto]],producto!$A$1:$C$33,2,FALSE)</f>
        <v>Producto_32</v>
      </c>
      <c r="G144" t="str">
        <f>VLOOKUP(Tabla1[[#This Row],[IDProducto]],producto!$A$1:$C$33,3,FALSE)</f>
        <v>Hogar</v>
      </c>
      <c r="H144" s="6" t="str">
        <f>VLOOKUP(Tabla1[[#This Row],[Estado]],Tabla3[#All],2,0)</f>
        <v>Sur</v>
      </c>
    </row>
    <row r="145" spans="1:8" ht="15.75" customHeight="1" x14ac:dyDescent="0.25">
      <c r="A145" s="1">
        <v>200143</v>
      </c>
      <c r="B145" s="2">
        <v>45683</v>
      </c>
      <c r="C145" s="1">
        <v>11</v>
      </c>
      <c r="D145" s="1" t="s">
        <v>10</v>
      </c>
      <c r="E145" s="1">
        <v>1069</v>
      </c>
      <c r="F145" t="str">
        <f>VLOOKUP(Tabla1[[#This Row],[IDProducto]],producto!$A$1:$C$33,2,FALSE)</f>
        <v>Producto_11</v>
      </c>
      <c r="G145" t="str">
        <f>VLOOKUP(Tabla1[[#This Row],[IDProducto]],producto!$A$1:$C$33,3,FALSE)</f>
        <v>Ropa</v>
      </c>
      <c r="H145" s="6" t="str">
        <f>VLOOKUP(Tabla1[[#This Row],[Estado]],Tabla3[#All],2,0)</f>
        <v>Centro</v>
      </c>
    </row>
    <row r="146" spans="1:8" ht="15.75" customHeight="1" x14ac:dyDescent="0.25">
      <c r="A146" s="1">
        <v>200144</v>
      </c>
      <c r="B146" s="2">
        <v>45679</v>
      </c>
      <c r="C146" s="1">
        <v>16</v>
      </c>
      <c r="D146" s="1" t="s">
        <v>5</v>
      </c>
      <c r="E146" s="1">
        <v>1176</v>
      </c>
      <c r="F146" t="str">
        <f>VLOOKUP(Tabla1[[#This Row],[IDProducto]],producto!$A$1:$C$33,2,FALSE)</f>
        <v>Producto_16</v>
      </c>
      <c r="G146" t="str">
        <f>VLOOKUP(Tabla1[[#This Row],[IDProducto]],producto!$A$1:$C$33,3,FALSE)</f>
        <v>Ropa</v>
      </c>
      <c r="H146" s="6" t="str">
        <f>VLOOKUP(Tabla1[[#This Row],[Estado]],Tabla3[#All],2,0)</f>
        <v>Centro</v>
      </c>
    </row>
    <row r="147" spans="1:8" ht="15.75" customHeight="1" x14ac:dyDescent="0.25">
      <c r="A147" s="1">
        <v>200145</v>
      </c>
      <c r="B147" s="2">
        <v>45732</v>
      </c>
      <c r="C147" s="1">
        <v>12</v>
      </c>
      <c r="D147" s="1" t="s">
        <v>10</v>
      </c>
      <c r="E147" s="1">
        <v>656</v>
      </c>
      <c r="F147" t="str">
        <f>VLOOKUP(Tabla1[[#This Row],[IDProducto]],producto!$A$1:$C$33,2,FALSE)</f>
        <v>Producto_12</v>
      </c>
      <c r="G147" t="str">
        <f>VLOOKUP(Tabla1[[#This Row],[IDProducto]],producto!$A$1:$C$33,3,FALSE)</f>
        <v>Hogar</v>
      </c>
      <c r="H147" s="6" t="str">
        <f>VLOOKUP(Tabla1[[#This Row],[Estado]],Tabla3[#All],2,0)</f>
        <v>Centro</v>
      </c>
    </row>
    <row r="148" spans="1:8" ht="15.75" customHeight="1" x14ac:dyDescent="0.25">
      <c r="A148" s="1">
        <v>200146</v>
      </c>
      <c r="B148" s="2">
        <v>45762</v>
      </c>
      <c r="C148" s="1">
        <v>25</v>
      </c>
      <c r="D148" s="1" t="s">
        <v>8</v>
      </c>
      <c r="E148" s="1">
        <v>151</v>
      </c>
      <c r="F148" t="str">
        <f>VLOOKUP(Tabla1[[#This Row],[IDProducto]],producto!$A$1:$C$33,2,FALSE)</f>
        <v>Producto_25</v>
      </c>
      <c r="G148" t="str">
        <f>VLOOKUP(Tabla1[[#This Row],[IDProducto]],producto!$A$1:$C$33,3,FALSE)</f>
        <v>Electrónica</v>
      </c>
      <c r="H148" s="6" t="str">
        <f>VLOOKUP(Tabla1[[#This Row],[Estado]],Tabla3[#All],2,0)</f>
        <v>Norte</v>
      </c>
    </row>
    <row r="149" spans="1:8" ht="15.75" customHeight="1" x14ac:dyDescent="0.25">
      <c r="A149" s="1">
        <v>200147</v>
      </c>
      <c r="B149" s="2">
        <v>45765</v>
      </c>
      <c r="C149" s="1">
        <v>4</v>
      </c>
      <c r="D149" s="1" t="s">
        <v>6</v>
      </c>
      <c r="E149" s="1">
        <v>418</v>
      </c>
      <c r="F149" t="str">
        <f>VLOOKUP(Tabla1[[#This Row],[IDProducto]],producto!$A$1:$C$33,2,FALSE)</f>
        <v>Producto_4</v>
      </c>
      <c r="G149" t="str">
        <f>VLOOKUP(Tabla1[[#This Row],[IDProducto]],producto!$A$1:$C$33,3,FALSE)</f>
        <v>Deportes</v>
      </c>
      <c r="H149" s="6" t="str">
        <f>VLOOKUP(Tabla1[[#This Row],[Estado]],Tabla3[#All],2,0)</f>
        <v>Occidente</v>
      </c>
    </row>
    <row r="150" spans="1:8" ht="15.75" customHeight="1" x14ac:dyDescent="0.25">
      <c r="A150" s="1">
        <v>200148</v>
      </c>
      <c r="B150" s="2">
        <v>45662</v>
      </c>
      <c r="C150" s="1">
        <v>23</v>
      </c>
      <c r="D150" s="1" t="s">
        <v>7</v>
      </c>
      <c r="E150" s="1">
        <v>925</v>
      </c>
      <c r="F150" t="str">
        <f>VLOOKUP(Tabla1[[#This Row],[IDProducto]],producto!$A$1:$C$33,2,FALSE)</f>
        <v>Producto_23</v>
      </c>
      <c r="G150" t="str">
        <f>VLOOKUP(Tabla1[[#This Row],[IDProducto]],producto!$A$1:$C$33,3,FALSE)</f>
        <v>Deportes</v>
      </c>
      <c r="H150" s="6" t="str">
        <f>VLOOKUP(Tabla1[[#This Row],[Estado]],Tabla3[#All],2,0)</f>
        <v>Norte</v>
      </c>
    </row>
    <row r="151" spans="1:8" ht="15.75" customHeight="1" x14ac:dyDescent="0.25">
      <c r="A151" s="1">
        <v>200149</v>
      </c>
      <c r="B151" s="2">
        <v>45807</v>
      </c>
      <c r="C151" s="1">
        <v>10</v>
      </c>
      <c r="D151" s="1" t="s">
        <v>6</v>
      </c>
      <c r="E151" s="1">
        <v>659</v>
      </c>
      <c r="F151" t="str">
        <f>VLOOKUP(Tabla1[[#This Row],[IDProducto]],producto!$A$1:$C$33,2,FALSE)</f>
        <v>Producto_10</v>
      </c>
      <c r="G151" t="str">
        <f>VLOOKUP(Tabla1[[#This Row],[IDProducto]],producto!$A$1:$C$33,3,FALSE)</f>
        <v>Ropa</v>
      </c>
      <c r="H151" s="6" t="str">
        <f>VLOOKUP(Tabla1[[#This Row],[Estado]],Tabla3[#All],2,0)</f>
        <v>Occidente</v>
      </c>
    </row>
    <row r="152" spans="1:8" ht="15.75" customHeight="1" x14ac:dyDescent="0.25">
      <c r="A152" s="1">
        <v>200150</v>
      </c>
      <c r="B152" s="2">
        <v>45831</v>
      </c>
      <c r="C152" s="1">
        <v>20</v>
      </c>
      <c r="D152" s="1" t="s">
        <v>11</v>
      </c>
      <c r="E152" s="1">
        <v>160</v>
      </c>
      <c r="F152" t="str">
        <f>VLOOKUP(Tabla1[[#This Row],[IDProducto]],producto!$A$1:$C$33,2,FALSE)</f>
        <v>Producto_20</v>
      </c>
      <c r="G152" t="str">
        <f>VLOOKUP(Tabla1[[#This Row],[IDProducto]],producto!$A$1:$C$33,3,FALSE)</f>
        <v>Deportes</v>
      </c>
      <c r="H152" s="6" t="str">
        <f>VLOOKUP(Tabla1[[#This Row],[Estado]],Tabla3[#All],2,0)</f>
        <v>Occidente</v>
      </c>
    </row>
    <row r="153" spans="1:8" ht="15.75" customHeight="1" x14ac:dyDescent="0.25">
      <c r="A153" s="1">
        <v>200151</v>
      </c>
      <c r="B153" s="2">
        <v>45687</v>
      </c>
      <c r="C153" s="1">
        <v>21</v>
      </c>
      <c r="D153" s="1" t="s">
        <v>10</v>
      </c>
      <c r="E153" s="1">
        <v>1185</v>
      </c>
      <c r="F153" t="str">
        <f>VLOOKUP(Tabla1[[#This Row],[IDProducto]],producto!$A$1:$C$33,2,FALSE)</f>
        <v>Producto_21</v>
      </c>
      <c r="G153" t="str">
        <f>VLOOKUP(Tabla1[[#This Row],[IDProducto]],producto!$A$1:$C$33,3,FALSE)</f>
        <v>Electrónica</v>
      </c>
      <c r="H153" s="6" t="str">
        <f>VLOOKUP(Tabla1[[#This Row],[Estado]],Tabla3[#All],2,0)</f>
        <v>Centro</v>
      </c>
    </row>
    <row r="154" spans="1:8" ht="15.75" customHeight="1" x14ac:dyDescent="0.25">
      <c r="A154" s="1">
        <v>200152</v>
      </c>
      <c r="B154" s="2">
        <v>45663</v>
      </c>
      <c r="C154" s="1">
        <v>31</v>
      </c>
      <c r="D154" s="1" t="s">
        <v>11</v>
      </c>
      <c r="E154" s="1">
        <v>1355</v>
      </c>
      <c r="F154" t="str">
        <f>VLOOKUP(Tabla1[[#This Row],[IDProducto]],producto!$A$1:$C$33,2,FALSE)</f>
        <v>Producto_31</v>
      </c>
      <c r="G154" t="str">
        <f>VLOOKUP(Tabla1[[#This Row],[IDProducto]],producto!$A$1:$C$33,3,FALSE)</f>
        <v>Deportes</v>
      </c>
      <c r="H154" s="6" t="str">
        <f>VLOOKUP(Tabla1[[#This Row],[Estado]],Tabla3[#All],2,0)</f>
        <v>Occidente</v>
      </c>
    </row>
    <row r="155" spans="1:8" ht="15.75" customHeight="1" x14ac:dyDescent="0.25">
      <c r="A155" s="1">
        <v>200153</v>
      </c>
      <c r="B155" s="2">
        <v>45715</v>
      </c>
      <c r="C155" s="1">
        <v>14</v>
      </c>
      <c r="D155" s="1" t="s">
        <v>9</v>
      </c>
      <c r="E155" s="1">
        <v>866</v>
      </c>
      <c r="F155" t="str">
        <f>VLOOKUP(Tabla1[[#This Row],[IDProducto]],producto!$A$1:$C$33,2,FALSE)</f>
        <v>Producto_14</v>
      </c>
      <c r="G155" t="str">
        <f>VLOOKUP(Tabla1[[#This Row],[IDProducto]],producto!$A$1:$C$33,3,FALSE)</f>
        <v>Hogar</v>
      </c>
      <c r="H155" s="6" t="str">
        <f>VLOOKUP(Tabla1[[#This Row],[Estado]],Tabla3[#All],2,0)</f>
        <v>Sur</v>
      </c>
    </row>
    <row r="156" spans="1:8" ht="15.75" customHeight="1" x14ac:dyDescent="0.25">
      <c r="A156" s="1">
        <v>200154</v>
      </c>
      <c r="B156" s="2">
        <v>45718</v>
      </c>
      <c r="C156" s="1">
        <v>25</v>
      </c>
      <c r="D156" s="1" t="s">
        <v>9</v>
      </c>
      <c r="E156" s="1">
        <v>1766</v>
      </c>
      <c r="F156" t="str">
        <f>VLOOKUP(Tabla1[[#This Row],[IDProducto]],producto!$A$1:$C$33,2,FALSE)</f>
        <v>Producto_25</v>
      </c>
      <c r="G156" t="str">
        <f>VLOOKUP(Tabla1[[#This Row],[IDProducto]],producto!$A$1:$C$33,3,FALSE)</f>
        <v>Electrónica</v>
      </c>
      <c r="H156" s="6" t="str">
        <f>VLOOKUP(Tabla1[[#This Row],[Estado]],Tabla3[#All],2,0)</f>
        <v>Sur</v>
      </c>
    </row>
    <row r="157" spans="1:8" ht="15.75" customHeight="1" x14ac:dyDescent="0.25">
      <c r="A157" s="1">
        <v>200155</v>
      </c>
      <c r="B157" s="2">
        <v>45800</v>
      </c>
      <c r="C157" s="1">
        <v>21</v>
      </c>
      <c r="D157" s="1" t="s">
        <v>11</v>
      </c>
      <c r="E157" s="1">
        <v>1174</v>
      </c>
      <c r="F157" t="str">
        <f>VLOOKUP(Tabla1[[#This Row],[IDProducto]],producto!$A$1:$C$33,2,FALSE)</f>
        <v>Producto_21</v>
      </c>
      <c r="G157" t="str">
        <f>VLOOKUP(Tabla1[[#This Row],[IDProducto]],producto!$A$1:$C$33,3,FALSE)</f>
        <v>Electrónica</v>
      </c>
      <c r="H157" s="6" t="str">
        <f>VLOOKUP(Tabla1[[#This Row],[Estado]],Tabla3[#All],2,0)</f>
        <v>Occidente</v>
      </c>
    </row>
    <row r="158" spans="1:8" ht="15.75" customHeight="1" x14ac:dyDescent="0.25">
      <c r="A158" s="1">
        <v>200156</v>
      </c>
      <c r="B158" s="2">
        <v>45755</v>
      </c>
      <c r="C158" s="1">
        <v>26</v>
      </c>
      <c r="D158" s="1" t="s">
        <v>7</v>
      </c>
      <c r="E158" s="1">
        <v>624</v>
      </c>
      <c r="F158" t="str">
        <f>VLOOKUP(Tabla1[[#This Row],[IDProducto]],producto!$A$1:$C$33,2,FALSE)</f>
        <v>Producto_26</v>
      </c>
      <c r="G158" t="str">
        <f>VLOOKUP(Tabla1[[#This Row],[IDProducto]],producto!$A$1:$C$33,3,FALSE)</f>
        <v>Hogar</v>
      </c>
      <c r="H158" s="6" t="str">
        <f>VLOOKUP(Tabla1[[#This Row],[Estado]],Tabla3[#All],2,0)</f>
        <v>Norte</v>
      </c>
    </row>
    <row r="159" spans="1:8" ht="15.75" customHeight="1" x14ac:dyDescent="0.25">
      <c r="A159" s="1">
        <v>200157</v>
      </c>
      <c r="B159" s="2">
        <v>45784</v>
      </c>
      <c r="C159" s="1">
        <v>29</v>
      </c>
      <c r="D159" s="1" t="s">
        <v>10</v>
      </c>
      <c r="E159" s="1">
        <v>461</v>
      </c>
      <c r="F159" t="str">
        <f>VLOOKUP(Tabla1[[#This Row],[IDProducto]],producto!$A$1:$C$33,2,FALSE)</f>
        <v>Producto_29</v>
      </c>
      <c r="G159" t="str">
        <f>VLOOKUP(Tabla1[[#This Row],[IDProducto]],producto!$A$1:$C$33,3,FALSE)</f>
        <v>Electrónica</v>
      </c>
      <c r="H159" s="6" t="str">
        <f>VLOOKUP(Tabla1[[#This Row],[Estado]],Tabla3[#All],2,0)</f>
        <v>Centro</v>
      </c>
    </row>
    <row r="160" spans="1:8" ht="15.75" customHeight="1" x14ac:dyDescent="0.25">
      <c r="A160" s="1">
        <v>200158</v>
      </c>
      <c r="B160" s="2">
        <v>45724</v>
      </c>
      <c r="C160" s="1">
        <v>17</v>
      </c>
      <c r="D160" s="1" t="s">
        <v>10</v>
      </c>
      <c r="E160" s="1">
        <v>1114</v>
      </c>
      <c r="F160" t="str">
        <f>VLOOKUP(Tabla1[[#This Row],[IDProducto]],producto!$A$1:$C$33,2,FALSE)</f>
        <v>Producto_17</v>
      </c>
      <c r="G160" t="str">
        <f>VLOOKUP(Tabla1[[#This Row],[IDProducto]],producto!$A$1:$C$33,3,FALSE)</f>
        <v>Ropa</v>
      </c>
      <c r="H160" s="6" t="str">
        <f>VLOOKUP(Tabla1[[#This Row],[Estado]],Tabla3[#All],2,0)</f>
        <v>Centro</v>
      </c>
    </row>
    <row r="161" spans="1:8" ht="15.75" customHeight="1" x14ac:dyDescent="0.25">
      <c r="A161" s="1">
        <v>200159</v>
      </c>
      <c r="B161" s="2">
        <v>45728</v>
      </c>
      <c r="C161" s="1">
        <v>1</v>
      </c>
      <c r="D161" s="1" t="s">
        <v>7</v>
      </c>
      <c r="E161" s="1">
        <v>1052</v>
      </c>
      <c r="F161" t="str">
        <f>VLOOKUP(Tabla1[[#This Row],[IDProducto]],producto!$A$1:$C$33,2,FALSE)</f>
        <v>Producto_1</v>
      </c>
      <c r="G161" t="str">
        <f>VLOOKUP(Tabla1[[#This Row],[IDProducto]],producto!$A$1:$C$33,3,FALSE)</f>
        <v>Hogar</v>
      </c>
      <c r="H161" s="6" t="str">
        <f>VLOOKUP(Tabla1[[#This Row],[Estado]],Tabla3[#All],2,0)</f>
        <v>Norte</v>
      </c>
    </row>
    <row r="162" spans="1:8" ht="15.75" customHeight="1" x14ac:dyDescent="0.25">
      <c r="A162" s="1">
        <v>200160</v>
      </c>
      <c r="B162" s="2">
        <v>45775</v>
      </c>
      <c r="C162" s="1">
        <v>17</v>
      </c>
      <c r="D162" s="1" t="s">
        <v>11</v>
      </c>
      <c r="E162" s="1">
        <v>739</v>
      </c>
      <c r="F162" t="str">
        <f>VLOOKUP(Tabla1[[#This Row],[IDProducto]],producto!$A$1:$C$33,2,FALSE)</f>
        <v>Producto_17</v>
      </c>
      <c r="G162" t="str">
        <f>VLOOKUP(Tabla1[[#This Row],[IDProducto]],producto!$A$1:$C$33,3,FALSE)</f>
        <v>Ropa</v>
      </c>
      <c r="H162" s="6" t="str">
        <f>VLOOKUP(Tabla1[[#This Row],[Estado]],Tabla3[#All],2,0)</f>
        <v>Occidente</v>
      </c>
    </row>
    <row r="163" spans="1:8" ht="15.75" customHeight="1" x14ac:dyDescent="0.25">
      <c r="A163" s="1">
        <v>200161</v>
      </c>
      <c r="B163" s="2">
        <v>45734</v>
      </c>
      <c r="C163" s="1">
        <v>3</v>
      </c>
      <c r="D163" s="1" t="s">
        <v>11</v>
      </c>
      <c r="E163" s="1">
        <v>671</v>
      </c>
      <c r="F163" t="str">
        <f>VLOOKUP(Tabla1[[#This Row],[IDProducto]],producto!$A$1:$C$33,2,FALSE)</f>
        <v>Producto_3</v>
      </c>
      <c r="G163" t="str">
        <f>VLOOKUP(Tabla1[[#This Row],[IDProducto]],producto!$A$1:$C$33,3,FALSE)</f>
        <v>Deportes</v>
      </c>
      <c r="H163" s="6" t="str">
        <f>VLOOKUP(Tabla1[[#This Row],[Estado]],Tabla3[#All],2,0)</f>
        <v>Occidente</v>
      </c>
    </row>
    <row r="164" spans="1:8" ht="15.75" customHeight="1" x14ac:dyDescent="0.25">
      <c r="A164" s="1">
        <v>200162</v>
      </c>
      <c r="B164" s="2">
        <v>45794</v>
      </c>
      <c r="C164" s="1">
        <v>12</v>
      </c>
      <c r="D164" s="1" t="s">
        <v>6</v>
      </c>
      <c r="E164" s="1">
        <v>1572</v>
      </c>
      <c r="F164" t="str">
        <f>VLOOKUP(Tabla1[[#This Row],[IDProducto]],producto!$A$1:$C$33,2,FALSE)</f>
        <v>Producto_12</v>
      </c>
      <c r="G164" t="str">
        <f>VLOOKUP(Tabla1[[#This Row],[IDProducto]],producto!$A$1:$C$33,3,FALSE)</f>
        <v>Hogar</v>
      </c>
      <c r="H164" s="6" t="str">
        <f>VLOOKUP(Tabla1[[#This Row],[Estado]],Tabla3[#All],2,0)</f>
        <v>Occidente</v>
      </c>
    </row>
    <row r="165" spans="1:8" ht="15.75" customHeight="1" x14ac:dyDescent="0.25">
      <c r="A165" s="1">
        <v>200163</v>
      </c>
      <c r="B165" s="2">
        <v>45765</v>
      </c>
      <c r="C165" s="1">
        <v>8</v>
      </c>
      <c r="D165" s="1" t="s">
        <v>12</v>
      </c>
      <c r="E165" s="1">
        <v>741</v>
      </c>
      <c r="F165" t="str">
        <f>VLOOKUP(Tabla1[[#This Row],[IDProducto]],producto!$A$1:$C$33,2,FALSE)</f>
        <v>Producto_8</v>
      </c>
      <c r="G165" t="str">
        <f>VLOOKUP(Tabla1[[#This Row],[IDProducto]],producto!$A$1:$C$33,3,FALSE)</f>
        <v>Electrónica</v>
      </c>
      <c r="H165" s="6" t="str">
        <f>VLOOKUP(Tabla1[[#This Row],[Estado]],Tabla3[#All],2,0)</f>
        <v>Centro</v>
      </c>
    </row>
    <row r="166" spans="1:8" ht="15.75" customHeight="1" x14ac:dyDescent="0.25">
      <c r="A166" s="1">
        <v>200164</v>
      </c>
      <c r="B166" s="2">
        <v>45771</v>
      </c>
      <c r="C166" s="1">
        <v>27</v>
      </c>
      <c r="D166" s="1" t="s">
        <v>8</v>
      </c>
      <c r="E166" s="1">
        <v>202</v>
      </c>
      <c r="F166" t="str">
        <f>VLOOKUP(Tabla1[[#This Row],[IDProducto]],producto!$A$1:$C$33,2,FALSE)</f>
        <v>Producto_27</v>
      </c>
      <c r="G166" t="str">
        <f>VLOOKUP(Tabla1[[#This Row],[IDProducto]],producto!$A$1:$C$33,3,FALSE)</f>
        <v>Electrónica</v>
      </c>
      <c r="H166" s="6" t="str">
        <f>VLOOKUP(Tabla1[[#This Row],[Estado]],Tabla3[#All],2,0)</f>
        <v>Norte</v>
      </c>
    </row>
    <row r="167" spans="1:8" ht="15.75" customHeight="1" x14ac:dyDescent="0.25">
      <c r="A167" s="1">
        <v>200165</v>
      </c>
      <c r="B167" s="2">
        <v>45794</v>
      </c>
      <c r="C167" s="1">
        <v>18</v>
      </c>
      <c r="D167" s="1" t="s">
        <v>5</v>
      </c>
      <c r="E167" s="1">
        <v>1367</v>
      </c>
      <c r="F167" t="str">
        <f>VLOOKUP(Tabla1[[#This Row],[IDProducto]],producto!$A$1:$C$33,2,FALSE)</f>
        <v>Producto_18</v>
      </c>
      <c r="G167" t="str">
        <f>VLOOKUP(Tabla1[[#This Row],[IDProducto]],producto!$A$1:$C$33,3,FALSE)</f>
        <v>Ropa</v>
      </c>
      <c r="H167" s="6" t="str">
        <f>VLOOKUP(Tabla1[[#This Row],[Estado]],Tabla3[#All],2,0)</f>
        <v>Centro</v>
      </c>
    </row>
    <row r="168" spans="1:8" ht="15.75" customHeight="1" x14ac:dyDescent="0.25">
      <c r="A168" s="1">
        <v>200166</v>
      </c>
      <c r="B168" s="2">
        <v>45821</v>
      </c>
      <c r="C168" s="1">
        <v>24</v>
      </c>
      <c r="D168" s="1" t="s">
        <v>7</v>
      </c>
      <c r="E168" s="1">
        <v>511</v>
      </c>
      <c r="F168" t="str">
        <f>VLOOKUP(Tabla1[[#This Row],[IDProducto]],producto!$A$1:$C$33,2,FALSE)</f>
        <v>Producto_24</v>
      </c>
      <c r="G168" t="str">
        <f>VLOOKUP(Tabla1[[#This Row],[IDProducto]],producto!$A$1:$C$33,3,FALSE)</f>
        <v>Ropa</v>
      </c>
      <c r="H168" s="6" t="str">
        <f>VLOOKUP(Tabla1[[#This Row],[Estado]],Tabla3[#All],2,0)</f>
        <v>Norte</v>
      </c>
    </row>
    <row r="169" spans="1:8" ht="15.75" customHeight="1" x14ac:dyDescent="0.25">
      <c r="A169" s="1">
        <v>200167</v>
      </c>
      <c r="B169" s="2">
        <v>45744</v>
      </c>
      <c r="C169" s="1">
        <v>28</v>
      </c>
      <c r="D169" s="1" t="s">
        <v>8</v>
      </c>
      <c r="E169" s="1">
        <v>737</v>
      </c>
      <c r="F169" t="str">
        <f>VLOOKUP(Tabla1[[#This Row],[IDProducto]],producto!$A$1:$C$33,2,FALSE)</f>
        <v>Producto_28</v>
      </c>
      <c r="G169" t="str">
        <f>VLOOKUP(Tabla1[[#This Row],[IDProducto]],producto!$A$1:$C$33,3,FALSE)</f>
        <v>Hogar</v>
      </c>
      <c r="H169" s="6" t="str">
        <f>VLOOKUP(Tabla1[[#This Row],[Estado]],Tabla3[#All],2,0)</f>
        <v>Norte</v>
      </c>
    </row>
    <row r="170" spans="1:8" ht="15.75" customHeight="1" x14ac:dyDescent="0.25">
      <c r="A170" s="1">
        <v>200168</v>
      </c>
      <c r="B170" s="2">
        <v>45803</v>
      </c>
      <c r="C170" s="1">
        <v>9</v>
      </c>
      <c r="D170" s="1" t="s">
        <v>8</v>
      </c>
      <c r="E170" s="1">
        <v>930</v>
      </c>
      <c r="F170" t="str">
        <f>VLOOKUP(Tabla1[[#This Row],[IDProducto]],producto!$A$1:$C$33,2,FALSE)</f>
        <v>Producto_9</v>
      </c>
      <c r="G170" t="str">
        <f>VLOOKUP(Tabla1[[#This Row],[IDProducto]],producto!$A$1:$C$33,3,FALSE)</f>
        <v>Electrónica</v>
      </c>
      <c r="H170" s="6" t="str">
        <f>VLOOKUP(Tabla1[[#This Row],[Estado]],Tabla3[#All],2,0)</f>
        <v>Norte</v>
      </c>
    </row>
    <row r="171" spans="1:8" ht="15.75" customHeight="1" x14ac:dyDescent="0.25">
      <c r="A171" s="1">
        <v>200169</v>
      </c>
      <c r="B171" s="2">
        <v>45677</v>
      </c>
      <c r="C171" s="1">
        <v>13</v>
      </c>
      <c r="D171" s="1" t="s">
        <v>11</v>
      </c>
      <c r="E171" s="1">
        <v>635</v>
      </c>
      <c r="F171" t="str">
        <f>VLOOKUP(Tabla1[[#This Row],[IDProducto]],producto!$A$1:$C$33,2,FALSE)</f>
        <v>Producto_13</v>
      </c>
      <c r="G171" t="str">
        <f>VLOOKUP(Tabla1[[#This Row],[IDProducto]],producto!$A$1:$C$33,3,FALSE)</f>
        <v>Deportes</v>
      </c>
      <c r="H171" s="6" t="str">
        <f>VLOOKUP(Tabla1[[#This Row],[Estado]],Tabla3[#All],2,0)</f>
        <v>Occidente</v>
      </c>
    </row>
    <row r="172" spans="1:8" ht="15.75" customHeight="1" x14ac:dyDescent="0.25">
      <c r="A172" s="1">
        <v>200170</v>
      </c>
      <c r="B172" s="2">
        <v>45767</v>
      </c>
      <c r="C172" s="1">
        <v>7</v>
      </c>
      <c r="D172" s="1" t="s">
        <v>6</v>
      </c>
      <c r="E172" s="1">
        <v>868</v>
      </c>
      <c r="F172" t="str">
        <f>VLOOKUP(Tabla1[[#This Row],[IDProducto]],producto!$A$1:$C$33,2,FALSE)</f>
        <v>Producto_7</v>
      </c>
      <c r="G172" t="str">
        <f>VLOOKUP(Tabla1[[#This Row],[IDProducto]],producto!$A$1:$C$33,3,FALSE)</f>
        <v>Ropa</v>
      </c>
      <c r="H172" s="6" t="str">
        <f>VLOOKUP(Tabla1[[#This Row],[Estado]],Tabla3[#All],2,0)</f>
        <v>Occidente</v>
      </c>
    </row>
    <row r="173" spans="1:8" ht="15.75" customHeight="1" x14ac:dyDescent="0.25">
      <c r="A173" s="1">
        <v>200171</v>
      </c>
      <c r="B173" s="2">
        <v>45761</v>
      </c>
      <c r="C173" s="1">
        <v>18</v>
      </c>
      <c r="D173" s="1" t="s">
        <v>9</v>
      </c>
      <c r="E173" s="1">
        <v>796</v>
      </c>
      <c r="F173" t="str">
        <f>VLOOKUP(Tabla1[[#This Row],[IDProducto]],producto!$A$1:$C$33,2,FALSE)</f>
        <v>Producto_18</v>
      </c>
      <c r="G173" t="str">
        <f>VLOOKUP(Tabla1[[#This Row],[IDProducto]],producto!$A$1:$C$33,3,FALSE)</f>
        <v>Ropa</v>
      </c>
      <c r="H173" s="6" t="str">
        <f>VLOOKUP(Tabla1[[#This Row],[Estado]],Tabla3[#All],2,0)</f>
        <v>Sur</v>
      </c>
    </row>
    <row r="174" spans="1:8" ht="15.75" customHeight="1" x14ac:dyDescent="0.25">
      <c r="A174" s="1">
        <v>200172</v>
      </c>
      <c r="B174" s="2">
        <v>45828</v>
      </c>
      <c r="C174" s="1">
        <v>4</v>
      </c>
      <c r="D174" s="1" t="s">
        <v>6</v>
      </c>
      <c r="E174" s="1">
        <v>947</v>
      </c>
      <c r="F174" t="str">
        <f>VLOOKUP(Tabla1[[#This Row],[IDProducto]],producto!$A$1:$C$33,2,FALSE)</f>
        <v>Producto_4</v>
      </c>
      <c r="G174" t="str">
        <f>VLOOKUP(Tabla1[[#This Row],[IDProducto]],producto!$A$1:$C$33,3,FALSE)</f>
        <v>Deportes</v>
      </c>
      <c r="H174" s="6" t="str">
        <f>VLOOKUP(Tabla1[[#This Row],[Estado]],Tabla3[#All],2,0)</f>
        <v>Occidente</v>
      </c>
    </row>
    <row r="175" spans="1:8" ht="15.75" customHeight="1" x14ac:dyDescent="0.25">
      <c r="A175" s="1">
        <v>200173</v>
      </c>
      <c r="B175" s="2">
        <v>45773</v>
      </c>
      <c r="C175" s="1">
        <v>17</v>
      </c>
      <c r="D175" s="1" t="s">
        <v>10</v>
      </c>
      <c r="E175" s="1">
        <v>1798</v>
      </c>
      <c r="F175" t="str">
        <f>VLOOKUP(Tabla1[[#This Row],[IDProducto]],producto!$A$1:$C$33,2,FALSE)</f>
        <v>Producto_17</v>
      </c>
      <c r="G175" t="str">
        <f>VLOOKUP(Tabla1[[#This Row],[IDProducto]],producto!$A$1:$C$33,3,FALSE)</f>
        <v>Ropa</v>
      </c>
      <c r="H175" s="6" t="str">
        <f>VLOOKUP(Tabla1[[#This Row],[Estado]],Tabla3[#All],2,0)</f>
        <v>Centro</v>
      </c>
    </row>
    <row r="176" spans="1:8" ht="15.75" customHeight="1" x14ac:dyDescent="0.25">
      <c r="A176" s="1">
        <v>200174</v>
      </c>
      <c r="B176" s="2">
        <v>45780</v>
      </c>
      <c r="C176" s="1">
        <v>4</v>
      </c>
      <c r="D176" s="1" t="s">
        <v>8</v>
      </c>
      <c r="E176" s="1">
        <v>1638</v>
      </c>
      <c r="F176" t="str">
        <f>VLOOKUP(Tabla1[[#This Row],[IDProducto]],producto!$A$1:$C$33,2,FALSE)</f>
        <v>Producto_4</v>
      </c>
      <c r="G176" t="str">
        <f>VLOOKUP(Tabla1[[#This Row],[IDProducto]],producto!$A$1:$C$33,3,FALSE)</f>
        <v>Deportes</v>
      </c>
      <c r="H176" s="6" t="str">
        <f>VLOOKUP(Tabla1[[#This Row],[Estado]],Tabla3[#All],2,0)</f>
        <v>Norte</v>
      </c>
    </row>
    <row r="177" spans="1:8" ht="15.75" customHeight="1" x14ac:dyDescent="0.25">
      <c r="A177" s="1">
        <v>200175</v>
      </c>
      <c r="B177" s="2">
        <v>45696</v>
      </c>
      <c r="C177" s="1">
        <v>25</v>
      </c>
      <c r="D177" s="1" t="s">
        <v>12</v>
      </c>
      <c r="E177" s="1">
        <v>1021</v>
      </c>
      <c r="F177" t="str">
        <f>VLOOKUP(Tabla1[[#This Row],[IDProducto]],producto!$A$1:$C$33,2,FALSE)</f>
        <v>Producto_25</v>
      </c>
      <c r="G177" t="str">
        <f>VLOOKUP(Tabla1[[#This Row],[IDProducto]],producto!$A$1:$C$33,3,FALSE)</f>
        <v>Electrónica</v>
      </c>
      <c r="H177" s="6" t="str">
        <f>VLOOKUP(Tabla1[[#This Row],[Estado]],Tabla3[#All],2,0)</f>
        <v>Centro</v>
      </c>
    </row>
    <row r="178" spans="1:8" ht="15.75" customHeight="1" x14ac:dyDescent="0.25">
      <c r="A178" s="1">
        <v>200176</v>
      </c>
      <c r="B178" s="2">
        <v>45740</v>
      </c>
      <c r="C178" s="1">
        <v>32</v>
      </c>
      <c r="D178" s="1" t="s">
        <v>11</v>
      </c>
      <c r="E178" s="1">
        <v>225</v>
      </c>
      <c r="F178" t="str">
        <f>VLOOKUP(Tabla1[[#This Row],[IDProducto]],producto!$A$1:$C$33,2,FALSE)</f>
        <v>Producto_32</v>
      </c>
      <c r="G178" t="str">
        <f>VLOOKUP(Tabla1[[#This Row],[IDProducto]],producto!$A$1:$C$33,3,FALSE)</f>
        <v>Hogar</v>
      </c>
      <c r="H178" s="6" t="str">
        <f>VLOOKUP(Tabla1[[#This Row],[Estado]],Tabla3[#All],2,0)</f>
        <v>Occidente</v>
      </c>
    </row>
    <row r="179" spans="1:8" ht="15.75" customHeight="1" x14ac:dyDescent="0.25">
      <c r="A179" s="1">
        <v>200177</v>
      </c>
      <c r="B179" s="2">
        <v>45676</v>
      </c>
      <c r="C179" s="1">
        <v>23</v>
      </c>
      <c r="D179" s="1" t="s">
        <v>6</v>
      </c>
      <c r="E179" s="1">
        <v>1186</v>
      </c>
      <c r="F179" t="str">
        <f>VLOOKUP(Tabla1[[#This Row],[IDProducto]],producto!$A$1:$C$33,2,FALSE)</f>
        <v>Producto_23</v>
      </c>
      <c r="G179" t="str">
        <f>VLOOKUP(Tabla1[[#This Row],[IDProducto]],producto!$A$1:$C$33,3,FALSE)</f>
        <v>Deportes</v>
      </c>
      <c r="H179" s="6" t="str">
        <f>VLOOKUP(Tabla1[[#This Row],[Estado]],Tabla3[#All],2,0)</f>
        <v>Occidente</v>
      </c>
    </row>
    <row r="180" spans="1:8" ht="15.75" customHeight="1" x14ac:dyDescent="0.25">
      <c r="A180" s="1">
        <v>200178</v>
      </c>
      <c r="B180" s="2">
        <v>45749</v>
      </c>
      <c r="C180" s="1">
        <v>15</v>
      </c>
      <c r="D180" s="1" t="s">
        <v>9</v>
      </c>
      <c r="E180" s="1">
        <v>689</v>
      </c>
      <c r="F180" t="str">
        <f>VLOOKUP(Tabla1[[#This Row],[IDProducto]],producto!$A$1:$C$33,2,FALSE)</f>
        <v>Producto_15</v>
      </c>
      <c r="G180" t="str">
        <f>VLOOKUP(Tabla1[[#This Row],[IDProducto]],producto!$A$1:$C$33,3,FALSE)</f>
        <v>Hogar</v>
      </c>
      <c r="H180" s="6" t="str">
        <f>VLOOKUP(Tabla1[[#This Row],[Estado]],Tabla3[#All],2,0)</f>
        <v>Sur</v>
      </c>
    </row>
    <row r="181" spans="1:8" ht="15.75" customHeight="1" x14ac:dyDescent="0.25">
      <c r="A181" s="1">
        <v>200179</v>
      </c>
      <c r="B181" s="2">
        <v>45784</v>
      </c>
      <c r="C181" s="1">
        <v>23</v>
      </c>
      <c r="D181" s="1" t="s">
        <v>10</v>
      </c>
      <c r="E181" s="1">
        <v>1820</v>
      </c>
      <c r="F181" t="str">
        <f>VLOOKUP(Tabla1[[#This Row],[IDProducto]],producto!$A$1:$C$33,2,FALSE)</f>
        <v>Producto_23</v>
      </c>
      <c r="G181" t="str">
        <f>VLOOKUP(Tabla1[[#This Row],[IDProducto]],producto!$A$1:$C$33,3,FALSE)</f>
        <v>Deportes</v>
      </c>
      <c r="H181" s="6" t="str">
        <f>VLOOKUP(Tabla1[[#This Row],[Estado]],Tabla3[#All],2,0)</f>
        <v>Centro</v>
      </c>
    </row>
    <row r="182" spans="1:8" ht="15.75" customHeight="1" x14ac:dyDescent="0.25">
      <c r="A182" s="1">
        <v>200180</v>
      </c>
      <c r="B182" s="2">
        <v>45777</v>
      </c>
      <c r="C182" s="1">
        <v>4</v>
      </c>
      <c r="D182" s="1" t="s">
        <v>6</v>
      </c>
      <c r="E182" s="1">
        <v>1508</v>
      </c>
      <c r="F182" t="str">
        <f>VLOOKUP(Tabla1[[#This Row],[IDProducto]],producto!$A$1:$C$33,2,FALSE)</f>
        <v>Producto_4</v>
      </c>
      <c r="G182" t="str">
        <f>VLOOKUP(Tabla1[[#This Row],[IDProducto]],producto!$A$1:$C$33,3,FALSE)</f>
        <v>Deportes</v>
      </c>
      <c r="H182" s="6" t="str">
        <f>VLOOKUP(Tabla1[[#This Row],[Estado]],Tabla3[#All],2,0)</f>
        <v>Occidente</v>
      </c>
    </row>
    <row r="183" spans="1:8" ht="15.75" customHeight="1" x14ac:dyDescent="0.25">
      <c r="A183" s="1">
        <v>200181</v>
      </c>
      <c r="B183" s="2">
        <v>45725</v>
      </c>
      <c r="C183" s="1">
        <v>26</v>
      </c>
      <c r="D183" s="1" t="s">
        <v>10</v>
      </c>
      <c r="E183" s="1">
        <v>1869</v>
      </c>
      <c r="F183" t="str">
        <f>VLOOKUP(Tabla1[[#This Row],[IDProducto]],producto!$A$1:$C$33,2,FALSE)</f>
        <v>Producto_26</v>
      </c>
      <c r="G183" t="str">
        <f>VLOOKUP(Tabla1[[#This Row],[IDProducto]],producto!$A$1:$C$33,3,FALSE)</f>
        <v>Hogar</v>
      </c>
      <c r="H183" s="6" t="str">
        <f>VLOOKUP(Tabla1[[#This Row],[Estado]],Tabla3[#All],2,0)</f>
        <v>Centro</v>
      </c>
    </row>
    <row r="184" spans="1:8" ht="15.75" customHeight="1" x14ac:dyDescent="0.25">
      <c r="A184" s="1">
        <v>200182</v>
      </c>
      <c r="B184" s="2">
        <v>45775</v>
      </c>
      <c r="C184" s="1">
        <v>32</v>
      </c>
      <c r="D184" s="1" t="s">
        <v>6</v>
      </c>
      <c r="E184" s="1">
        <v>353</v>
      </c>
      <c r="F184" t="str">
        <f>VLOOKUP(Tabla1[[#This Row],[IDProducto]],producto!$A$1:$C$33,2,FALSE)</f>
        <v>Producto_32</v>
      </c>
      <c r="G184" t="str">
        <f>VLOOKUP(Tabla1[[#This Row],[IDProducto]],producto!$A$1:$C$33,3,FALSE)</f>
        <v>Hogar</v>
      </c>
      <c r="H184" s="6" t="str">
        <f>VLOOKUP(Tabla1[[#This Row],[Estado]],Tabla3[#All],2,0)</f>
        <v>Occidente</v>
      </c>
    </row>
    <row r="185" spans="1:8" ht="15.75" customHeight="1" x14ac:dyDescent="0.25">
      <c r="A185" s="1">
        <v>200183</v>
      </c>
      <c r="B185" s="2">
        <v>45836</v>
      </c>
      <c r="C185" s="1">
        <v>24</v>
      </c>
      <c r="D185" s="1" t="s">
        <v>8</v>
      </c>
      <c r="E185" s="1">
        <v>619</v>
      </c>
      <c r="F185" t="str">
        <f>VLOOKUP(Tabla1[[#This Row],[IDProducto]],producto!$A$1:$C$33,2,FALSE)</f>
        <v>Producto_24</v>
      </c>
      <c r="G185" t="str">
        <f>VLOOKUP(Tabla1[[#This Row],[IDProducto]],producto!$A$1:$C$33,3,FALSE)</f>
        <v>Ropa</v>
      </c>
      <c r="H185" s="6" t="str">
        <f>VLOOKUP(Tabla1[[#This Row],[Estado]],Tabla3[#All],2,0)</f>
        <v>Norte</v>
      </c>
    </row>
    <row r="186" spans="1:8" ht="15.75" customHeight="1" x14ac:dyDescent="0.25">
      <c r="A186" s="1">
        <v>200184</v>
      </c>
      <c r="B186" s="2">
        <v>45754</v>
      </c>
      <c r="C186" s="1">
        <v>11</v>
      </c>
      <c r="D186" s="1" t="s">
        <v>7</v>
      </c>
      <c r="E186" s="1">
        <v>864</v>
      </c>
      <c r="F186" t="str">
        <f>VLOOKUP(Tabla1[[#This Row],[IDProducto]],producto!$A$1:$C$33,2,FALSE)</f>
        <v>Producto_11</v>
      </c>
      <c r="G186" t="str">
        <f>VLOOKUP(Tabla1[[#This Row],[IDProducto]],producto!$A$1:$C$33,3,FALSE)</f>
        <v>Ropa</v>
      </c>
      <c r="H186" s="6" t="str">
        <f>VLOOKUP(Tabla1[[#This Row],[Estado]],Tabla3[#All],2,0)</f>
        <v>Norte</v>
      </c>
    </row>
    <row r="187" spans="1:8" ht="15.75" customHeight="1" x14ac:dyDescent="0.25">
      <c r="A187" s="1">
        <v>200185</v>
      </c>
      <c r="B187" s="2">
        <v>45808</v>
      </c>
      <c r="C187" s="1">
        <v>1</v>
      </c>
      <c r="D187" s="1" t="s">
        <v>11</v>
      </c>
      <c r="E187" s="1">
        <v>920</v>
      </c>
      <c r="F187" t="str">
        <f>VLOOKUP(Tabla1[[#This Row],[IDProducto]],producto!$A$1:$C$33,2,FALSE)</f>
        <v>Producto_1</v>
      </c>
      <c r="G187" t="str">
        <f>VLOOKUP(Tabla1[[#This Row],[IDProducto]],producto!$A$1:$C$33,3,FALSE)</f>
        <v>Hogar</v>
      </c>
      <c r="H187" s="6" t="str">
        <f>VLOOKUP(Tabla1[[#This Row],[Estado]],Tabla3[#All],2,0)</f>
        <v>Occidente</v>
      </c>
    </row>
    <row r="188" spans="1:8" ht="15.75" customHeight="1" x14ac:dyDescent="0.25">
      <c r="A188" s="1">
        <v>200186</v>
      </c>
      <c r="B188" s="2">
        <v>45808</v>
      </c>
      <c r="C188" s="1">
        <v>24</v>
      </c>
      <c r="D188" s="1" t="s">
        <v>5</v>
      </c>
      <c r="E188" s="1">
        <v>488</v>
      </c>
      <c r="F188" t="str">
        <f>VLOOKUP(Tabla1[[#This Row],[IDProducto]],producto!$A$1:$C$33,2,FALSE)</f>
        <v>Producto_24</v>
      </c>
      <c r="G188" t="str">
        <f>VLOOKUP(Tabla1[[#This Row],[IDProducto]],producto!$A$1:$C$33,3,FALSE)</f>
        <v>Ropa</v>
      </c>
      <c r="H188" s="6" t="str">
        <f>VLOOKUP(Tabla1[[#This Row],[Estado]],Tabla3[#All],2,0)</f>
        <v>Centro</v>
      </c>
    </row>
    <row r="189" spans="1:8" ht="15.75" customHeight="1" x14ac:dyDescent="0.25">
      <c r="A189" s="1">
        <v>200187</v>
      </c>
      <c r="B189" s="2">
        <v>45700</v>
      </c>
      <c r="C189" s="1">
        <v>26</v>
      </c>
      <c r="D189" s="1" t="s">
        <v>11</v>
      </c>
      <c r="E189" s="1">
        <v>1497</v>
      </c>
      <c r="F189" t="str">
        <f>VLOOKUP(Tabla1[[#This Row],[IDProducto]],producto!$A$1:$C$33,2,FALSE)</f>
        <v>Producto_26</v>
      </c>
      <c r="G189" t="str">
        <f>VLOOKUP(Tabla1[[#This Row],[IDProducto]],producto!$A$1:$C$33,3,FALSE)</f>
        <v>Hogar</v>
      </c>
      <c r="H189" s="6" t="str">
        <f>VLOOKUP(Tabla1[[#This Row],[Estado]],Tabla3[#All],2,0)</f>
        <v>Occidente</v>
      </c>
    </row>
    <row r="190" spans="1:8" ht="15.75" customHeight="1" x14ac:dyDescent="0.25">
      <c r="A190" s="1">
        <v>200188</v>
      </c>
      <c r="B190" s="2">
        <v>45693</v>
      </c>
      <c r="C190" s="1">
        <v>6</v>
      </c>
      <c r="D190" s="1" t="s">
        <v>9</v>
      </c>
      <c r="E190" s="1">
        <v>1663</v>
      </c>
      <c r="F190" t="str">
        <f>VLOOKUP(Tabla1[[#This Row],[IDProducto]],producto!$A$1:$C$33,2,FALSE)</f>
        <v>Producto_6</v>
      </c>
      <c r="G190" t="str">
        <f>VLOOKUP(Tabla1[[#This Row],[IDProducto]],producto!$A$1:$C$33,3,FALSE)</f>
        <v>Electrónica</v>
      </c>
      <c r="H190" s="6" t="str">
        <f>VLOOKUP(Tabla1[[#This Row],[Estado]],Tabla3[#All],2,0)</f>
        <v>Sur</v>
      </c>
    </row>
    <row r="191" spans="1:8" ht="15.75" customHeight="1" x14ac:dyDescent="0.25">
      <c r="A191" s="1">
        <v>200189</v>
      </c>
      <c r="B191" s="2">
        <v>45749</v>
      </c>
      <c r="C191" s="1">
        <v>9</v>
      </c>
      <c r="D191" s="1" t="s">
        <v>5</v>
      </c>
      <c r="E191" s="1">
        <v>500</v>
      </c>
      <c r="F191" t="str">
        <f>VLOOKUP(Tabla1[[#This Row],[IDProducto]],producto!$A$1:$C$33,2,FALSE)</f>
        <v>Producto_9</v>
      </c>
      <c r="G191" t="str">
        <f>VLOOKUP(Tabla1[[#This Row],[IDProducto]],producto!$A$1:$C$33,3,FALSE)</f>
        <v>Electrónica</v>
      </c>
      <c r="H191" s="6" t="str">
        <f>VLOOKUP(Tabla1[[#This Row],[Estado]],Tabla3[#All],2,0)</f>
        <v>Centro</v>
      </c>
    </row>
    <row r="192" spans="1:8" ht="15.75" customHeight="1" x14ac:dyDescent="0.25">
      <c r="A192" s="1">
        <v>200190</v>
      </c>
      <c r="B192" s="2">
        <v>45823</v>
      </c>
      <c r="C192" s="1">
        <v>13</v>
      </c>
      <c r="D192" s="1" t="s">
        <v>11</v>
      </c>
      <c r="E192" s="1">
        <v>1190</v>
      </c>
      <c r="F192" t="str">
        <f>VLOOKUP(Tabla1[[#This Row],[IDProducto]],producto!$A$1:$C$33,2,FALSE)</f>
        <v>Producto_13</v>
      </c>
      <c r="G192" t="str">
        <f>VLOOKUP(Tabla1[[#This Row],[IDProducto]],producto!$A$1:$C$33,3,FALSE)</f>
        <v>Deportes</v>
      </c>
      <c r="H192" s="6" t="str">
        <f>VLOOKUP(Tabla1[[#This Row],[Estado]],Tabla3[#All],2,0)</f>
        <v>Occidente</v>
      </c>
    </row>
    <row r="193" spans="1:8" ht="15.75" customHeight="1" x14ac:dyDescent="0.25">
      <c r="A193" s="1">
        <v>200191</v>
      </c>
      <c r="B193" s="2">
        <v>45698</v>
      </c>
      <c r="C193" s="1">
        <v>18</v>
      </c>
      <c r="D193" s="1" t="s">
        <v>9</v>
      </c>
      <c r="E193" s="1">
        <v>1935</v>
      </c>
      <c r="F193" t="str">
        <f>VLOOKUP(Tabla1[[#This Row],[IDProducto]],producto!$A$1:$C$33,2,FALSE)</f>
        <v>Producto_18</v>
      </c>
      <c r="G193" t="str">
        <f>VLOOKUP(Tabla1[[#This Row],[IDProducto]],producto!$A$1:$C$33,3,FALSE)</f>
        <v>Ropa</v>
      </c>
      <c r="H193" s="6" t="str">
        <f>VLOOKUP(Tabla1[[#This Row],[Estado]],Tabla3[#All],2,0)</f>
        <v>Sur</v>
      </c>
    </row>
    <row r="194" spans="1:8" ht="15.75" customHeight="1" x14ac:dyDescent="0.25">
      <c r="A194" s="1">
        <v>200192</v>
      </c>
      <c r="B194" s="2">
        <v>45834</v>
      </c>
      <c r="C194" s="1">
        <v>17</v>
      </c>
      <c r="D194" s="1" t="s">
        <v>9</v>
      </c>
      <c r="E194" s="1">
        <v>1505</v>
      </c>
      <c r="F194" t="str">
        <f>VLOOKUP(Tabla1[[#This Row],[IDProducto]],producto!$A$1:$C$33,2,FALSE)</f>
        <v>Producto_17</v>
      </c>
      <c r="G194" t="str">
        <f>VLOOKUP(Tabla1[[#This Row],[IDProducto]],producto!$A$1:$C$33,3,FALSE)</f>
        <v>Ropa</v>
      </c>
      <c r="H194" s="6" t="str">
        <f>VLOOKUP(Tabla1[[#This Row],[Estado]],Tabla3[#All],2,0)</f>
        <v>Sur</v>
      </c>
    </row>
    <row r="195" spans="1:8" ht="15.75" customHeight="1" x14ac:dyDescent="0.25">
      <c r="A195" s="1">
        <v>200193</v>
      </c>
      <c r="B195" s="2">
        <v>45703</v>
      </c>
      <c r="C195" s="1">
        <v>18</v>
      </c>
      <c r="D195" s="1" t="s">
        <v>11</v>
      </c>
      <c r="E195" s="1">
        <v>918</v>
      </c>
      <c r="F195" t="str">
        <f>VLOOKUP(Tabla1[[#This Row],[IDProducto]],producto!$A$1:$C$33,2,FALSE)</f>
        <v>Producto_18</v>
      </c>
      <c r="G195" t="str">
        <f>VLOOKUP(Tabla1[[#This Row],[IDProducto]],producto!$A$1:$C$33,3,FALSE)</f>
        <v>Ropa</v>
      </c>
      <c r="H195" s="6" t="str">
        <f>VLOOKUP(Tabla1[[#This Row],[Estado]],Tabla3[#All],2,0)</f>
        <v>Occidente</v>
      </c>
    </row>
    <row r="196" spans="1:8" ht="15.75" customHeight="1" x14ac:dyDescent="0.25">
      <c r="A196" s="1">
        <v>200194</v>
      </c>
      <c r="B196" s="2">
        <v>45747</v>
      </c>
      <c r="C196" s="1">
        <v>5</v>
      </c>
      <c r="D196" s="1" t="s">
        <v>5</v>
      </c>
      <c r="E196" s="1">
        <v>1947</v>
      </c>
      <c r="F196" t="str">
        <f>VLOOKUP(Tabla1[[#This Row],[IDProducto]],producto!$A$1:$C$33,2,FALSE)</f>
        <v>Producto_5</v>
      </c>
      <c r="G196" t="str">
        <f>VLOOKUP(Tabla1[[#This Row],[IDProducto]],producto!$A$1:$C$33,3,FALSE)</f>
        <v>Hogar</v>
      </c>
      <c r="H196" s="6" t="str">
        <f>VLOOKUP(Tabla1[[#This Row],[Estado]],Tabla3[#All],2,0)</f>
        <v>Centro</v>
      </c>
    </row>
    <row r="197" spans="1:8" ht="15.75" customHeight="1" x14ac:dyDescent="0.25">
      <c r="A197" s="1">
        <v>200195</v>
      </c>
      <c r="B197" s="2">
        <v>45665</v>
      </c>
      <c r="C197" s="1">
        <v>4</v>
      </c>
      <c r="D197" s="1" t="s">
        <v>12</v>
      </c>
      <c r="E197" s="1">
        <v>104</v>
      </c>
      <c r="F197" t="str">
        <f>VLOOKUP(Tabla1[[#This Row],[IDProducto]],producto!$A$1:$C$33,2,FALSE)</f>
        <v>Producto_4</v>
      </c>
      <c r="G197" t="str">
        <f>VLOOKUP(Tabla1[[#This Row],[IDProducto]],producto!$A$1:$C$33,3,FALSE)</f>
        <v>Deportes</v>
      </c>
      <c r="H197" s="6" t="str">
        <f>VLOOKUP(Tabla1[[#This Row],[Estado]],Tabla3[#All],2,0)</f>
        <v>Centro</v>
      </c>
    </row>
    <row r="198" spans="1:8" ht="15.75" customHeight="1" x14ac:dyDescent="0.25">
      <c r="A198" s="1">
        <v>200196</v>
      </c>
      <c r="B198" s="2">
        <v>45811</v>
      </c>
      <c r="C198" s="1">
        <v>21</v>
      </c>
      <c r="D198" s="1" t="s">
        <v>6</v>
      </c>
      <c r="E198" s="1">
        <v>356</v>
      </c>
      <c r="F198" t="str">
        <f>VLOOKUP(Tabla1[[#This Row],[IDProducto]],producto!$A$1:$C$33,2,FALSE)</f>
        <v>Producto_21</v>
      </c>
      <c r="G198" t="str">
        <f>VLOOKUP(Tabla1[[#This Row],[IDProducto]],producto!$A$1:$C$33,3,FALSE)</f>
        <v>Electrónica</v>
      </c>
      <c r="H198" s="6" t="str">
        <f>VLOOKUP(Tabla1[[#This Row],[Estado]],Tabla3[#All],2,0)</f>
        <v>Occidente</v>
      </c>
    </row>
    <row r="199" spans="1:8" ht="15.75" customHeight="1" x14ac:dyDescent="0.25">
      <c r="A199" s="1">
        <v>200197</v>
      </c>
      <c r="B199" s="2">
        <v>45681</v>
      </c>
      <c r="C199" s="1">
        <v>1</v>
      </c>
      <c r="D199" s="1" t="s">
        <v>7</v>
      </c>
      <c r="E199" s="1">
        <v>1554</v>
      </c>
      <c r="F199" t="str">
        <f>VLOOKUP(Tabla1[[#This Row],[IDProducto]],producto!$A$1:$C$33,2,FALSE)</f>
        <v>Producto_1</v>
      </c>
      <c r="G199" t="str">
        <f>VLOOKUP(Tabla1[[#This Row],[IDProducto]],producto!$A$1:$C$33,3,FALSE)</f>
        <v>Hogar</v>
      </c>
      <c r="H199" s="6" t="str">
        <f>VLOOKUP(Tabla1[[#This Row],[Estado]],Tabla3[#All],2,0)</f>
        <v>Norte</v>
      </c>
    </row>
    <row r="200" spans="1:8" ht="15.75" customHeight="1" x14ac:dyDescent="0.25">
      <c r="A200" s="1">
        <v>200198</v>
      </c>
      <c r="B200" s="2">
        <v>45835</v>
      </c>
      <c r="C200" s="1">
        <v>12</v>
      </c>
      <c r="D200" s="1" t="s">
        <v>11</v>
      </c>
      <c r="E200" s="1">
        <v>933</v>
      </c>
      <c r="F200" t="str">
        <f>VLOOKUP(Tabla1[[#This Row],[IDProducto]],producto!$A$1:$C$33,2,FALSE)</f>
        <v>Producto_12</v>
      </c>
      <c r="G200" t="str">
        <f>VLOOKUP(Tabla1[[#This Row],[IDProducto]],producto!$A$1:$C$33,3,FALSE)</f>
        <v>Hogar</v>
      </c>
      <c r="H200" s="6" t="str">
        <f>VLOOKUP(Tabla1[[#This Row],[Estado]],Tabla3[#All],2,0)</f>
        <v>Occidente</v>
      </c>
    </row>
    <row r="201" spans="1:8" ht="15.75" customHeight="1" x14ac:dyDescent="0.25">
      <c r="A201" s="1">
        <v>200199</v>
      </c>
      <c r="B201" s="2">
        <v>45779</v>
      </c>
      <c r="C201" s="1">
        <v>27</v>
      </c>
      <c r="D201" s="1" t="s">
        <v>8</v>
      </c>
      <c r="E201" s="1">
        <v>1097</v>
      </c>
      <c r="F201" t="str">
        <f>VLOOKUP(Tabla1[[#This Row],[IDProducto]],producto!$A$1:$C$33,2,FALSE)</f>
        <v>Producto_27</v>
      </c>
      <c r="G201" t="str">
        <f>VLOOKUP(Tabla1[[#This Row],[IDProducto]],producto!$A$1:$C$33,3,FALSE)</f>
        <v>Electrónica</v>
      </c>
      <c r="H201" s="6" t="str">
        <f>VLOOKUP(Tabla1[[#This Row],[Estado]],Tabla3[#All],2,0)</f>
        <v>Norte</v>
      </c>
    </row>
    <row r="202" spans="1:8" ht="15.75" customHeight="1" x14ac:dyDescent="0.25">
      <c r="A202" s="1">
        <v>200200</v>
      </c>
      <c r="B202" s="2">
        <v>45719</v>
      </c>
      <c r="C202" s="1">
        <v>11</v>
      </c>
      <c r="D202" s="1" t="s">
        <v>6</v>
      </c>
      <c r="E202" s="1">
        <v>1462</v>
      </c>
      <c r="F202" t="str">
        <f>VLOOKUP(Tabla1[[#This Row],[IDProducto]],producto!$A$1:$C$33,2,FALSE)</f>
        <v>Producto_11</v>
      </c>
      <c r="G202" t="str">
        <f>VLOOKUP(Tabla1[[#This Row],[IDProducto]],producto!$A$1:$C$33,3,FALSE)</f>
        <v>Ropa</v>
      </c>
      <c r="H202" s="6" t="str">
        <f>VLOOKUP(Tabla1[[#This Row],[Estado]],Tabla3[#All],2,0)</f>
        <v>Occidente</v>
      </c>
    </row>
    <row r="203" spans="1:8" ht="15.75" customHeight="1" x14ac:dyDescent="0.25">
      <c r="A203" s="1">
        <v>200201</v>
      </c>
      <c r="B203" s="2">
        <v>45702</v>
      </c>
      <c r="C203" s="1">
        <v>27</v>
      </c>
      <c r="D203" s="1" t="s">
        <v>9</v>
      </c>
      <c r="E203" s="1">
        <v>1481</v>
      </c>
      <c r="F203" t="str">
        <f>VLOOKUP(Tabla1[[#This Row],[IDProducto]],producto!$A$1:$C$33,2,FALSE)</f>
        <v>Producto_27</v>
      </c>
      <c r="G203" t="str">
        <f>VLOOKUP(Tabla1[[#This Row],[IDProducto]],producto!$A$1:$C$33,3,FALSE)</f>
        <v>Electrónica</v>
      </c>
      <c r="H203" s="6" t="str">
        <f>VLOOKUP(Tabla1[[#This Row],[Estado]],Tabla3[#All],2,0)</f>
        <v>Sur</v>
      </c>
    </row>
    <row r="204" spans="1:8" ht="15.75" customHeight="1" x14ac:dyDescent="0.25">
      <c r="A204" s="1">
        <v>200202</v>
      </c>
      <c r="B204" s="2">
        <v>45748</v>
      </c>
      <c r="C204" s="1">
        <v>6</v>
      </c>
      <c r="D204" s="1" t="s">
        <v>5</v>
      </c>
      <c r="E204" s="1">
        <v>1002</v>
      </c>
      <c r="F204" t="str">
        <f>VLOOKUP(Tabla1[[#This Row],[IDProducto]],producto!$A$1:$C$33,2,FALSE)</f>
        <v>Producto_6</v>
      </c>
      <c r="G204" t="str">
        <f>VLOOKUP(Tabla1[[#This Row],[IDProducto]],producto!$A$1:$C$33,3,FALSE)</f>
        <v>Electrónica</v>
      </c>
      <c r="H204" s="6" t="str">
        <f>VLOOKUP(Tabla1[[#This Row],[Estado]],Tabla3[#All],2,0)</f>
        <v>Centro</v>
      </c>
    </row>
    <row r="205" spans="1:8" ht="15.75" customHeight="1" x14ac:dyDescent="0.25">
      <c r="A205" s="1">
        <v>200203</v>
      </c>
      <c r="B205" s="2">
        <v>45680</v>
      </c>
      <c r="C205" s="1">
        <v>8</v>
      </c>
      <c r="D205" s="1" t="s">
        <v>9</v>
      </c>
      <c r="E205" s="1">
        <v>1970</v>
      </c>
      <c r="F205" t="str">
        <f>VLOOKUP(Tabla1[[#This Row],[IDProducto]],producto!$A$1:$C$33,2,FALSE)</f>
        <v>Producto_8</v>
      </c>
      <c r="G205" t="str">
        <f>VLOOKUP(Tabla1[[#This Row],[IDProducto]],producto!$A$1:$C$33,3,FALSE)</f>
        <v>Electrónica</v>
      </c>
      <c r="H205" s="6" t="str">
        <f>VLOOKUP(Tabla1[[#This Row],[Estado]],Tabla3[#All],2,0)</f>
        <v>Sur</v>
      </c>
    </row>
    <row r="206" spans="1:8" ht="15.75" customHeight="1" x14ac:dyDescent="0.25">
      <c r="A206" s="1">
        <v>200204</v>
      </c>
      <c r="B206" s="2">
        <v>45782</v>
      </c>
      <c r="C206" s="1">
        <v>3</v>
      </c>
      <c r="D206" s="1" t="s">
        <v>5</v>
      </c>
      <c r="E206" s="1">
        <v>386</v>
      </c>
      <c r="F206" t="str">
        <f>VLOOKUP(Tabla1[[#This Row],[IDProducto]],producto!$A$1:$C$33,2,FALSE)</f>
        <v>Producto_3</v>
      </c>
      <c r="G206" t="str">
        <f>VLOOKUP(Tabla1[[#This Row],[IDProducto]],producto!$A$1:$C$33,3,FALSE)</f>
        <v>Deportes</v>
      </c>
      <c r="H206" s="6" t="str">
        <f>VLOOKUP(Tabla1[[#This Row],[Estado]],Tabla3[#All],2,0)</f>
        <v>Centro</v>
      </c>
    </row>
    <row r="207" spans="1:8" ht="15.75" customHeight="1" x14ac:dyDescent="0.25">
      <c r="A207" s="1">
        <v>200205</v>
      </c>
      <c r="B207" s="2">
        <v>45749</v>
      </c>
      <c r="C207" s="1">
        <v>20</v>
      </c>
      <c r="D207" s="1" t="s">
        <v>8</v>
      </c>
      <c r="E207" s="1">
        <v>1435</v>
      </c>
      <c r="F207" t="str">
        <f>VLOOKUP(Tabla1[[#This Row],[IDProducto]],producto!$A$1:$C$33,2,FALSE)</f>
        <v>Producto_20</v>
      </c>
      <c r="G207" t="str">
        <f>VLOOKUP(Tabla1[[#This Row],[IDProducto]],producto!$A$1:$C$33,3,FALSE)</f>
        <v>Deportes</v>
      </c>
      <c r="H207" s="6" t="str">
        <f>VLOOKUP(Tabla1[[#This Row],[Estado]],Tabla3[#All],2,0)</f>
        <v>Norte</v>
      </c>
    </row>
    <row r="208" spans="1:8" ht="15.75" customHeight="1" x14ac:dyDescent="0.25">
      <c r="A208" s="1">
        <v>200206</v>
      </c>
      <c r="B208" s="2">
        <v>45759</v>
      </c>
      <c r="C208" s="1">
        <v>16</v>
      </c>
      <c r="D208" s="1" t="s">
        <v>6</v>
      </c>
      <c r="E208" s="1">
        <v>1993</v>
      </c>
      <c r="F208" t="str">
        <f>VLOOKUP(Tabla1[[#This Row],[IDProducto]],producto!$A$1:$C$33,2,FALSE)</f>
        <v>Producto_16</v>
      </c>
      <c r="G208" t="str">
        <f>VLOOKUP(Tabla1[[#This Row],[IDProducto]],producto!$A$1:$C$33,3,FALSE)</f>
        <v>Ropa</v>
      </c>
      <c r="H208" s="6" t="str">
        <f>VLOOKUP(Tabla1[[#This Row],[Estado]],Tabla3[#All],2,0)</f>
        <v>Occidente</v>
      </c>
    </row>
    <row r="209" spans="1:8" ht="15.75" customHeight="1" x14ac:dyDescent="0.25">
      <c r="A209" s="1">
        <v>200207</v>
      </c>
      <c r="B209" s="2">
        <v>45712</v>
      </c>
      <c r="C209" s="1">
        <v>6</v>
      </c>
      <c r="D209" s="1" t="s">
        <v>5</v>
      </c>
      <c r="E209" s="1">
        <v>1144</v>
      </c>
      <c r="F209" t="str">
        <f>VLOOKUP(Tabla1[[#This Row],[IDProducto]],producto!$A$1:$C$33,2,FALSE)</f>
        <v>Producto_6</v>
      </c>
      <c r="G209" t="str">
        <f>VLOOKUP(Tabla1[[#This Row],[IDProducto]],producto!$A$1:$C$33,3,FALSE)</f>
        <v>Electrónica</v>
      </c>
      <c r="H209" s="6" t="str">
        <f>VLOOKUP(Tabla1[[#This Row],[Estado]],Tabla3[#All],2,0)</f>
        <v>Centro</v>
      </c>
    </row>
    <row r="210" spans="1:8" ht="15.75" customHeight="1" x14ac:dyDescent="0.25">
      <c r="A210" s="1">
        <v>200208</v>
      </c>
      <c r="B210" s="2">
        <v>45816</v>
      </c>
      <c r="C210" s="1">
        <v>15</v>
      </c>
      <c r="D210" s="1" t="s">
        <v>12</v>
      </c>
      <c r="E210" s="1">
        <v>645</v>
      </c>
      <c r="F210" t="str">
        <f>VLOOKUP(Tabla1[[#This Row],[IDProducto]],producto!$A$1:$C$33,2,FALSE)</f>
        <v>Producto_15</v>
      </c>
      <c r="G210" t="str">
        <f>VLOOKUP(Tabla1[[#This Row],[IDProducto]],producto!$A$1:$C$33,3,FALSE)</f>
        <v>Hogar</v>
      </c>
      <c r="H210" s="6" t="str">
        <f>VLOOKUP(Tabla1[[#This Row],[Estado]],Tabla3[#All],2,0)</f>
        <v>Centro</v>
      </c>
    </row>
    <row r="211" spans="1:8" ht="15.75" customHeight="1" x14ac:dyDescent="0.25">
      <c r="A211" s="1">
        <v>200209</v>
      </c>
      <c r="B211" s="2">
        <v>45684</v>
      </c>
      <c r="C211" s="1">
        <v>17</v>
      </c>
      <c r="D211" s="1" t="s">
        <v>10</v>
      </c>
      <c r="E211" s="1">
        <v>1468</v>
      </c>
      <c r="F211" t="str">
        <f>VLOOKUP(Tabla1[[#This Row],[IDProducto]],producto!$A$1:$C$33,2,FALSE)</f>
        <v>Producto_17</v>
      </c>
      <c r="G211" t="str">
        <f>VLOOKUP(Tabla1[[#This Row],[IDProducto]],producto!$A$1:$C$33,3,FALSE)</f>
        <v>Ropa</v>
      </c>
      <c r="H211" s="6" t="str">
        <f>VLOOKUP(Tabla1[[#This Row],[Estado]],Tabla3[#All],2,0)</f>
        <v>Centro</v>
      </c>
    </row>
    <row r="212" spans="1:8" ht="15.75" customHeight="1" x14ac:dyDescent="0.25">
      <c r="A212" s="1">
        <v>200210</v>
      </c>
      <c r="B212" s="2">
        <v>45658</v>
      </c>
      <c r="C212" s="1">
        <v>27</v>
      </c>
      <c r="D212" s="1" t="s">
        <v>11</v>
      </c>
      <c r="E212" s="1">
        <v>1094</v>
      </c>
      <c r="F212" t="str">
        <f>VLOOKUP(Tabla1[[#This Row],[IDProducto]],producto!$A$1:$C$33,2,FALSE)</f>
        <v>Producto_27</v>
      </c>
      <c r="G212" t="str">
        <f>VLOOKUP(Tabla1[[#This Row],[IDProducto]],producto!$A$1:$C$33,3,FALSE)</f>
        <v>Electrónica</v>
      </c>
      <c r="H212" s="6" t="str">
        <f>VLOOKUP(Tabla1[[#This Row],[Estado]],Tabla3[#All],2,0)</f>
        <v>Occidente</v>
      </c>
    </row>
    <row r="213" spans="1:8" ht="15.75" customHeight="1" x14ac:dyDescent="0.25">
      <c r="A213" s="1">
        <v>200211</v>
      </c>
      <c r="B213" s="2">
        <v>45828</v>
      </c>
      <c r="C213" s="1">
        <v>26</v>
      </c>
      <c r="D213" s="1" t="s">
        <v>9</v>
      </c>
      <c r="E213" s="1">
        <v>704</v>
      </c>
      <c r="F213" t="str">
        <f>VLOOKUP(Tabla1[[#This Row],[IDProducto]],producto!$A$1:$C$33,2,FALSE)</f>
        <v>Producto_26</v>
      </c>
      <c r="G213" t="str">
        <f>VLOOKUP(Tabla1[[#This Row],[IDProducto]],producto!$A$1:$C$33,3,FALSE)</f>
        <v>Hogar</v>
      </c>
      <c r="H213" s="6" t="str">
        <f>VLOOKUP(Tabla1[[#This Row],[Estado]],Tabla3[#All],2,0)</f>
        <v>Sur</v>
      </c>
    </row>
    <row r="214" spans="1:8" ht="15.75" customHeight="1" x14ac:dyDescent="0.25">
      <c r="A214" s="1">
        <v>200212</v>
      </c>
      <c r="B214" s="2">
        <v>45689</v>
      </c>
      <c r="C214" s="1">
        <v>14</v>
      </c>
      <c r="D214" s="1" t="s">
        <v>11</v>
      </c>
      <c r="E214" s="1">
        <v>1665</v>
      </c>
      <c r="F214" t="str">
        <f>VLOOKUP(Tabla1[[#This Row],[IDProducto]],producto!$A$1:$C$33,2,FALSE)</f>
        <v>Producto_14</v>
      </c>
      <c r="G214" t="str">
        <f>VLOOKUP(Tabla1[[#This Row],[IDProducto]],producto!$A$1:$C$33,3,FALSE)</f>
        <v>Hogar</v>
      </c>
      <c r="H214" s="6" t="str">
        <f>VLOOKUP(Tabla1[[#This Row],[Estado]],Tabla3[#All],2,0)</f>
        <v>Occidente</v>
      </c>
    </row>
    <row r="215" spans="1:8" ht="15.75" customHeight="1" x14ac:dyDescent="0.25">
      <c r="A215" s="1">
        <v>200213</v>
      </c>
      <c r="B215" s="2">
        <v>45670</v>
      </c>
      <c r="C215" s="1">
        <v>16</v>
      </c>
      <c r="D215" s="1" t="s">
        <v>8</v>
      </c>
      <c r="E215" s="1">
        <v>198</v>
      </c>
      <c r="F215" t="str">
        <f>VLOOKUP(Tabla1[[#This Row],[IDProducto]],producto!$A$1:$C$33,2,FALSE)</f>
        <v>Producto_16</v>
      </c>
      <c r="G215" t="str">
        <f>VLOOKUP(Tabla1[[#This Row],[IDProducto]],producto!$A$1:$C$33,3,FALSE)</f>
        <v>Ropa</v>
      </c>
      <c r="H215" s="6" t="str">
        <f>VLOOKUP(Tabla1[[#This Row],[Estado]],Tabla3[#All],2,0)</f>
        <v>Norte</v>
      </c>
    </row>
    <row r="216" spans="1:8" ht="15.75" customHeight="1" x14ac:dyDescent="0.25">
      <c r="A216" s="1">
        <v>200214</v>
      </c>
      <c r="B216" s="2">
        <v>45709</v>
      </c>
      <c r="C216" s="1">
        <v>14</v>
      </c>
      <c r="D216" s="1" t="s">
        <v>7</v>
      </c>
      <c r="E216" s="1">
        <v>308</v>
      </c>
      <c r="F216" t="str">
        <f>VLOOKUP(Tabla1[[#This Row],[IDProducto]],producto!$A$1:$C$33,2,FALSE)</f>
        <v>Producto_14</v>
      </c>
      <c r="G216" t="str">
        <f>VLOOKUP(Tabla1[[#This Row],[IDProducto]],producto!$A$1:$C$33,3,FALSE)</f>
        <v>Hogar</v>
      </c>
      <c r="H216" s="6" t="str">
        <f>VLOOKUP(Tabla1[[#This Row],[Estado]],Tabla3[#All],2,0)</f>
        <v>Norte</v>
      </c>
    </row>
    <row r="217" spans="1:8" ht="15.75" customHeight="1" x14ac:dyDescent="0.25">
      <c r="A217" s="1">
        <v>200215</v>
      </c>
      <c r="B217" s="2">
        <v>45836</v>
      </c>
      <c r="C217" s="1">
        <v>11</v>
      </c>
      <c r="D217" s="1" t="s">
        <v>6</v>
      </c>
      <c r="E217" s="1">
        <v>489</v>
      </c>
      <c r="F217" t="str">
        <f>VLOOKUP(Tabla1[[#This Row],[IDProducto]],producto!$A$1:$C$33,2,FALSE)</f>
        <v>Producto_11</v>
      </c>
      <c r="G217" t="str">
        <f>VLOOKUP(Tabla1[[#This Row],[IDProducto]],producto!$A$1:$C$33,3,FALSE)</f>
        <v>Ropa</v>
      </c>
      <c r="H217" s="6" t="str">
        <f>VLOOKUP(Tabla1[[#This Row],[Estado]],Tabla3[#All],2,0)</f>
        <v>Occidente</v>
      </c>
    </row>
    <row r="218" spans="1:8" ht="15.75" customHeight="1" x14ac:dyDescent="0.25">
      <c r="A218" s="1">
        <v>200216</v>
      </c>
      <c r="B218" s="2">
        <v>45819</v>
      </c>
      <c r="C218" s="1">
        <v>16</v>
      </c>
      <c r="D218" s="1" t="s">
        <v>12</v>
      </c>
      <c r="E218" s="1">
        <v>1557</v>
      </c>
      <c r="F218" t="str">
        <f>VLOOKUP(Tabla1[[#This Row],[IDProducto]],producto!$A$1:$C$33,2,FALSE)</f>
        <v>Producto_16</v>
      </c>
      <c r="G218" t="str">
        <f>VLOOKUP(Tabla1[[#This Row],[IDProducto]],producto!$A$1:$C$33,3,FALSE)</f>
        <v>Ropa</v>
      </c>
      <c r="H218" s="6" t="str">
        <f>VLOOKUP(Tabla1[[#This Row],[Estado]],Tabla3[#All],2,0)</f>
        <v>Centro</v>
      </c>
    </row>
    <row r="219" spans="1:8" ht="15.75" customHeight="1" x14ac:dyDescent="0.25">
      <c r="A219" s="1">
        <v>200217</v>
      </c>
      <c r="B219" s="2">
        <v>45832</v>
      </c>
      <c r="C219" s="1">
        <v>6</v>
      </c>
      <c r="D219" s="1" t="s">
        <v>11</v>
      </c>
      <c r="E219" s="1">
        <v>637</v>
      </c>
      <c r="F219" t="str">
        <f>VLOOKUP(Tabla1[[#This Row],[IDProducto]],producto!$A$1:$C$33,2,FALSE)</f>
        <v>Producto_6</v>
      </c>
      <c r="G219" t="str">
        <f>VLOOKUP(Tabla1[[#This Row],[IDProducto]],producto!$A$1:$C$33,3,FALSE)</f>
        <v>Electrónica</v>
      </c>
      <c r="H219" s="6" t="str">
        <f>VLOOKUP(Tabla1[[#This Row],[Estado]],Tabla3[#All],2,0)</f>
        <v>Occidente</v>
      </c>
    </row>
    <row r="220" spans="1:8" ht="15.75" customHeight="1" x14ac:dyDescent="0.25">
      <c r="A220" s="1">
        <v>200218</v>
      </c>
      <c r="B220" s="2">
        <v>45663</v>
      </c>
      <c r="C220" s="1">
        <v>23</v>
      </c>
      <c r="D220" s="1" t="s">
        <v>12</v>
      </c>
      <c r="E220" s="1">
        <v>771</v>
      </c>
      <c r="F220" t="str">
        <f>VLOOKUP(Tabla1[[#This Row],[IDProducto]],producto!$A$1:$C$33,2,FALSE)</f>
        <v>Producto_23</v>
      </c>
      <c r="G220" t="str">
        <f>VLOOKUP(Tabla1[[#This Row],[IDProducto]],producto!$A$1:$C$33,3,FALSE)</f>
        <v>Deportes</v>
      </c>
      <c r="H220" s="6" t="str">
        <f>VLOOKUP(Tabla1[[#This Row],[Estado]],Tabla3[#All],2,0)</f>
        <v>Centro</v>
      </c>
    </row>
    <row r="221" spans="1:8" ht="15.75" customHeight="1" x14ac:dyDescent="0.25">
      <c r="A221" s="1">
        <v>200219</v>
      </c>
      <c r="B221" s="2">
        <v>45750</v>
      </c>
      <c r="C221" s="1">
        <v>21</v>
      </c>
      <c r="D221" s="1" t="s">
        <v>8</v>
      </c>
      <c r="E221" s="1">
        <v>554</v>
      </c>
      <c r="F221" t="str">
        <f>VLOOKUP(Tabla1[[#This Row],[IDProducto]],producto!$A$1:$C$33,2,FALSE)</f>
        <v>Producto_21</v>
      </c>
      <c r="G221" t="str">
        <f>VLOOKUP(Tabla1[[#This Row],[IDProducto]],producto!$A$1:$C$33,3,FALSE)</f>
        <v>Electrónica</v>
      </c>
      <c r="H221" s="6" t="str">
        <f>VLOOKUP(Tabla1[[#This Row],[Estado]],Tabla3[#All],2,0)</f>
        <v>Norte</v>
      </c>
    </row>
    <row r="222" spans="1:8" ht="15.75" customHeight="1" x14ac:dyDescent="0.25">
      <c r="A222" s="1">
        <v>200220</v>
      </c>
      <c r="B222" s="2">
        <v>45737</v>
      </c>
      <c r="C222" s="1">
        <v>24</v>
      </c>
      <c r="D222" s="1" t="s">
        <v>12</v>
      </c>
      <c r="E222" s="1">
        <v>1836</v>
      </c>
      <c r="F222" t="str">
        <f>VLOOKUP(Tabla1[[#This Row],[IDProducto]],producto!$A$1:$C$33,2,FALSE)</f>
        <v>Producto_24</v>
      </c>
      <c r="G222" t="str">
        <f>VLOOKUP(Tabla1[[#This Row],[IDProducto]],producto!$A$1:$C$33,3,FALSE)</f>
        <v>Ropa</v>
      </c>
      <c r="H222" s="6" t="str">
        <f>VLOOKUP(Tabla1[[#This Row],[Estado]],Tabla3[#All],2,0)</f>
        <v>Centro</v>
      </c>
    </row>
    <row r="223" spans="1:8" ht="15.75" customHeight="1" x14ac:dyDescent="0.25">
      <c r="A223" s="1">
        <v>200221</v>
      </c>
      <c r="B223" s="2">
        <v>45837</v>
      </c>
      <c r="C223" s="1">
        <v>4</v>
      </c>
      <c r="D223" s="1" t="s">
        <v>12</v>
      </c>
      <c r="E223" s="1">
        <v>479</v>
      </c>
      <c r="F223" t="str">
        <f>VLOOKUP(Tabla1[[#This Row],[IDProducto]],producto!$A$1:$C$33,2,FALSE)</f>
        <v>Producto_4</v>
      </c>
      <c r="G223" t="str">
        <f>VLOOKUP(Tabla1[[#This Row],[IDProducto]],producto!$A$1:$C$33,3,FALSE)</f>
        <v>Deportes</v>
      </c>
      <c r="H223" s="6" t="str">
        <f>VLOOKUP(Tabla1[[#This Row],[Estado]],Tabla3[#All],2,0)</f>
        <v>Centro</v>
      </c>
    </row>
    <row r="224" spans="1:8" ht="15.75" customHeight="1" x14ac:dyDescent="0.25">
      <c r="A224" s="1">
        <v>200222</v>
      </c>
      <c r="B224" s="2">
        <v>45744</v>
      </c>
      <c r="C224" s="1">
        <v>5</v>
      </c>
      <c r="D224" s="1" t="s">
        <v>12</v>
      </c>
      <c r="E224" s="1">
        <v>1936</v>
      </c>
      <c r="F224" t="str">
        <f>VLOOKUP(Tabla1[[#This Row],[IDProducto]],producto!$A$1:$C$33,2,FALSE)</f>
        <v>Producto_5</v>
      </c>
      <c r="G224" t="str">
        <f>VLOOKUP(Tabla1[[#This Row],[IDProducto]],producto!$A$1:$C$33,3,FALSE)</f>
        <v>Hogar</v>
      </c>
      <c r="H224" s="6" t="str">
        <f>VLOOKUP(Tabla1[[#This Row],[Estado]],Tabla3[#All],2,0)</f>
        <v>Centro</v>
      </c>
    </row>
    <row r="225" spans="1:8" ht="15.75" customHeight="1" x14ac:dyDescent="0.25">
      <c r="A225" s="1">
        <v>200223</v>
      </c>
      <c r="B225" s="2">
        <v>45740</v>
      </c>
      <c r="C225" s="1">
        <v>30</v>
      </c>
      <c r="D225" s="1" t="s">
        <v>5</v>
      </c>
      <c r="E225" s="1">
        <v>1074</v>
      </c>
      <c r="F225" t="str">
        <f>VLOOKUP(Tabla1[[#This Row],[IDProducto]],producto!$A$1:$C$33,2,FALSE)</f>
        <v>Producto_30</v>
      </c>
      <c r="G225" t="str">
        <f>VLOOKUP(Tabla1[[#This Row],[IDProducto]],producto!$A$1:$C$33,3,FALSE)</f>
        <v>Hogar</v>
      </c>
      <c r="H225" s="6" t="str">
        <f>VLOOKUP(Tabla1[[#This Row],[Estado]],Tabla3[#All],2,0)</f>
        <v>Centro</v>
      </c>
    </row>
    <row r="226" spans="1:8" ht="15.75" customHeight="1" x14ac:dyDescent="0.25">
      <c r="A226" s="1">
        <v>200224</v>
      </c>
      <c r="B226" s="2">
        <v>45792</v>
      </c>
      <c r="C226" s="1">
        <v>30</v>
      </c>
      <c r="D226" s="1" t="s">
        <v>8</v>
      </c>
      <c r="E226" s="1">
        <v>571</v>
      </c>
      <c r="F226" t="str">
        <f>VLOOKUP(Tabla1[[#This Row],[IDProducto]],producto!$A$1:$C$33,2,FALSE)</f>
        <v>Producto_30</v>
      </c>
      <c r="G226" t="str">
        <f>VLOOKUP(Tabla1[[#This Row],[IDProducto]],producto!$A$1:$C$33,3,FALSE)</f>
        <v>Hogar</v>
      </c>
      <c r="H226" s="6" t="str">
        <f>VLOOKUP(Tabla1[[#This Row],[Estado]],Tabla3[#All],2,0)</f>
        <v>Norte</v>
      </c>
    </row>
    <row r="227" spans="1:8" ht="15.75" customHeight="1" x14ac:dyDescent="0.25">
      <c r="A227" s="1">
        <v>200225</v>
      </c>
      <c r="B227" s="2">
        <v>45664</v>
      </c>
      <c r="C227" s="1">
        <v>11</v>
      </c>
      <c r="D227" s="1" t="s">
        <v>12</v>
      </c>
      <c r="E227" s="1">
        <v>100</v>
      </c>
      <c r="F227" t="str">
        <f>VLOOKUP(Tabla1[[#This Row],[IDProducto]],producto!$A$1:$C$33,2,FALSE)</f>
        <v>Producto_11</v>
      </c>
      <c r="G227" t="str">
        <f>VLOOKUP(Tabla1[[#This Row],[IDProducto]],producto!$A$1:$C$33,3,FALSE)</f>
        <v>Ropa</v>
      </c>
      <c r="H227" s="6" t="str">
        <f>VLOOKUP(Tabla1[[#This Row],[Estado]],Tabla3[#All],2,0)</f>
        <v>Centro</v>
      </c>
    </row>
    <row r="228" spans="1:8" ht="15.75" customHeight="1" x14ac:dyDescent="0.25">
      <c r="A228" s="1">
        <v>200226</v>
      </c>
      <c r="B228" s="2">
        <v>45745</v>
      </c>
      <c r="C228" s="1">
        <v>1</v>
      </c>
      <c r="D228" s="1" t="s">
        <v>11</v>
      </c>
      <c r="E228" s="1">
        <v>1325</v>
      </c>
      <c r="F228" t="str">
        <f>VLOOKUP(Tabla1[[#This Row],[IDProducto]],producto!$A$1:$C$33,2,FALSE)</f>
        <v>Producto_1</v>
      </c>
      <c r="G228" t="str">
        <f>VLOOKUP(Tabla1[[#This Row],[IDProducto]],producto!$A$1:$C$33,3,FALSE)</f>
        <v>Hogar</v>
      </c>
      <c r="H228" s="6" t="str">
        <f>VLOOKUP(Tabla1[[#This Row],[Estado]],Tabla3[#All],2,0)</f>
        <v>Occidente</v>
      </c>
    </row>
    <row r="229" spans="1:8" ht="15.75" customHeight="1" x14ac:dyDescent="0.25">
      <c r="A229" s="1">
        <v>200227</v>
      </c>
      <c r="B229" s="2">
        <v>45802</v>
      </c>
      <c r="C229" s="1">
        <v>10</v>
      </c>
      <c r="D229" s="1" t="s">
        <v>7</v>
      </c>
      <c r="E229" s="1">
        <v>1946</v>
      </c>
      <c r="F229" t="str">
        <f>VLOOKUP(Tabla1[[#This Row],[IDProducto]],producto!$A$1:$C$33,2,FALSE)</f>
        <v>Producto_10</v>
      </c>
      <c r="G229" t="str">
        <f>VLOOKUP(Tabla1[[#This Row],[IDProducto]],producto!$A$1:$C$33,3,FALSE)</f>
        <v>Ropa</v>
      </c>
      <c r="H229" s="6" t="str">
        <f>VLOOKUP(Tabla1[[#This Row],[Estado]],Tabla3[#All],2,0)</f>
        <v>Norte</v>
      </c>
    </row>
    <row r="230" spans="1:8" ht="15.75" customHeight="1" x14ac:dyDescent="0.25">
      <c r="A230" s="1">
        <v>200228</v>
      </c>
      <c r="B230" s="2">
        <v>45762</v>
      </c>
      <c r="C230" s="1">
        <v>13</v>
      </c>
      <c r="D230" s="1" t="s">
        <v>7</v>
      </c>
      <c r="E230" s="1">
        <v>1626</v>
      </c>
      <c r="F230" t="str">
        <f>VLOOKUP(Tabla1[[#This Row],[IDProducto]],producto!$A$1:$C$33,2,FALSE)</f>
        <v>Producto_13</v>
      </c>
      <c r="G230" t="str">
        <f>VLOOKUP(Tabla1[[#This Row],[IDProducto]],producto!$A$1:$C$33,3,FALSE)</f>
        <v>Deportes</v>
      </c>
      <c r="H230" s="6" t="str">
        <f>VLOOKUP(Tabla1[[#This Row],[Estado]],Tabla3[#All],2,0)</f>
        <v>Norte</v>
      </c>
    </row>
    <row r="231" spans="1:8" ht="15.75" customHeight="1" x14ac:dyDescent="0.25">
      <c r="A231" s="1">
        <v>200229</v>
      </c>
      <c r="B231" s="2">
        <v>45736</v>
      </c>
      <c r="C231" s="1">
        <v>19</v>
      </c>
      <c r="D231" s="1" t="s">
        <v>10</v>
      </c>
      <c r="E231" s="1">
        <v>264</v>
      </c>
      <c r="F231" t="str">
        <f>VLOOKUP(Tabla1[[#This Row],[IDProducto]],producto!$A$1:$C$33,2,FALSE)</f>
        <v>Producto_19</v>
      </c>
      <c r="G231" t="str">
        <f>VLOOKUP(Tabla1[[#This Row],[IDProducto]],producto!$A$1:$C$33,3,FALSE)</f>
        <v>Ropa</v>
      </c>
      <c r="H231" s="6" t="str">
        <f>VLOOKUP(Tabla1[[#This Row],[Estado]],Tabla3[#All],2,0)</f>
        <v>Centro</v>
      </c>
    </row>
    <row r="232" spans="1:8" ht="15.75" customHeight="1" x14ac:dyDescent="0.25">
      <c r="A232" s="1">
        <v>200230</v>
      </c>
      <c r="B232" s="2">
        <v>45718</v>
      </c>
      <c r="C232" s="1">
        <v>7</v>
      </c>
      <c r="D232" s="1" t="s">
        <v>9</v>
      </c>
      <c r="E232" s="1">
        <v>820</v>
      </c>
      <c r="F232" t="str">
        <f>VLOOKUP(Tabla1[[#This Row],[IDProducto]],producto!$A$1:$C$33,2,FALSE)</f>
        <v>Producto_7</v>
      </c>
      <c r="G232" t="str">
        <f>VLOOKUP(Tabla1[[#This Row],[IDProducto]],producto!$A$1:$C$33,3,FALSE)</f>
        <v>Ropa</v>
      </c>
      <c r="H232" s="6" t="str">
        <f>VLOOKUP(Tabla1[[#This Row],[Estado]],Tabla3[#All],2,0)</f>
        <v>Sur</v>
      </c>
    </row>
    <row r="233" spans="1:8" ht="15.75" customHeight="1" x14ac:dyDescent="0.25">
      <c r="A233" s="1">
        <v>200231</v>
      </c>
      <c r="B233" s="2">
        <v>45805</v>
      </c>
      <c r="C233" s="1">
        <v>13</v>
      </c>
      <c r="D233" s="1" t="s">
        <v>5</v>
      </c>
      <c r="E233" s="1">
        <v>1469</v>
      </c>
      <c r="F233" t="str">
        <f>VLOOKUP(Tabla1[[#This Row],[IDProducto]],producto!$A$1:$C$33,2,FALSE)</f>
        <v>Producto_13</v>
      </c>
      <c r="G233" t="str">
        <f>VLOOKUP(Tabla1[[#This Row],[IDProducto]],producto!$A$1:$C$33,3,FALSE)</f>
        <v>Deportes</v>
      </c>
      <c r="H233" s="6" t="str">
        <f>VLOOKUP(Tabla1[[#This Row],[Estado]],Tabla3[#All],2,0)</f>
        <v>Centro</v>
      </c>
    </row>
    <row r="234" spans="1:8" ht="15.75" customHeight="1" x14ac:dyDescent="0.25">
      <c r="A234" s="1">
        <v>200232</v>
      </c>
      <c r="B234" s="2">
        <v>45700</v>
      </c>
      <c r="C234" s="1">
        <v>10</v>
      </c>
      <c r="D234" s="1" t="s">
        <v>7</v>
      </c>
      <c r="E234" s="1">
        <v>1806</v>
      </c>
      <c r="F234" t="str">
        <f>VLOOKUP(Tabla1[[#This Row],[IDProducto]],producto!$A$1:$C$33,2,FALSE)</f>
        <v>Producto_10</v>
      </c>
      <c r="G234" t="str">
        <f>VLOOKUP(Tabla1[[#This Row],[IDProducto]],producto!$A$1:$C$33,3,FALSE)</f>
        <v>Ropa</v>
      </c>
      <c r="H234" s="6" t="str">
        <f>VLOOKUP(Tabla1[[#This Row],[Estado]],Tabla3[#All],2,0)</f>
        <v>Norte</v>
      </c>
    </row>
    <row r="235" spans="1:8" ht="15.75" customHeight="1" x14ac:dyDescent="0.25">
      <c r="A235" s="1">
        <v>200233</v>
      </c>
      <c r="B235" s="2">
        <v>45692</v>
      </c>
      <c r="C235" s="1">
        <v>22</v>
      </c>
      <c r="D235" s="1" t="s">
        <v>9</v>
      </c>
      <c r="E235" s="1">
        <v>1934</v>
      </c>
      <c r="F235" t="str">
        <f>VLOOKUP(Tabla1[[#This Row],[IDProducto]],producto!$A$1:$C$33,2,FALSE)</f>
        <v>Producto_22</v>
      </c>
      <c r="G235" t="str">
        <f>VLOOKUP(Tabla1[[#This Row],[IDProducto]],producto!$A$1:$C$33,3,FALSE)</f>
        <v>Hogar</v>
      </c>
      <c r="H235" s="6" t="str">
        <f>VLOOKUP(Tabla1[[#This Row],[Estado]],Tabla3[#All],2,0)</f>
        <v>Sur</v>
      </c>
    </row>
    <row r="236" spans="1:8" ht="15.75" customHeight="1" x14ac:dyDescent="0.25">
      <c r="A236" s="1">
        <v>200234</v>
      </c>
      <c r="B236" s="2">
        <v>45742</v>
      </c>
      <c r="C236" s="1">
        <v>31</v>
      </c>
      <c r="D236" s="1" t="s">
        <v>12</v>
      </c>
      <c r="E236" s="1">
        <v>125</v>
      </c>
      <c r="F236" t="str">
        <f>VLOOKUP(Tabla1[[#This Row],[IDProducto]],producto!$A$1:$C$33,2,FALSE)</f>
        <v>Producto_31</v>
      </c>
      <c r="G236" t="str">
        <f>VLOOKUP(Tabla1[[#This Row],[IDProducto]],producto!$A$1:$C$33,3,FALSE)</f>
        <v>Deportes</v>
      </c>
      <c r="H236" s="6" t="str">
        <f>VLOOKUP(Tabla1[[#This Row],[Estado]],Tabla3[#All],2,0)</f>
        <v>Centro</v>
      </c>
    </row>
    <row r="237" spans="1:8" ht="15.75" customHeight="1" x14ac:dyDescent="0.25">
      <c r="A237" s="1">
        <v>200235</v>
      </c>
      <c r="B237" s="2">
        <v>45685</v>
      </c>
      <c r="C237" s="1">
        <v>2</v>
      </c>
      <c r="D237" s="1" t="s">
        <v>12</v>
      </c>
      <c r="E237" s="1">
        <v>647</v>
      </c>
      <c r="F237" t="str">
        <f>VLOOKUP(Tabla1[[#This Row],[IDProducto]],producto!$A$1:$C$33,2,FALSE)</f>
        <v>Producto_2</v>
      </c>
      <c r="G237" t="str">
        <f>VLOOKUP(Tabla1[[#This Row],[IDProducto]],producto!$A$1:$C$33,3,FALSE)</f>
        <v>Deportes</v>
      </c>
      <c r="H237" s="6" t="str">
        <f>VLOOKUP(Tabla1[[#This Row],[Estado]],Tabla3[#All],2,0)</f>
        <v>Centro</v>
      </c>
    </row>
    <row r="238" spans="1:8" ht="15.75" customHeight="1" x14ac:dyDescent="0.25">
      <c r="A238" s="1">
        <v>200236</v>
      </c>
      <c r="B238" s="2">
        <v>45798</v>
      </c>
      <c r="C238" s="1">
        <v>8</v>
      </c>
      <c r="D238" s="1" t="s">
        <v>7</v>
      </c>
      <c r="E238" s="1">
        <v>1193</v>
      </c>
      <c r="F238" t="str">
        <f>VLOOKUP(Tabla1[[#This Row],[IDProducto]],producto!$A$1:$C$33,2,FALSE)</f>
        <v>Producto_8</v>
      </c>
      <c r="G238" t="str">
        <f>VLOOKUP(Tabla1[[#This Row],[IDProducto]],producto!$A$1:$C$33,3,FALSE)</f>
        <v>Electrónica</v>
      </c>
      <c r="H238" s="6" t="str">
        <f>VLOOKUP(Tabla1[[#This Row],[Estado]],Tabla3[#All],2,0)</f>
        <v>Norte</v>
      </c>
    </row>
    <row r="239" spans="1:8" ht="15.75" customHeight="1" x14ac:dyDescent="0.25">
      <c r="A239" s="1">
        <v>200237</v>
      </c>
      <c r="B239" s="2">
        <v>45789</v>
      </c>
      <c r="C239" s="1">
        <v>1</v>
      </c>
      <c r="D239" s="1" t="s">
        <v>5</v>
      </c>
      <c r="E239" s="1">
        <v>769</v>
      </c>
      <c r="F239" t="str">
        <f>VLOOKUP(Tabla1[[#This Row],[IDProducto]],producto!$A$1:$C$33,2,FALSE)</f>
        <v>Producto_1</v>
      </c>
      <c r="G239" t="str">
        <f>VLOOKUP(Tabla1[[#This Row],[IDProducto]],producto!$A$1:$C$33,3,FALSE)</f>
        <v>Hogar</v>
      </c>
      <c r="H239" s="6" t="str">
        <f>VLOOKUP(Tabla1[[#This Row],[Estado]],Tabla3[#All],2,0)</f>
        <v>Centro</v>
      </c>
    </row>
    <row r="240" spans="1:8" ht="15.75" customHeight="1" x14ac:dyDescent="0.25">
      <c r="A240" s="1">
        <v>200238</v>
      </c>
      <c r="B240" s="2">
        <v>45725</v>
      </c>
      <c r="C240" s="1">
        <v>16</v>
      </c>
      <c r="D240" s="1" t="s">
        <v>5</v>
      </c>
      <c r="E240" s="1">
        <v>888</v>
      </c>
      <c r="F240" t="str">
        <f>VLOOKUP(Tabla1[[#This Row],[IDProducto]],producto!$A$1:$C$33,2,FALSE)</f>
        <v>Producto_16</v>
      </c>
      <c r="G240" t="str">
        <f>VLOOKUP(Tabla1[[#This Row],[IDProducto]],producto!$A$1:$C$33,3,FALSE)</f>
        <v>Ropa</v>
      </c>
      <c r="H240" s="6" t="str">
        <f>VLOOKUP(Tabla1[[#This Row],[Estado]],Tabla3[#All],2,0)</f>
        <v>Centro</v>
      </c>
    </row>
    <row r="241" spans="1:8" ht="15.75" customHeight="1" x14ac:dyDescent="0.25">
      <c r="A241" s="1">
        <v>200239</v>
      </c>
      <c r="B241" s="2">
        <v>45828</v>
      </c>
      <c r="C241" s="1">
        <v>25</v>
      </c>
      <c r="D241" s="1" t="s">
        <v>8</v>
      </c>
      <c r="E241" s="1">
        <v>1134</v>
      </c>
      <c r="F241" t="str">
        <f>VLOOKUP(Tabla1[[#This Row],[IDProducto]],producto!$A$1:$C$33,2,FALSE)</f>
        <v>Producto_25</v>
      </c>
      <c r="G241" t="str">
        <f>VLOOKUP(Tabla1[[#This Row],[IDProducto]],producto!$A$1:$C$33,3,FALSE)</f>
        <v>Electrónica</v>
      </c>
      <c r="H241" s="6" t="str">
        <f>VLOOKUP(Tabla1[[#This Row],[Estado]],Tabla3[#All],2,0)</f>
        <v>Norte</v>
      </c>
    </row>
    <row r="242" spans="1:8" ht="15.75" customHeight="1" x14ac:dyDescent="0.25">
      <c r="A242" s="1">
        <v>200240</v>
      </c>
      <c r="B242" s="2">
        <v>45753</v>
      </c>
      <c r="C242" s="1">
        <v>11</v>
      </c>
      <c r="D242" s="1" t="s">
        <v>9</v>
      </c>
      <c r="E242" s="1">
        <v>1638</v>
      </c>
      <c r="F242" t="str">
        <f>VLOOKUP(Tabla1[[#This Row],[IDProducto]],producto!$A$1:$C$33,2,FALSE)</f>
        <v>Producto_11</v>
      </c>
      <c r="G242" t="str">
        <f>VLOOKUP(Tabla1[[#This Row],[IDProducto]],producto!$A$1:$C$33,3,FALSE)</f>
        <v>Ropa</v>
      </c>
      <c r="H242" s="6" t="str">
        <f>VLOOKUP(Tabla1[[#This Row],[Estado]],Tabla3[#All],2,0)</f>
        <v>Sur</v>
      </c>
    </row>
    <row r="243" spans="1:8" ht="15.75" customHeight="1" x14ac:dyDescent="0.25">
      <c r="A243" s="1">
        <v>200241</v>
      </c>
      <c r="B243" s="2">
        <v>45829</v>
      </c>
      <c r="C243" s="1">
        <v>18</v>
      </c>
      <c r="D243" s="1" t="s">
        <v>5</v>
      </c>
      <c r="E243" s="1">
        <v>1802</v>
      </c>
      <c r="F243" t="str">
        <f>VLOOKUP(Tabla1[[#This Row],[IDProducto]],producto!$A$1:$C$33,2,FALSE)</f>
        <v>Producto_18</v>
      </c>
      <c r="G243" t="str">
        <f>VLOOKUP(Tabla1[[#This Row],[IDProducto]],producto!$A$1:$C$33,3,FALSE)</f>
        <v>Ropa</v>
      </c>
      <c r="H243" s="6" t="str">
        <f>VLOOKUP(Tabla1[[#This Row],[Estado]],Tabla3[#All],2,0)</f>
        <v>Centro</v>
      </c>
    </row>
    <row r="244" spans="1:8" ht="15.75" customHeight="1" x14ac:dyDescent="0.25">
      <c r="A244" s="1">
        <v>200242</v>
      </c>
      <c r="B244" s="2">
        <v>45829</v>
      </c>
      <c r="C244" s="1">
        <v>11</v>
      </c>
      <c r="D244" s="1" t="s">
        <v>9</v>
      </c>
      <c r="E244" s="1">
        <v>254</v>
      </c>
      <c r="F244" t="str">
        <f>VLOOKUP(Tabla1[[#This Row],[IDProducto]],producto!$A$1:$C$33,2,FALSE)</f>
        <v>Producto_11</v>
      </c>
      <c r="G244" t="str">
        <f>VLOOKUP(Tabla1[[#This Row],[IDProducto]],producto!$A$1:$C$33,3,FALSE)</f>
        <v>Ropa</v>
      </c>
      <c r="H244" s="6" t="str">
        <f>VLOOKUP(Tabla1[[#This Row],[Estado]],Tabla3[#All],2,0)</f>
        <v>Sur</v>
      </c>
    </row>
    <row r="245" spans="1:8" ht="15.75" customHeight="1" x14ac:dyDescent="0.25">
      <c r="A245" s="1">
        <v>200243</v>
      </c>
      <c r="B245" s="2">
        <v>45686</v>
      </c>
      <c r="C245" s="1">
        <v>6</v>
      </c>
      <c r="D245" s="1" t="s">
        <v>10</v>
      </c>
      <c r="E245" s="1">
        <v>1002</v>
      </c>
      <c r="F245" t="str">
        <f>VLOOKUP(Tabla1[[#This Row],[IDProducto]],producto!$A$1:$C$33,2,FALSE)</f>
        <v>Producto_6</v>
      </c>
      <c r="G245" t="str">
        <f>VLOOKUP(Tabla1[[#This Row],[IDProducto]],producto!$A$1:$C$33,3,FALSE)</f>
        <v>Electrónica</v>
      </c>
      <c r="H245" s="6" t="str">
        <f>VLOOKUP(Tabla1[[#This Row],[Estado]],Tabla3[#All],2,0)</f>
        <v>Centro</v>
      </c>
    </row>
    <row r="246" spans="1:8" ht="15.75" customHeight="1" x14ac:dyDescent="0.25">
      <c r="A246" s="1">
        <v>200244</v>
      </c>
      <c r="B246" s="2">
        <v>45798</v>
      </c>
      <c r="C246" s="1">
        <v>23</v>
      </c>
      <c r="D246" s="1" t="s">
        <v>10</v>
      </c>
      <c r="E246" s="1">
        <v>585</v>
      </c>
      <c r="F246" t="str">
        <f>VLOOKUP(Tabla1[[#This Row],[IDProducto]],producto!$A$1:$C$33,2,FALSE)</f>
        <v>Producto_23</v>
      </c>
      <c r="G246" t="str">
        <f>VLOOKUP(Tabla1[[#This Row],[IDProducto]],producto!$A$1:$C$33,3,FALSE)</f>
        <v>Deportes</v>
      </c>
      <c r="H246" s="6" t="str">
        <f>VLOOKUP(Tabla1[[#This Row],[Estado]],Tabla3[#All],2,0)</f>
        <v>Centro</v>
      </c>
    </row>
    <row r="247" spans="1:8" ht="15.75" customHeight="1" x14ac:dyDescent="0.25">
      <c r="A247" s="1">
        <v>200245</v>
      </c>
      <c r="B247" s="2">
        <v>45738</v>
      </c>
      <c r="C247" s="1">
        <v>23</v>
      </c>
      <c r="D247" s="1" t="s">
        <v>5</v>
      </c>
      <c r="E247" s="1">
        <v>756</v>
      </c>
      <c r="F247" t="str">
        <f>VLOOKUP(Tabla1[[#This Row],[IDProducto]],producto!$A$1:$C$33,2,FALSE)</f>
        <v>Producto_23</v>
      </c>
      <c r="G247" t="str">
        <f>VLOOKUP(Tabla1[[#This Row],[IDProducto]],producto!$A$1:$C$33,3,FALSE)</f>
        <v>Deportes</v>
      </c>
      <c r="H247" s="6" t="str">
        <f>VLOOKUP(Tabla1[[#This Row],[Estado]],Tabla3[#All],2,0)</f>
        <v>Centro</v>
      </c>
    </row>
    <row r="248" spans="1:8" ht="15.75" customHeight="1" x14ac:dyDescent="0.25">
      <c r="A248" s="1">
        <v>200246</v>
      </c>
      <c r="B248" s="2">
        <v>45736</v>
      </c>
      <c r="C248" s="1">
        <v>2</v>
      </c>
      <c r="D248" s="1" t="s">
        <v>6</v>
      </c>
      <c r="E248" s="1">
        <v>616</v>
      </c>
      <c r="F248" t="str">
        <f>VLOOKUP(Tabla1[[#This Row],[IDProducto]],producto!$A$1:$C$33,2,FALSE)</f>
        <v>Producto_2</v>
      </c>
      <c r="G248" t="str">
        <f>VLOOKUP(Tabla1[[#This Row],[IDProducto]],producto!$A$1:$C$33,3,FALSE)</f>
        <v>Deportes</v>
      </c>
      <c r="H248" s="6" t="str">
        <f>VLOOKUP(Tabla1[[#This Row],[Estado]],Tabla3[#All],2,0)</f>
        <v>Occidente</v>
      </c>
    </row>
    <row r="249" spans="1:8" ht="15.75" customHeight="1" x14ac:dyDescent="0.25">
      <c r="A249" s="1">
        <v>200247</v>
      </c>
      <c r="B249" s="2">
        <v>45698</v>
      </c>
      <c r="C249" s="1">
        <v>13</v>
      </c>
      <c r="D249" s="1" t="s">
        <v>11</v>
      </c>
      <c r="E249" s="1">
        <v>1324</v>
      </c>
      <c r="F249" t="str">
        <f>VLOOKUP(Tabla1[[#This Row],[IDProducto]],producto!$A$1:$C$33,2,FALSE)</f>
        <v>Producto_13</v>
      </c>
      <c r="G249" t="str">
        <f>VLOOKUP(Tabla1[[#This Row],[IDProducto]],producto!$A$1:$C$33,3,FALSE)</f>
        <v>Deportes</v>
      </c>
      <c r="H249" s="6" t="str">
        <f>VLOOKUP(Tabla1[[#This Row],[Estado]],Tabla3[#All],2,0)</f>
        <v>Occidente</v>
      </c>
    </row>
    <row r="250" spans="1:8" ht="15.75" customHeight="1" x14ac:dyDescent="0.25">
      <c r="A250" s="1">
        <v>200248</v>
      </c>
      <c r="B250" s="2">
        <v>45799</v>
      </c>
      <c r="C250" s="1">
        <v>9</v>
      </c>
      <c r="D250" s="1" t="s">
        <v>11</v>
      </c>
      <c r="E250" s="1">
        <v>1366</v>
      </c>
      <c r="F250" t="str">
        <f>VLOOKUP(Tabla1[[#This Row],[IDProducto]],producto!$A$1:$C$33,2,FALSE)</f>
        <v>Producto_9</v>
      </c>
      <c r="G250" t="str">
        <f>VLOOKUP(Tabla1[[#This Row],[IDProducto]],producto!$A$1:$C$33,3,FALSE)</f>
        <v>Electrónica</v>
      </c>
      <c r="H250" s="6" t="str">
        <f>VLOOKUP(Tabla1[[#This Row],[Estado]],Tabla3[#All],2,0)</f>
        <v>Occidente</v>
      </c>
    </row>
    <row r="251" spans="1:8" ht="15.75" customHeight="1" x14ac:dyDescent="0.25">
      <c r="A251" s="1">
        <v>200249</v>
      </c>
      <c r="B251" s="2">
        <v>45712</v>
      </c>
      <c r="C251" s="1">
        <v>21</v>
      </c>
      <c r="D251" s="1" t="s">
        <v>7</v>
      </c>
      <c r="E251" s="1">
        <v>1775</v>
      </c>
      <c r="F251" t="str">
        <f>VLOOKUP(Tabla1[[#This Row],[IDProducto]],producto!$A$1:$C$33,2,FALSE)</f>
        <v>Producto_21</v>
      </c>
      <c r="G251" t="str">
        <f>VLOOKUP(Tabla1[[#This Row],[IDProducto]],producto!$A$1:$C$33,3,FALSE)</f>
        <v>Electrónica</v>
      </c>
      <c r="H251" s="6" t="str">
        <f>VLOOKUP(Tabla1[[#This Row],[Estado]],Tabla3[#All],2,0)</f>
        <v>Norte</v>
      </c>
    </row>
    <row r="252" spans="1:8" ht="15.75" customHeight="1" x14ac:dyDescent="0.25">
      <c r="A252" s="1">
        <v>200250</v>
      </c>
      <c r="B252" s="2">
        <v>45791</v>
      </c>
      <c r="C252" s="1">
        <v>13</v>
      </c>
      <c r="D252" s="1" t="s">
        <v>9</v>
      </c>
      <c r="E252" s="1">
        <v>1949</v>
      </c>
      <c r="F252" t="str">
        <f>VLOOKUP(Tabla1[[#This Row],[IDProducto]],producto!$A$1:$C$33,2,FALSE)</f>
        <v>Producto_13</v>
      </c>
      <c r="G252" t="str">
        <f>VLOOKUP(Tabla1[[#This Row],[IDProducto]],producto!$A$1:$C$33,3,FALSE)</f>
        <v>Deportes</v>
      </c>
      <c r="H252" s="6" t="str">
        <f>VLOOKUP(Tabla1[[#This Row],[Estado]],Tabla3[#All],2,0)</f>
        <v>Sur</v>
      </c>
    </row>
    <row r="253" spans="1:8" ht="15.75" customHeight="1" x14ac:dyDescent="0.25">
      <c r="A253" s="1">
        <v>200251</v>
      </c>
      <c r="B253" s="2">
        <v>45730</v>
      </c>
      <c r="C253" s="1">
        <v>11</v>
      </c>
      <c r="D253" s="1" t="s">
        <v>10</v>
      </c>
      <c r="E253" s="1">
        <v>1625</v>
      </c>
      <c r="F253" t="str">
        <f>VLOOKUP(Tabla1[[#This Row],[IDProducto]],producto!$A$1:$C$33,2,FALSE)</f>
        <v>Producto_11</v>
      </c>
      <c r="G253" t="str">
        <f>VLOOKUP(Tabla1[[#This Row],[IDProducto]],producto!$A$1:$C$33,3,FALSE)</f>
        <v>Ropa</v>
      </c>
      <c r="H253" s="6" t="str">
        <f>VLOOKUP(Tabla1[[#This Row],[Estado]],Tabla3[#All],2,0)</f>
        <v>Centro</v>
      </c>
    </row>
    <row r="254" spans="1:8" ht="15.75" customHeight="1" x14ac:dyDescent="0.25">
      <c r="A254" s="1">
        <v>200252</v>
      </c>
      <c r="B254" s="2">
        <v>45810</v>
      </c>
      <c r="C254" s="1">
        <v>22</v>
      </c>
      <c r="D254" s="1" t="s">
        <v>11</v>
      </c>
      <c r="E254" s="1">
        <v>294</v>
      </c>
      <c r="F254" t="str">
        <f>VLOOKUP(Tabla1[[#This Row],[IDProducto]],producto!$A$1:$C$33,2,FALSE)</f>
        <v>Producto_22</v>
      </c>
      <c r="G254" t="str">
        <f>VLOOKUP(Tabla1[[#This Row],[IDProducto]],producto!$A$1:$C$33,3,FALSE)</f>
        <v>Hogar</v>
      </c>
      <c r="H254" s="6" t="str">
        <f>VLOOKUP(Tabla1[[#This Row],[Estado]],Tabla3[#All],2,0)</f>
        <v>Occidente</v>
      </c>
    </row>
    <row r="255" spans="1:8" ht="15.75" customHeight="1" x14ac:dyDescent="0.25">
      <c r="A255" s="1">
        <v>200253</v>
      </c>
      <c r="B255" s="2">
        <v>45820</v>
      </c>
      <c r="C255" s="1">
        <v>11</v>
      </c>
      <c r="D255" s="1" t="s">
        <v>8</v>
      </c>
      <c r="E255" s="1">
        <v>1672</v>
      </c>
      <c r="F255" t="str">
        <f>VLOOKUP(Tabla1[[#This Row],[IDProducto]],producto!$A$1:$C$33,2,FALSE)</f>
        <v>Producto_11</v>
      </c>
      <c r="G255" t="str">
        <f>VLOOKUP(Tabla1[[#This Row],[IDProducto]],producto!$A$1:$C$33,3,FALSE)</f>
        <v>Ropa</v>
      </c>
      <c r="H255" s="6" t="str">
        <f>VLOOKUP(Tabla1[[#This Row],[Estado]],Tabla3[#All],2,0)</f>
        <v>Norte</v>
      </c>
    </row>
    <row r="256" spans="1:8" ht="15.75" customHeight="1" x14ac:dyDescent="0.25">
      <c r="A256" s="1">
        <v>200254</v>
      </c>
      <c r="B256" s="2">
        <v>45681</v>
      </c>
      <c r="C256" s="1">
        <v>30</v>
      </c>
      <c r="D256" s="1" t="s">
        <v>5</v>
      </c>
      <c r="E256" s="1">
        <v>1840</v>
      </c>
      <c r="F256" t="str">
        <f>VLOOKUP(Tabla1[[#This Row],[IDProducto]],producto!$A$1:$C$33,2,FALSE)</f>
        <v>Producto_30</v>
      </c>
      <c r="G256" t="str">
        <f>VLOOKUP(Tabla1[[#This Row],[IDProducto]],producto!$A$1:$C$33,3,FALSE)</f>
        <v>Hogar</v>
      </c>
      <c r="H256" s="6" t="str">
        <f>VLOOKUP(Tabla1[[#This Row],[Estado]],Tabla3[#All],2,0)</f>
        <v>Centro</v>
      </c>
    </row>
    <row r="257" spans="1:8" ht="15.75" customHeight="1" x14ac:dyDescent="0.25">
      <c r="A257" s="1">
        <v>200255</v>
      </c>
      <c r="B257" s="2">
        <v>45661</v>
      </c>
      <c r="C257" s="1">
        <v>21</v>
      </c>
      <c r="D257" s="1" t="s">
        <v>10</v>
      </c>
      <c r="E257" s="1">
        <v>848</v>
      </c>
      <c r="F257" t="str">
        <f>VLOOKUP(Tabla1[[#This Row],[IDProducto]],producto!$A$1:$C$33,2,FALSE)</f>
        <v>Producto_21</v>
      </c>
      <c r="G257" t="str">
        <f>VLOOKUP(Tabla1[[#This Row],[IDProducto]],producto!$A$1:$C$33,3,FALSE)</f>
        <v>Electrónica</v>
      </c>
      <c r="H257" s="6" t="str">
        <f>VLOOKUP(Tabla1[[#This Row],[Estado]],Tabla3[#All],2,0)</f>
        <v>Centro</v>
      </c>
    </row>
    <row r="258" spans="1:8" ht="15.75" customHeight="1" x14ac:dyDescent="0.25">
      <c r="A258" s="1">
        <v>200256</v>
      </c>
      <c r="B258" s="2">
        <v>45702</v>
      </c>
      <c r="C258" s="1">
        <v>12</v>
      </c>
      <c r="D258" s="1" t="s">
        <v>8</v>
      </c>
      <c r="E258" s="1">
        <v>1242</v>
      </c>
      <c r="F258" t="str">
        <f>VLOOKUP(Tabla1[[#This Row],[IDProducto]],producto!$A$1:$C$33,2,FALSE)</f>
        <v>Producto_12</v>
      </c>
      <c r="G258" t="str">
        <f>VLOOKUP(Tabla1[[#This Row],[IDProducto]],producto!$A$1:$C$33,3,FALSE)</f>
        <v>Hogar</v>
      </c>
      <c r="H258" s="6" t="str">
        <f>VLOOKUP(Tabla1[[#This Row],[Estado]],Tabla3[#All],2,0)</f>
        <v>Norte</v>
      </c>
    </row>
    <row r="259" spans="1:8" ht="15.75" customHeight="1" x14ac:dyDescent="0.25">
      <c r="A259" s="1">
        <v>200257</v>
      </c>
      <c r="B259" s="2">
        <v>45835</v>
      </c>
      <c r="C259" s="1">
        <v>16</v>
      </c>
      <c r="D259" s="1" t="s">
        <v>7</v>
      </c>
      <c r="E259" s="1">
        <v>1067</v>
      </c>
      <c r="F259" t="str">
        <f>VLOOKUP(Tabla1[[#This Row],[IDProducto]],producto!$A$1:$C$33,2,FALSE)</f>
        <v>Producto_16</v>
      </c>
      <c r="G259" t="str">
        <f>VLOOKUP(Tabla1[[#This Row],[IDProducto]],producto!$A$1:$C$33,3,FALSE)</f>
        <v>Ropa</v>
      </c>
      <c r="H259" s="6" t="str">
        <f>VLOOKUP(Tabla1[[#This Row],[Estado]],Tabla3[#All],2,0)</f>
        <v>Norte</v>
      </c>
    </row>
    <row r="260" spans="1:8" ht="15.75" customHeight="1" x14ac:dyDescent="0.25">
      <c r="A260" s="1">
        <v>200258</v>
      </c>
      <c r="B260" s="2">
        <v>45688</v>
      </c>
      <c r="C260" s="1">
        <v>14</v>
      </c>
      <c r="D260" s="1" t="s">
        <v>7</v>
      </c>
      <c r="E260" s="1">
        <v>1942</v>
      </c>
      <c r="F260" t="str">
        <f>VLOOKUP(Tabla1[[#This Row],[IDProducto]],producto!$A$1:$C$33,2,FALSE)</f>
        <v>Producto_14</v>
      </c>
      <c r="G260" t="str">
        <f>VLOOKUP(Tabla1[[#This Row],[IDProducto]],producto!$A$1:$C$33,3,FALSE)</f>
        <v>Hogar</v>
      </c>
      <c r="H260" s="6" t="str">
        <f>VLOOKUP(Tabla1[[#This Row],[Estado]],Tabla3[#All],2,0)</f>
        <v>Norte</v>
      </c>
    </row>
    <row r="261" spans="1:8" ht="15.75" customHeight="1" x14ac:dyDescent="0.25">
      <c r="A261" s="1">
        <v>200259</v>
      </c>
      <c r="B261" s="2">
        <v>45690</v>
      </c>
      <c r="C261" s="1">
        <v>30</v>
      </c>
      <c r="D261" s="1" t="s">
        <v>7</v>
      </c>
      <c r="E261" s="1">
        <v>1304</v>
      </c>
      <c r="F261" t="str">
        <f>VLOOKUP(Tabla1[[#This Row],[IDProducto]],producto!$A$1:$C$33,2,FALSE)</f>
        <v>Producto_30</v>
      </c>
      <c r="G261" t="str">
        <f>VLOOKUP(Tabla1[[#This Row],[IDProducto]],producto!$A$1:$C$33,3,FALSE)</f>
        <v>Hogar</v>
      </c>
      <c r="H261" s="6" t="str">
        <f>VLOOKUP(Tabla1[[#This Row],[Estado]],Tabla3[#All],2,0)</f>
        <v>Norte</v>
      </c>
    </row>
    <row r="262" spans="1:8" ht="15.75" customHeight="1" x14ac:dyDescent="0.25">
      <c r="A262" s="1">
        <v>200260</v>
      </c>
      <c r="B262" s="2">
        <v>45756</v>
      </c>
      <c r="C262" s="1">
        <v>23</v>
      </c>
      <c r="D262" s="1" t="s">
        <v>10</v>
      </c>
      <c r="E262" s="1">
        <v>1171</v>
      </c>
      <c r="F262" t="str">
        <f>VLOOKUP(Tabla1[[#This Row],[IDProducto]],producto!$A$1:$C$33,2,FALSE)</f>
        <v>Producto_23</v>
      </c>
      <c r="G262" t="str">
        <f>VLOOKUP(Tabla1[[#This Row],[IDProducto]],producto!$A$1:$C$33,3,FALSE)</f>
        <v>Deportes</v>
      </c>
      <c r="H262" s="6" t="str">
        <f>VLOOKUP(Tabla1[[#This Row],[Estado]],Tabla3[#All],2,0)</f>
        <v>Centro</v>
      </c>
    </row>
    <row r="263" spans="1:8" ht="15.75" customHeight="1" x14ac:dyDescent="0.25">
      <c r="A263" s="1">
        <v>200261</v>
      </c>
      <c r="B263" s="2">
        <v>45704</v>
      </c>
      <c r="C263" s="1">
        <v>2</v>
      </c>
      <c r="D263" s="1" t="s">
        <v>12</v>
      </c>
      <c r="E263" s="1">
        <v>976</v>
      </c>
      <c r="F263" t="str">
        <f>VLOOKUP(Tabla1[[#This Row],[IDProducto]],producto!$A$1:$C$33,2,FALSE)</f>
        <v>Producto_2</v>
      </c>
      <c r="G263" t="str">
        <f>VLOOKUP(Tabla1[[#This Row],[IDProducto]],producto!$A$1:$C$33,3,FALSE)</f>
        <v>Deportes</v>
      </c>
      <c r="H263" s="6" t="str">
        <f>VLOOKUP(Tabla1[[#This Row],[Estado]],Tabla3[#All],2,0)</f>
        <v>Centro</v>
      </c>
    </row>
    <row r="264" spans="1:8" ht="15.75" customHeight="1" x14ac:dyDescent="0.25">
      <c r="A264" s="1">
        <v>200262</v>
      </c>
      <c r="B264" s="2">
        <v>45797</v>
      </c>
      <c r="C264" s="1">
        <v>8</v>
      </c>
      <c r="D264" s="1" t="s">
        <v>8</v>
      </c>
      <c r="E264" s="1">
        <v>1557</v>
      </c>
      <c r="F264" t="str">
        <f>VLOOKUP(Tabla1[[#This Row],[IDProducto]],producto!$A$1:$C$33,2,FALSE)</f>
        <v>Producto_8</v>
      </c>
      <c r="G264" t="str">
        <f>VLOOKUP(Tabla1[[#This Row],[IDProducto]],producto!$A$1:$C$33,3,FALSE)</f>
        <v>Electrónica</v>
      </c>
      <c r="H264" s="6" t="str">
        <f>VLOOKUP(Tabla1[[#This Row],[Estado]],Tabla3[#All],2,0)</f>
        <v>Norte</v>
      </c>
    </row>
    <row r="265" spans="1:8" ht="15.75" customHeight="1" x14ac:dyDescent="0.25">
      <c r="A265" s="1">
        <v>200263</v>
      </c>
      <c r="B265" s="2">
        <v>45728</v>
      </c>
      <c r="C265" s="1">
        <v>13</v>
      </c>
      <c r="D265" s="1" t="s">
        <v>12</v>
      </c>
      <c r="E265" s="1">
        <v>1829</v>
      </c>
      <c r="F265" t="str">
        <f>VLOOKUP(Tabla1[[#This Row],[IDProducto]],producto!$A$1:$C$33,2,FALSE)</f>
        <v>Producto_13</v>
      </c>
      <c r="G265" t="str">
        <f>VLOOKUP(Tabla1[[#This Row],[IDProducto]],producto!$A$1:$C$33,3,FALSE)</f>
        <v>Deportes</v>
      </c>
      <c r="H265" s="6" t="str">
        <f>VLOOKUP(Tabla1[[#This Row],[Estado]],Tabla3[#All],2,0)</f>
        <v>Centro</v>
      </c>
    </row>
    <row r="266" spans="1:8" ht="15.75" customHeight="1" x14ac:dyDescent="0.25">
      <c r="A266" s="1">
        <v>200264</v>
      </c>
      <c r="B266" s="2">
        <v>45745</v>
      </c>
      <c r="C266" s="1">
        <v>32</v>
      </c>
      <c r="D266" s="1" t="s">
        <v>12</v>
      </c>
      <c r="E266" s="1">
        <v>354</v>
      </c>
      <c r="F266" t="str">
        <f>VLOOKUP(Tabla1[[#This Row],[IDProducto]],producto!$A$1:$C$33,2,FALSE)</f>
        <v>Producto_32</v>
      </c>
      <c r="G266" t="str">
        <f>VLOOKUP(Tabla1[[#This Row],[IDProducto]],producto!$A$1:$C$33,3,FALSE)</f>
        <v>Hogar</v>
      </c>
      <c r="H266" s="6" t="str">
        <f>VLOOKUP(Tabla1[[#This Row],[Estado]],Tabla3[#All],2,0)</f>
        <v>Centro</v>
      </c>
    </row>
    <row r="267" spans="1:8" ht="15.75" customHeight="1" x14ac:dyDescent="0.25">
      <c r="A267" s="1">
        <v>200265</v>
      </c>
      <c r="B267" s="2">
        <v>45809</v>
      </c>
      <c r="C267" s="1">
        <v>8</v>
      </c>
      <c r="D267" s="1" t="s">
        <v>11</v>
      </c>
      <c r="E267" s="1">
        <v>1753</v>
      </c>
      <c r="F267" t="str">
        <f>VLOOKUP(Tabla1[[#This Row],[IDProducto]],producto!$A$1:$C$33,2,FALSE)</f>
        <v>Producto_8</v>
      </c>
      <c r="G267" t="str">
        <f>VLOOKUP(Tabla1[[#This Row],[IDProducto]],producto!$A$1:$C$33,3,FALSE)</f>
        <v>Electrónica</v>
      </c>
      <c r="H267" s="6" t="str">
        <f>VLOOKUP(Tabla1[[#This Row],[Estado]],Tabla3[#All],2,0)</f>
        <v>Occidente</v>
      </c>
    </row>
    <row r="268" spans="1:8" ht="15.75" customHeight="1" x14ac:dyDescent="0.25">
      <c r="A268" s="1">
        <v>200266</v>
      </c>
      <c r="B268" s="2">
        <v>45823</v>
      </c>
      <c r="C268" s="1">
        <v>13</v>
      </c>
      <c r="D268" s="1" t="s">
        <v>5</v>
      </c>
      <c r="E268" s="1">
        <v>124</v>
      </c>
      <c r="F268" t="str">
        <f>VLOOKUP(Tabla1[[#This Row],[IDProducto]],producto!$A$1:$C$33,2,FALSE)</f>
        <v>Producto_13</v>
      </c>
      <c r="G268" t="str">
        <f>VLOOKUP(Tabla1[[#This Row],[IDProducto]],producto!$A$1:$C$33,3,FALSE)</f>
        <v>Deportes</v>
      </c>
      <c r="H268" s="6" t="str">
        <f>VLOOKUP(Tabla1[[#This Row],[Estado]],Tabla3[#All],2,0)</f>
        <v>Centro</v>
      </c>
    </row>
    <row r="269" spans="1:8" ht="15.75" customHeight="1" x14ac:dyDescent="0.25">
      <c r="A269" s="1">
        <v>200267</v>
      </c>
      <c r="B269" s="2">
        <v>45708</v>
      </c>
      <c r="C269" s="1">
        <v>2</v>
      </c>
      <c r="D269" s="1" t="s">
        <v>7</v>
      </c>
      <c r="E269" s="1">
        <v>488</v>
      </c>
      <c r="F269" t="str">
        <f>VLOOKUP(Tabla1[[#This Row],[IDProducto]],producto!$A$1:$C$33,2,FALSE)</f>
        <v>Producto_2</v>
      </c>
      <c r="G269" t="str">
        <f>VLOOKUP(Tabla1[[#This Row],[IDProducto]],producto!$A$1:$C$33,3,FALSE)</f>
        <v>Deportes</v>
      </c>
      <c r="H269" s="6" t="str">
        <f>VLOOKUP(Tabla1[[#This Row],[Estado]],Tabla3[#All],2,0)</f>
        <v>Norte</v>
      </c>
    </row>
    <row r="270" spans="1:8" ht="15.75" customHeight="1" x14ac:dyDescent="0.25">
      <c r="A270" s="1">
        <v>200268</v>
      </c>
      <c r="B270" s="2">
        <v>45773</v>
      </c>
      <c r="C270" s="1">
        <v>26</v>
      </c>
      <c r="D270" s="1" t="s">
        <v>12</v>
      </c>
      <c r="E270" s="1">
        <v>814</v>
      </c>
      <c r="F270" t="str">
        <f>VLOOKUP(Tabla1[[#This Row],[IDProducto]],producto!$A$1:$C$33,2,FALSE)</f>
        <v>Producto_26</v>
      </c>
      <c r="G270" t="str">
        <f>VLOOKUP(Tabla1[[#This Row],[IDProducto]],producto!$A$1:$C$33,3,FALSE)</f>
        <v>Hogar</v>
      </c>
      <c r="H270" s="6" t="str">
        <f>VLOOKUP(Tabla1[[#This Row],[Estado]],Tabla3[#All],2,0)</f>
        <v>Centro</v>
      </c>
    </row>
    <row r="271" spans="1:8" ht="15.75" customHeight="1" x14ac:dyDescent="0.25">
      <c r="A271" s="1">
        <v>200269</v>
      </c>
      <c r="B271" s="2">
        <v>45798</v>
      </c>
      <c r="C271" s="1">
        <v>25</v>
      </c>
      <c r="D271" s="1" t="s">
        <v>7</v>
      </c>
      <c r="E271" s="1">
        <v>974</v>
      </c>
      <c r="F271" t="str">
        <f>VLOOKUP(Tabla1[[#This Row],[IDProducto]],producto!$A$1:$C$33,2,FALSE)</f>
        <v>Producto_25</v>
      </c>
      <c r="G271" t="str">
        <f>VLOOKUP(Tabla1[[#This Row],[IDProducto]],producto!$A$1:$C$33,3,FALSE)</f>
        <v>Electrónica</v>
      </c>
      <c r="H271" s="6" t="str">
        <f>VLOOKUP(Tabla1[[#This Row],[Estado]],Tabla3[#All],2,0)</f>
        <v>Norte</v>
      </c>
    </row>
    <row r="272" spans="1:8" ht="15.75" customHeight="1" x14ac:dyDescent="0.25">
      <c r="A272" s="1">
        <v>200270</v>
      </c>
      <c r="B272" s="2">
        <v>45720</v>
      </c>
      <c r="C272" s="1">
        <v>17</v>
      </c>
      <c r="D272" s="1" t="s">
        <v>5</v>
      </c>
      <c r="E272" s="1">
        <v>1292</v>
      </c>
      <c r="F272" t="str">
        <f>VLOOKUP(Tabla1[[#This Row],[IDProducto]],producto!$A$1:$C$33,2,FALSE)</f>
        <v>Producto_17</v>
      </c>
      <c r="G272" t="str">
        <f>VLOOKUP(Tabla1[[#This Row],[IDProducto]],producto!$A$1:$C$33,3,FALSE)</f>
        <v>Ropa</v>
      </c>
      <c r="H272" s="6" t="str">
        <f>VLOOKUP(Tabla1[[#This Row],[Estado]],Tabla3[#All],2,0)</f>
        <v>Centro</v>
      </c>
    </row>
    <row r="273" spans="1:8" ht="15.75" customHeight="1" x14ac:dyDescent="0.25">
      <c r="A273" s="1">
        <v>200271</v>
      </c>
      <c r="B273" s="2">
        <v>45673</v>
      </c>
      <c r="C273" s="1">
        <v>23</v>
      </c>
      <c r="D273" s="1" t="s">
        <v>12</v>
      </c>
      <c r="E273" s="1">
        <v>1398</v>
      </c>
      <c r="F273" t="str">
        <f>VLOOKUP(Tabla1[[#This Row],[IDProducto]],producto!$A$1:$C$33,2,FALSE)</f>
        <v>Producto_23</v>
      </c>
      <c r="G273" t="str">
        <f>VLOOKUP(Tabla1[[#This Row],[IDProducto]],producto!$A$1:$C$33,3,FALSE)</f>
        <v>Deportes</v>
      </c>
      <c r="H273" s="6" t="str">
        <f>VLOOKUP(Tabla1[[#This Row],[Estado]],Tabla3[#All],2,0)</f>
        <v>Centro</v>
      </c>
    </row>
    <row r="274" spans="1:8" ht="15.75" customHeight="1" x14ac:dyDescent="0.25">
      <c r="A274" s="1">
        <v>200272</v>
      </c>
      <c r="B274" s="2">
        <v>45789</v>
      </c>
      <c r="C274" s="1">
        <v>32</v>
      </c>
      <c r="D274" s="1" t="s">
        <v>9</v>
      </c>
      <c r="E274" s="1">
        <v>106</v>
      </c>
      <c r="F274" t="str">
        <f>VLOOKUP(Tabla1[[#This Row],[IDProducto]],producto!$A$1:$C$33,2,FALSE)</f>
        <v>Producto_32</v>
      </c>
      <c r="G274" t="str">
        <f>VLOOKUP(Tabla1[[#This Row],[IDProducto]],producto!$A$1:$C$33,3,FALSE)</f>
        <v>Hogar</v>
      </c>
      <c r="H274" s="6" t="str">
        <f>VLOOKUP(Tabla1[[#This Row],[Estado]],Tabla3[#All],2,0)</f>
        <v>Sur</v>
      </c>
    </row>
    <row r="275" spans="1:8" ht="15.75" customHeight="1" x14ac:dyDescent="0.25">
      <c r="A275" s="1">
        <v>200273</v>
      </c>
      <c r="B275" s="2">
        <v>45704</v>
      </c>
      <c r="C275" s="1">
        <v>11</v>
      </c>
      <c r="D275" s="1" t="s">
        <v>6</v>
      </c>
      <c r="E275" s="1">
        <v>1772</v>
      </c>
      <c r="F275" t="str">
        <f>VLOOKUP(Tabla1[[#This Row],[IDProducto]],producto!$A$1:$C$33,2,FALSE)</f>
        <v>Producto_11</v>
      </c>
      <c r="G275" t="str">
        <f>VLOOKUP(Tabla1[[#This Row],[IDProducto]],producto!$A$1:$C$33,3,FALSE)</f>
        <v>Ropa</v>
      </c>
      <c r="H275" s="6" t="str">
        <f>VLOOKUP(Tabla1[[#This Row],[Estado]],Tabla3[#All],2,0)</f>
        <v>Occidente</v>
      </c>
    </row>
    <row r="276" spans="1:8" ht="15.75" customHeight="1" x14ac:dyDescent="0.25">
      <c r="A276" s="1">
        <v>200274</v>
      </c>
      <c r="B276" s="2">
        <v>45794</v>
      </c>
      <c r="C276" s="1">
        <v>5</v>
      </c>
      <c r="D276" s="1" t="s">
        <v>9</v>
      </c>
      <c r="E276" s="1">
        <v>1614</v>
      </c>
      <c r="F276" t="str">
        <f>VLOOKUP(Tabla1[[#This Row],[IDProducto]],producto!$A$1:$C$33,2,FALSE)</f>
        <v>Producto_5</v>
      </c>
      <c r="G276" t="str">
        <f>VLOOKUP(Tabla1[[#This Row],[IDProducto]],producto!$A$1:$C$33,3,FALSE)</f>
        <v>Hogar</v>
      </c>
      <c r="H276" s="6" t="str">
        <f>VLOOKUP(Tabla1[[#This Row],[Estado]],Tabla3[#All],2,0)</f>
        <v>Sur</v>
      </c>
    </row>
    <row r="277" spans="1:8" ht="15.75" customHeight="1" x14ac:dyDescent="0.25">
      <c r="A277" s="1">
        <v>200275</v>
      </c>
      <c r="B277" s="2">
        <v>45800</v>
      </c>
      <c r="C277" s="1">
        <v>5</v>
      </c>
      <c r="D277" s="1" t="s">
        <v>6</v>
      </c>
      <c r="E277" s="1">
        <v>1559</v>
      </c>
      <c r="F277" t="str">
        <f>VLOOKUP(Tabla1[[#This Row],[IDProducto]],producto!$A$1:$C$33,2,FALSE)</f>
        <v>Producto_5</v>
      </c>
      <c r="G277" t="str">
        <f>VLOOKUP(Tabla1[[#This Row],[IDProducto]],producto!$A$1:$C$33,3,FALSE)</f>
        <v>Hogar</v>
      </c>
      <c r="H277" s="6" t="str">
        <f>VLOOKUP(Tabla1[[#This Row],[Estado]],Tabla3[#All],2,0)</f>
        <v>Occidente</v>
      </c>
    </row>
    <row r="278" spans="1:8" ht="15.75" customHeight="1" x14ac:dyDescent="0.25">
      <c r="A278" s="1">
        <v>200276</v>
      </c>
      <c r="B278" s="2">
        <v>45679</v>
      </c>
      <c r="C278" s="1">
        <v>5</v>
      </c>
      <c r="D278" s="1" t="s">
        <v>9</v>
      </c>
      <c r="E278" s="1">
        <v>148</v>
      </c>
      <c r="F278" t="str">
        <f>VLOOKUP(Tabla1[[#This Row],[IDProducto]],producto!$A$1:$C$33,2,FALSE)</f>
        <v>Producto_5</v>
      </c>
      <c r="G278" t="str">
        <f>VLOOKUP(Tabla1[[#This Row],[IDProducto]],producto!$A$1:$C$33,3,FALSE)</f>
        <v>Hogar</v>
      </c>
      <c r="H278" s="6" t="str">
        <f>VLOOKUP(Tabla1[[#This Row],[Estado]],Tabla3[#All],2,0)</f>
        <v>Sur</v>
      </c>
    </row>
    <row r="279" spans="1:8" ht="15.75" customHeight="1" x14ac:dyDescent="0.25">
      <c r="A279" s="1">
        <v>200277</v>
      </c>
      <c r="B279" s="2">
        <v>45668</v>
      </c>
      <c r="C279" s="1">
        <v>29</v>
      </c>
      <c r="D279" s="1" t="s">
        <v>9</v>
      </c>
      <c r="E279" s="1">
        <v>502</v>
      </c>
      <c r="F279" t="str">
        <f>VLOOKUP(Tabla1[[#This Row],[IDProducto]],producto!$A$1:$C$33,2,FALSE)</f>
        <v>Producto_29</v>
      </c>
      <c r="G279" t="str">
        <f>VLOOKUP(Tabla1[[#This Row],[IDProducto]],producto!$A$1:$C$33,3,FALSE)</f>
        <v>Electrónica</v>
      </c>
      <c r="H279" s="6" t="str">
        <f>VLOOKUP(Tabla1[[#This Row],[Estado]],Tabla3[#All],2,0)</f>
        <v>Sur</v>
      </c>
    </row>
    <row r="280" spans="1:8" ht="15.75" customHeight="1" x14ac:dyDescent="0.25">
      <c r="A280" s="1">
        <v>200278</v>
      </c>
      <c r="B280" s="2">
        <v>45797</v>
      </c>
      <c r="C280" s="1">
        <v>2</v>
      </c>
      <c r="D280" s="1" t="s">
        <v>10</v>
      </c>
      <c r="E280" s="1">
        <v>637</v>
      </c>
      <c r="F280" t="str">
        <f>VLOOKUP(Tabla1[[#This Row],[IDProducto]],producto!$A$1:$C$33,2,FALSE)</f>
        <v>Producto_2</v>
      </c>
      <c r="G280" t="str">
        <f>VLOOKUP(Tabla1[[#This Row],[IDProducto]],producto!$A$1:$C$33,3,FALSE)</f>
        <v>Deportes</v>
      </c>
      <c r="H280" s="6" t="str">
        <f>VLOOKUP(Tabla1[[#This Row],[Estado]],Tabla3[#All],2,0)</f>
        <v>Centro</v>
      </c>
    </row>
    <row r="281" spans="1:8" ht="15.75" customHeight="1" x14ac:dyDescent="0.25">
      <c r="A281" s="1">
        <v>200279</v>
      </c>
      <c r="B281" s="2">
        <v>45802</v>
      </c>
      <c r="C281" s="1">
        <v>12</v>
      </c>
      <c r="D281" s="1" t="s">
        <v>11</v>
      </c>
      <c r="E281" s="1">
        <v>541</v>
      </c>
      <c r="F281" t="str">
        <f>VLOOKUP(Tabla1[[#This Row],[IDProducto]],producto!$A$1:$C$33,2,FALSE)</f>
        <v>Producto_12</v>
      </c>
      <c r="G281" t="str">
        <f>VLOOKUP(Tabla1[[#This Row],[IDProducto]],producto!$A$1:$C$33,3,FALSE)</f>
        <v>Hogar</v>
      </c>
      <c r="H281" s="6" t="str">
        <f>VLOOKUP(Tabla1[[#This Row],[Estado]],Tabla3[#All],2,0)</f>
        <v>Occidente</v>
      </c>
    </row>
    <row r="282" spans="1:8" ht="15.75" customHeight="1" x14ac:dyDescent="0.25">
      <c r="A282" s="1">
        <v>200280</v>
      </c>
      <c r="B282" s="2">
        <v>45730</v>
      </c>
      <c r="C282" s="1">
        <v>5</v>
      </c>
      <c r="D282" s="1" t="s">
        <v>8</v>
      </c>
      <c r="E282" s="1">
        <v>515</v>
      </c>
      <c r="F282" t="str">
        <f>VLOOKUP(Tabla1[[#This Row],[IDProducto]],producto!$A$1:$C$33,2,FALSE)</f>
        <v>Producto_5</v>
      </c>
      <c r="G282" t="str">
        <f>VLOOKUP(Tabla1[[#This Row],[IDProducto]],producto!$A$1:$C$33,3,FALSE)</f>
        <v>Hogar</v>
      </c>
      <c r="H282" s="6" t="str">
        <f>VLOOKUP(Tabla1[[#This Row],[Estado]],Tabla3[#All],2,0)</f>
        <v>Norte</v>
      </c>
    </row>
    <row r="283" spans="1:8" ht="15.75" customHeight="1" x14ac:dyDescent="0.25">
      <c r="A283" s="1">
        <v>200281</v>
      </c>
      <c r="B283" s="2">
        <v>45762</v>
      </c>
      <c r="C283" s="1">
        <v>18</v>
      </c>
      <c r="D283" s="1" t="s">
        <v>7</v>
      </c>
      <c r="E283" s="1">
        <v>1759</v>
      </c>
      <c r="F283" t="str">
        <f>VLOOKUP(Tabla1[[#This Row],[IDProducto]],producto!$A$1:$C$33,2,FALSE)</f>
        <v>Producto_18</v>
      </c>
      <c r="G283" t="str">
        <f>VLOOKUP(Tabla1[[#This Row],[IDProducto]],producto!$A$1:$C$33,3,FALSE)</f>
        <v>Ropa</v>
      </c>
      <c r="H283" s="6" t="str">
        <f>VLOOKUP(Tabla1[[#This Row],[Estado]],Tabla3[#All],2,0)</f>
        <v>Norte</v>
      </c>
    </row>
    <row r="284" spans="1:8" ht="15.75" customHeight="1" x14ac:dyDescent="0.25">
      <c r="A284" s="1">
        <v>200282</v>
      </c>
      <c r="B284" s="2">
        <v>45663</v>
      </c>
      <c r="C284" s="1">
        <v>16</v>
      </c>
      <c r="D284" s="1" t="s">
        <v>8</v>
      </c>
      <c r="E284" s="1">
        <v>1457</v>
      </c>
      <c r="F284" t="str">
        <f>VLOOKUP(Tabla1[[#This Row],[IDProducto]],producto!$A$1:$C$33,2,FALSE)</f>
        <v>Producto_16</v>
      </c>
      <c r="G284" t="str">
        <f>VLOOKUP(Tabla1[[#This Row],[IDProducto]],producto!$A$1:$C$33,3,FALSE)</f>
        <v>Ropa</v>
      </c>
      <c r="H284" s="6" t="str">
        <f>VLOOKUP(Tabla1[[#This Row],[Estado]],Tabla3[#All],2,0)</f>
        <v>Norte</v>
      </c>
    </row>
    <row r="285" spans="1:8" ht="15.75" customHeight="1" x14ac:dyDescent="0.25">
      <c r="A285" s="1">
        <v>200283</v>
      </c>
      <c r="B285" s="2">
        <v>45666</v>
      </c>
      <c r="C285" s="1">
        <v>9</v>
      </c>
      <c r="D285" s="1" t="s">
        <v>12</v>
      </c>
      <c r="E285" s="1">
        <v>1427</v>
      </c>
      <c r="F285" t="str">
        <f>VLOOKUP(Tabla1[[#This Row],[IDProducto]],producto!$A$1:$C$33,2,FALSE)</f>
        <v>Producto_9</v>
      </c>
      <c r="G285" t="str">
        <f>VLOOKUP(Tabla1[[#This Row],[IDProducto]],producto!$A$1:$C$33,3,FALSE)</f>
        <v>Electrónica</v>
      </c>
      <c r="H285" s="6" t="str">
        <f>VLOOKUP(Tabla1[[#This Row],[Estado]],Tabla3[#All],2,0)</f>
        <v>Centro</v>
      </c>
    </row>
    <row r="286" spans="1:8" ht="15.75" customHeight="1" x14ac:dyDescent="0.25">
      <c r="A286" s="1">
        <v>200284</v>
      </c>
      <c r="B286" s="2">
        <v>45810</v>
      </c>
      <c r="C286" s="1">
        <v>5</v>
      </c>
      <c r="D286" s="1" t="s">
        <v>8</v>
      </c>
      <c r="E286" s="1">
        <v>1506</v>
      </c>
      <c r="F286" t="str">
        <f>VLOOKUP(Tabla1[[#This Row],[IDProducto]],producto!$A$1:$C$33,2,FALSE)</f>
        <v>Producto_5</v>
      </c>
      <c r="G286" t="str">
        <f>VLOOKUP(Tabla1[[#This Row],[IDProducto]],producto!$A$1:$C$33,3,FALSE)</f>
        <v>Hogar</v>
      </c>
      <c r="H286" s="6" t="str">
        <f>VLOOKUP(Tabla1[[#This Row],[Estado]],Tabla3[#All],2,0)</f>
        <v>Norte</v>
      </c>
    </row>
    <row r="287" spans="1:8" ht="15.75" customHeight="1" x14ac:dyDescent="0.25">
      <c r="A287" s="1">
        <v>200285</v>
      </c>
      <c r="B287" s="2">
        <v>45674</v>
      </c>
      <c r="C287" s="1">
        <v>10</v>
      </c>
      <c r="D287" s="1" t="s">
        <v>7</v>
      </c>
      <c r="E287" s="1">
        <v>757</v>
      </c>
      <c r="F287" t="str">
        <f>VLOOKUP(Tabla1[[#This Row],[IDProducto]],producto!$A$1:$C$33,2,FALSE)</f>
        <v>Producto_10</v>
      </c>
      <c r="G287" t="str">
        <f>VLOOKUP(Tabla1[[#This Row],[IDProducto]],producto!$A$1:$C$33,3,FALSE)</f>
        <v>Ropa</v>
      </c>
      <c r="H287" s="6" t="str">
        <f>VLOOKUP(Tabla1[[#This Row],[Estado]],Tabla3[#All],2,0)</f>
        <v>Norte</v>
      </c>
    </row>
    <row r="288" spans="1:8" ht="15.75" customHeight="1" x14ac:dyDescent="0.25">
      <c r="A288" s="1">
        <v>200286</v>
      </c>
      <c r="B288" s="2">
        <v>45688</v>
      </c>
      <c r="C288" s="1">
        <v>20</v>
      </c>
      <c r="D288" s="1" t="s">
        <v>11</v>
      </c>
      <c r="E288" s="1">
        <v>844</v>
      </c>
      <c r="F288" t="str">
        <f>VLOOKUP(Tabla1[[#This Row],[IDProducto]],producto!$A$1:$C$33,2,FALSE)</f>
        <v>Producto_20</v>
      </c>
      <c r="G288" t="str">
        <f>VLOOKUP(Tabla1[[#This Row],[IDProducto]],producto!$A$1:$C$33,3,FALSE)</f>
        <v>Deportes</v>
      </c>
      <c r="H288" s="6" t="str">
        <f>VLOOKUP(Tabla1[[#This Row],[Estado]],Tabla3[#All],2,0)</f>
        <v>Occidente</v>
      </c>
    </row>
    <row r="289" spans="1:8" ht="15.75" customHeight="1" x14ac:dyDescent="0.25">
      <c r="A289" s="1">
        <v>200287</v>
      </c>
      <c r="B289" s="2">
        <v>45684</v>
      </c>
      <c r="C289" s="1">
        <v>4</v>
      </c>
      <c r="D289" s="1" t="s">
        <v>8</v>
      </c>
      <c r="E289" s="1">
        <v>1824</v>
      </c>
      <c r="F289" t="str">
        <f>VLOOKUP(Tabla1[[#This Row],[IDProducto]],producto!$A$1:$C$33,2,FALSE)</f>
        <v>Producto_4</v>
      </c>
      <c r="G289" t="str">
        <f>VLOOKUP(Tabla1[[#This Row],[IDProducto]],producto!$A$1:$C$33,3,FALSE)</f>
        <v>Deportes</v>
      </c>
      <c r="H289" s="6" t="str">
        <f>VLOOKUP(Tabla1[[#This Row],[Estado]],Tabla3[#All],2,0)</f>
        <v>Norte</v>
      </c>
    </row>
    <row r="290" spans="1:8" ht="15.75" customHeight="1" x14ac:dyDescent="0.25">
      <c r="A290" s="1">
        <v>200288</v>
      </c>
      <c r="B290" s="2">
        <v>45822</v>
      </c>
      <c r="C290" s="1">
        <v>17</v>
      </c>
      <c r="D290" s="1" t="s">
        <v>9</v>
      </c>
      <c r="E290" s="1">
        <v>1239</v>
      </c>
      <c r="F290" t="str">
        <f>VLOOKUP(Tabla1[[#This Row],[IDProducto]],producto!$A$1:$C$33,2,FALSE)</f>
        <v>Producto_17</v>
      </c>
      <c r="G290" t="str">
        <f>VLOOKUP(Tabla1[[#This Row],[IDProducto]],producto!$A$1:$C$33,3,FALSE)</f>
        <v>Ropa</v>
      </c>
      <c r="H290" s="6" t="str">
        <f>VLOOKUP(Tabla1[[#This Row],[Estado]],Tabla3[#All],2,0)</f>
        <v>Sur</v>
      </c>
    </row>
    <row r="291" spans="1:8" ht="15.75" customHeight="1" x14ac:dyDescent="0.25">
      <c r="A291" s="1">
        <v>200289</v>
      </c>
      <c r="B291" s="2">
        <v>45663</v>
      </c>
      <c r="C291" s="1">
        <v>7</v>
      </c>
      <c r="D291" s="1" t="s">
        <v>8</v>
      </c>
      <c r="E291" s="1">
        <v>522</v>
      </c>
      <c r="F291" t="str">
        <f>VLOOKUP(Tabla1[[#This Row],[IDProducto]],producto!$A$1:$C$33,2,FALSE)</f>
        <v>Producto_7</v>
      </c>
      <c r="G291" t="str">
        <f>VLOOKUP(Tabla1[[#This Row],[IDProducto]],producto!$A$1:$C$33,3,FALSE)</f>
        <v>Ropa</v>
      </c>
      <c r="H291" s="6" t="str">
        <f>VLOOKUP(Tabla1[[#This Row],[Estado]],Tabla3[#All],2,0)</f>
        <v>Norte</v>
      </c>
    </row>
    <row r="292" spans="1:8" ht="15.75" customHeight="1" x14ac:dyDescent="0.25">
      <c r="A292" s="1">
        <v>200290</v>
      </c>
      <c r="B292" s="2">
        <v>45733</v>
      </c>
      <c r="C292" s="1">
        <v>18</v>
      </c>
      <c r="D292" s="1" t="s">
        <v>12</v>
      </c>
      <c r="E292" s="1">
        <v>566</v>
      </c>
      <c r="F292" t="str">
        <f>VLOOKUP(Tabla1[[#This Row],[IDProducto]],producto!$A$1:$C$33,2,FALSE)</f>
        <v>Producto_18</v>
      </c>
      <c r="G292" t="str">
        <f>VLOOKUP(Tabla1[[#This Row],[IDProducto]],producto!$A$1:$C$33,3,FALSE)</f>
        <v>Ropa</v>
      </c>
      <c r="H292" s="6" t="str">
        <f>VLOOKUP(Tabla1[[#This Row],[Estado]],Tabla3[#All],2,0)</f>
        <v>Centro</v>
      </c>
    </row>
    <row r="293" spans="1:8" ht="15.75" customHeight="1" x14ac:dyDescent="0.25">
      <c r="A293" s="1">
        <v>200291</v>
      </c>
      <c r="B293" s="2">
        <v>45834</v>
      </c>
      <c r="C293" s="1">
        <v>32</v>
      </c>
      <c r="D293" s="1" t="s">
        <v>7</v>
      </c>
      <c r="E293" s="1">
        <v>823</v>
      </c>
      <c r="F293" t="str">
        <f>VLOOKUP(Tabla1[[#This Row],[IDProducto]],producto!$A$1:$C$33,2,FALSE)</f>
        <v>Producto_32</v>
      </c>
      <c r="G293" t="str">
        <f>VLOOKUP(Tabla1[[#This Row],[IDProducto]],producto!$A$1:$C$33,3,FALSE)</f>
        <v>Hogar</v>
      </c>
      <c r="H293" s="6" t="str">
        <f>VLOOKUP(Tabla1[[#This Row],[Estado]],Tabla3[#All],2,0)</f>
        <v>Norte</v>
      </c>
    </row>
    <row r="294" spans="1:8" ht="15.75" customHeight="1" x14ac:dyDescent="0.25">
      <c r="A294" s="1">
        <v>200292</v>
      </c>
      <c r="B294" s="2">
        <v>45834</v>
      </c>
      <c r="C294" s="1">
        <v>1</v>
      </c>
      <c r="D294" s="1" t="s">
        <v>7</v>
      </c>
      <c r="E294" s="1">
        <v>580</v>
      </c>
      <c r="F294" t="str">
        <f>VLOOKUP(Tabla1[[#This Row],[IDProducto]],producto!$A$1:$C$33,2,FALSE)</f>
        <v>Producto_1</v>
      </c>
      <c r="G294" t="str">
        <f>VLOOKUP(Tabla1[[#This Row],[IDProducto]],producto!$A$1:$C$33,3,FALSE)</f>
        <v>Hogar</v>
      </c>
      <c r="H294" s="6" t="str">
        <f>VLOOKUP(Tabla1[[#This Row],[Estado]],Tabla3[#All],2,0)</f>
        <v>Norte</v>
      </c>
    </row>
    <row r="295" spans="1:8" ht="15.75" customHeight="1" x14ac:dyDescent="0.25">
      <c r="A295" s="1">
        <v>200293</v>
      </c>
      <c r="B295" s="2">
        <v>45780</v>
      </c>
      <c r="C295" s="1">
        <v>3</v>
      </c>
      <c r="D295" s="1" t="s">
        <v>6</v>
      </c>
      <c r="E295" s="1">
        <v>1617</v>
      </c>
      <c r="F295" t="str">
        <f>VLOOKUP(Tabla1[[#This Row],[IDProducto]],producto!$A$1:$C$33,2,FALSE)</f>
        <v>Producto_3</v>
      </c>
      <c r="G295" t="str">
        <f>VLOOKUP(Tabla1[[#This Row],[IDProducto]],producto!$A$1:$C$33,3,FALSE)</f>
        <v>Deportes</v>
      </c>
      <c r="H295" s="6" t="str">
        <f>VLOOKUP(Tabla1[[#This Row],[Estado]],Tabla3[#All],2,0)</f>
        <v>Occidente</v>
      </c>
    </row>
    <row r="296" spans="1:8" ht="15.75" customHeight="1" x14ac:dyDescent="0.25">
      <c r="A296" s="1">
        <v>200294</v>
      </c>
      <c r="B296" s="2">
        <v>45801</v>
      </c>
      <c r="C296" s="1">
        <v>20</v>
      </c>
      <c r="D296" s="1" t="s">
        <v>8</v>
      </c>
      <c r="E296" s="1">
        <v>1792</v>
      </c>
      <c r="F296" t="str">
        <f>VLOOKUP(Tabla1[[#This Row],[IDProducto]],producto!$A$1:$C$33,2,FALSE)</f>
        <v>Producto_20</v>
      </c>
      <c r="G296" t="str">
        <f>VLOOKUP(Tabla1[[#This Row],[IDProducto]],producto!$A$1:$C$33,3,FALSE)</f>
        <v>Deportes</v>
      </c>
      <c r="H296" s="6" t="str">
        <f>VLOOKUP(Tabla1[[#This Row],[Estado]],Tabla3[#All],2,0)</f>
        <v>Norte</v>
      </c>
    </row>
    <row r="297" spans="1:8" ht="15.75" customHeight="1" x14ac:dyDescent="0.25">
      <c r="A297" s="1">
        <v>200295</v>
      </c>
      <c r="B297" s="2">
        <v>45661</v>
      </c>
      <c r="C297" s="1">
        <v>13</v>
      </c>
      <c r="D297" s="1" t="s">
        <v>7</v>
      </c>
      <c r="E297" s="1">
        <v>527</v>
      </c>
      <c r="F297" t="str">
        <f>VLOOKUP(Tabla1[[#This Row],[IDProducto]],producto!$A$1:$C$33,2,FALSE)</f>
        <v>Producto_13</v>
      </c>
      <c r="G297" t="str">
        <f>VLOOKUP(Tabla1[[#This Row],[IDProducto]],producto!$A$1:$C$33,3,FALSE)</f>
        <v>Deportes</v>
      </c>
      <c r="H297" s="6" t="str">
        <f>VLOOKUP(Tabla1[[#This Row],[Estado]],Tabla3[#All],2,0)</f>
        <v>Norte</v>
      </c>
    </row>
    <row r="298" spans="1:8" ht="15.75" customHeight="1" x14ac:dyDescent="0.25">
      <c r="A298" s="1">
        <v>200296</v>
      </c>
      <c r="B298" s="2">
        <v>45730</v>
      </c>
      <c r="C298" s="1">
        <v>24</v>
      </c>
      <c r="D298" s="1" t="s">
        <v>6</v>
      </c>
      <c r="E298" s="1">
        <v>264</v>
      </c>
      <c r="F298" t="str">
        <f>VLOOKUP(Tabla1[[#This Row],[IDProducto]],producto!$A$1:$C$33,2,FALSE)</f>
        <v>Producto_24</v>
      </c>
      <c r="G298" t="str">
        <f>VLOOKUP(Tabla1[[#This Row],[IDProducto]],producto!$A$1:$C$33,3,FALSE)</f>
        <v>Ropa</v>
      </c>
      <c r="H298" s="6" t="str">
        <f>VLOOKUP(Tabla1[[#This Row],[Estado]],Tabla3[#All],2,0)</f>
        <v>Occidente</v>
      </c>
    </row>
    <row r="299" spans="1:8" ht="15.75" customHeight="1" x14ac:dyDescent="0.25">
      <c r="A299" s="1">
        <v>200297</v>
      </c>
      <c r="B299" s="2">
        <v>45665</v>
      </c>
      <c r="C299" s="1">
        <v>26</v>
      </c>
      <c r="D299" s="1" t="s">
        <v>11</v>
      </c>
      <c r="E299" s="1">
        <v>665</v>
      </c>
      <c r="F299" t="str">
        <f>VLOOKUP(Tabla1[[#This Row],[IDProducto]],producto!$A$1:$C$33,2,FALSE)</f>
        <v>Producto_26</v>
      </c>
      <c r="G299" t="str">
        <f>VLOOKUP(Tabla1[[#This Row],[IDProducto]],producto!$A$1:$C$33,3,FALSE)</f>
        <v>Hogar</v>
      </c>
      <c r="H299" s="6" t="str">
        <f>VLOOKUP(Tabla1[[#This Row],[Estado]],Tabla3[#All],2,0)</f>
        <v>Occidente</v>
      </c>
    </row>
    <row r="300" spans="1:8" ht="15.75" customHeight="1" x14ac:dyDescent="0.25">
      <c r="A300" s="1">
        <v>200298</v>
      </c>
      <c r="B300" s="2">
        <v>45835</v>
      </c>
      <c r="C300" s="1">
        <v>24</v>
      </c>
      <c r="D300" s="1" t="s">
        <v>5</v>
      </c>
      <c r="E300" s="1">
        <v>1557</v>
      </c>
      <c r="F300" t="str">
        <f>VLOOKUP(Tabla1[[#This Row],[IDProducto]],producto!$A$1:$C$33,2,FALSE)</f>
        <v>Producto_24</v>
      </c>
      <c r="G300" t="str">
        <f>VLOOKUP(Tabla1[[#This Row],[IDProducto]],producto!$A$1:$C$33,3,FALSE)</f>
        <v>Ropa</v>
      </c>
      <c r="H300" s="6" t="str">
        <f>VLOOKUP(Tabla1[[#This Row],[Estado]],Tabla3[#All],2,0)</f>
        <v>Centro</v>
      </c>
    </row>
    <row r="301" spans="1:8" ht="15.75" customHeight="1" x14ac:dyDescent="0.25">
      <c r="A301" s="1">
        <v>200299</v>
      </c>
      <c r="B301" s="2">
        <v>45740</v>
      </c>
      <c r="C301" s="1">
        <v>2</v>
      </c>
      <c r="D301" s="1" t="s">
        <v>8</v>
      </c>
      <c r="E301" s="1">
        <v>1457</v>
      </c>
      <c r="F301" t="str">
        <f>VLOOKUP(Tabla1[[#This Row],[IDProducto]],producto!$A$1:$C$33,2,FALSE)</f>
        <v>Producto_2</v>
      </c>
      <c r="G301" t="str">
        <f>VLOOKUP(Tabla1[[#This Row],[IDProducto]],producto!$A$1:$C$33,3,FALSE)</f>
        <v>Deportes</v>
      </c>
      <c r="H301" s="6" t="str">
        <f>VLOOKUP(Tabla1[[#This Row],[Estado]],Tabla3[#All],2,0)</f>
        <v>Norte</v>
      </c>
    </row>
    <row r="302" spans="1:8" ht="15.75" customHeight="1" x14ac:dyDescent="0.25">
      <c r="A302" s="1">
        <v>200300</v>
      </c>
      <c r="B302" s="2">
        <v>45698</v>
      </c>
      <c r="C302" s="1">
        <v>25</v>
      </c>
      <c r="D302" s="1" t="s">
        <v>12</v>
      </c>
      <c r="E302" s="1">
        <v>1924</v>
      </c>
      <c r="F302" t="str">
        <f>VLOOKUP(Tabla1[[#This Row],[IDProducto]],producto!$A$1:$C$33,2,FALSE)</f>
        <v>Producto_25</v>
      </c>
      <c r="G302" t="str">
        <f>VLOOKUP(Tabla1[[#This Row],[IDProducto]],producto!$A$1:$C$33,3,FALSE)</f>
        <v>Electrónica</v>
      </c>
      <c r="H302" s="6" t="str">
        <f>VLOOKUP(Tabla1[[#This Row],[Estado]],Tabla3[#All],2,0)</f>
        <v>Centro</v>
      </c>
    </row>
    <row r="303" spans="1:8" ht="15.75" customHeight="1" x14ac:dyDescent="0.25">
      <c r="A303" s="1">
        <v>200301</v>
      </c>
      <c r="B303" s="2">
        <v>45787</v>
      </c>
      <c r="C303" s="1">
        <v>7</v>
      </c>
      <c r="D303" s="1" t="s">
        <v>8</v>
      </c>
      <c r="E303" s="1">
        <v>1317</v>
      </c>
      <c r="F303" t="str">
        <f>VLOOKUP(Tabla1[[#This Row],[IDProducto]],producto!$A$1:$C$33,2,FALSE)</f>
        <v>Producto_7</v>
      </c>
      <c r="G303" t="str">
        <f>VLOOKUP(Tabla1[[#This Row],[IDProducto]],producto!$A$1:$C$33,3,FALSE)</f>
        <v>Ropa</v>
      </c>
      <c r="H303" s="6" t="str">
        <f>VLOOKUP(Tabla1[[#This Row],[Estado]],Tabla3[#All],2,0)</f>
        <v>Norte</v>
      </c>
    </row>
    <row r="304" spans="1:8" ht="15.75" customHeight="1" x14ac:dyDescent="0.25">
      <c r="A304" s="1">
        <v>200302</v>
      </c>
      <c r="B304" s="2">
        <v>45816</v>
      </c>
      <c r="C304" s="1">
        <v>21</v>
      </c>
      <c r="D304" s="1" t="s">
        <v>5</v>
      </c>
      <c r="E304" s="1">
        <v>1638</v>
      </c>
      <c r="F304" t="str">
        <f>VLOOKUP(Tabla1[[#This Row],[IDProducto]],producto!$A$1:$C$33,2,FALSE)</f>
        <v>Producto_21</v>
      </c>
      <c r="G304" t="str">
        <f>VLOOKUP(Tabla1[[#This Row],[IDProducto]],producto!$A$1:$C$33,3,FALSE)</f>
        <v>Electrónica</v>
      </c>
      <c r="H304" s="6" t="str">
        <f>VLOOKUP(Tabla1[[#This Row],[Estado]],Tabla3[#All],2,0)</f>
        <v>Centro</v>
      </c>
    </row>
    <row r="305" spans="1:8" ht="15.75" customHeight="1" x14ac:dyDescent="0.25">
      <c r="A305" s="1">
        <v>200303</v>
      </c>
      <c r="B305" s="2">
        <v>45795</v>
      </c>
      <c r="C305" s="1">
        <v>22</v>
      </c>
      <c r="D305" s="1" t="s">
        <v>5</v>
      </c>
      <c r="E305" s="1">
        <v>1024</v>
      </c>
      <c r="F305" t="str">
        <f>VLOOKUP(Tabla1[[#This Row],[IDProducto]],producto!$A$1:$C$33,2,FALSE)</f>
        <v>Producto_22</v>
      </c>
      <c r="G305" t="str">
        <f>VLOOKUP(Tabla1[[#This Row],[IDProducto]],producto!$A$1:$C$33,3,FALSE)</f>
        <v>Hogar</v>
      </c>
      <c r="H305" s="6" t="str">
        <f>VLOOKUP(Tabla1[[#This Row],[Estado]],Tabla3[#All],2,0)</f>
        <v>Centro</v>
      </c>
    </row>
    <row r="306" spans="1:8" ht="15.75" customHeight="1" x14ac:dyDescent="0.25">
      <c r="A306" s="1">
        <v>200304</v>
      </c>
      <c r="B306" s="2">
        <v>45783</v>
      </c>
      <c r="C306" s="1">
        <v>30</v>
      </c>
      <c r="D306" s="1" t="s">
        <v>8</v>
      </c>
      <c r="E306" s="1">
        <v>649</v>
      </c>
      <c r="F306" t="str">
        <f>VLOOKUP(Tabla1[[#This Row],[IDProducto]],producto!$A$1:$C$33,2,FALSE)</f>
        <v>Producto_30</v>
      </c>
      <c r="G306" t="str">
        <f>VLOOKUP(Tabla1[[#This Row],[IDProducto]],producto!$A$1:$C$33,3,FALSE)</f>
        <v>Hogar</v>
      </c>
      <c r="H306" s="6" t="str">
        <f>VLOOKUP(Tabla1[[#This Row],[Estado]],Tabla3[#All],2,0)</f>
        <v>Norte</v>
      </c>
    </row>
    <row r="307" spans="1:8" ht="15.75" customHeight="1" x14ac:dyDescent="0.25">
      <c r="A307" s="1">
        <v>200305</v>
      </c>
      <c r="B307" s="2">
        <v>45771</v>
      </c>
      <c r="C307" s="1">
        <v>31</v>
      </c>
      <c r="D307" s="1" t="s">
        <v>8</v>
      </c>
      <c r="E307" s="1">
        <v>845</v>
      </c>
      <c r="F307" t="str">
        <f>VLOOKUP(Tabla1[[#This Row],[IDProducto]],producto!$A$1:$C$33,2,FALSE)</f>
        <v>Producto_31</v>
      </c>
      <c r="G307" t="str">
        <f>VLOOKUP(Tabla1[[#This Row],[IDProducto]],producto!$A$1:$C$33,3,FALSE)</f>
        <v>Deportes</v>
      </c>
      <c r="H307" s="6" t="str">
        <f>VLOOKUP(Tabla1[[#This Row],[Estado]],Tabla3[#All],2,0)</f>
        <v>Norte</v>
      </c>
    </row>
    <row r="308" spans="1:8" ht="15.75" customHeight="1" x14ac:dyDescent="0.25">
      <c r="A308" s="1">
        <v>200306</v>
      </c>
      <c r="B308" s="2">
        <v>45726</v>
      </c>
      <c r="C308" s="1">
        <v>9</v>
      </c>
      <c r="D308" s="1" t="s">
        <v>9</v>
      </c>
      <c r="E308" s="1">
        <v>1785</v>
      </c>
      <c r="F308" t="str">
        <f>VLOOKUP(Tabla1[[#This Row],[IDProducto]],producto!$A$1:$C$33,2,FALSE)</f>
        <v>Producto_9</v>
      </c>
      <c r="G308" t="str">
        <f>VLOOKUP(Tabla1[[#This Row],[IDProducto]],producto!$A$1:$C$33,3,FALSE)</f>
        <v>Electrónica</v>
      </c>
      <c r="H308" s="6" t="str">
        <f>VLOOKUP(Tabla1[[#This Row],[Estado]],Tabla3[#All],2,0)</f>
        <v>Sur</v>
      </c>
    </row>
    <row r="309" spans="1:8" ht="15.75" customHeight="1" x14ac:dyDescent="0.25">
      <c r="A309" s="1">
        <v>200307</v>
      </c>
      <c r="B309" s="2">
        <v>45665</v>
      </c>
      <c r="C309" s="1">
        <v>18</v>
      </c>
      <c r="D309" s="1" t="s">
        <v>11</v>
      </c>
      <c r="E309" s="1">
        <v>1626</v>
      </c>
      <c r="F309" t="str">
        <f>VLOOKUP(Tabla1[[#This Row],[IDProducto]],producto!$A$1:$C$33,2,FALSE)</f>
        <v>Producto_18</v>
      </c>
      <c r="G309" t="str">
        <f>VLOOKUP(Tabla1[[#This Row],[IDProducto]],producto!$A$1:$C$33,3,FALSE)</f>
        <v>Ropa</v>
      </c>
      <c r="H309" s="6" t="str">
        <f>VLOOKUP(Tabla1[[#This Row],[Estado]],Tabla3[#All],2,0)</f>
        <v>Occidente</v>
      </c>
    </row>
    <row r="310" spans="1:8" ht="15.75" customHeight="1" x14ac:dyDescent="0.25">
      <c r="A310" s="1">
        <v>200308</v>
      </c>
      <c r="B310" s="2">
        <v>45793</v>
      </c>
      <c r="C310" s="1">
        <v>12</v>
      </c>
      <c r="D310" s="1" t="s">
        <v>7</v>
      </c>
      <c r="E310" s="1">
        <v>426</v>
      </c>
      <c r="F310" t="str">
        <f>VLOOKUP(Tabla1[[#This Row],[IDProducto]],producto!$A$1:$C$33,2,FALSE)</f>
        <v>Producto_12</v>
      </c>
      <c r="G310" t="str">
        <f>VLOOKUP(Tabla1[[#This Row],[IDProducto]],producto!$A$1:$C$33,3,FALSE)</f>
        <v>Hogar</v>
      </c>
      <c r="H310" s="6" t="str">
        <f>VLOOKUP(Tabla1[[#This Row],[Estado]],Tabla3[#All],2,0)</f>
        <v>Norte</v>
      </c>
    </row>
    <row r="311" spans="1:8" ht="15.75" customHeight="1" x14ac:dyDescent="0.25">
      <c r="A311" s="1">
        <v>200309</v>
      </c>
      <c r="B311" s="2">
        <v>45699</v>
      </c>
      <c r="C311" s="1">
        <v>9</v>
      </c>
      <c r="D311" s="1" t="s">
        <v>7</v>
      </c>
      <c r="E311" s="1">
        <v>1783</v>
      </c>
      <c r="F311" t="str">
        <f>VLOOKUP(Tabla1[[#This Row],[IDProducto]],producto!$A$1:$C$33,2,FALSE)</f>
        <v>Producto_9</v>
      </c>
      <c r="G311" t="str">
        <f>VLOOKUP(Tabla1[[#This Row],[IDProducto]],producto!$A$1:$C$33,3,FALSE)</f>
        <v>Electrónica</v>
      </c>
      <c r="H311" s="6" t="str">
        <f>VLOOKUP(Tabla1[[#This Row],[Estado]],Tabla3[#All],2,0)</f>
        <v>Norte</v>
      </c>
    </row>
    <row r="312" spans="1:8" ht="15.75" customHeight="1" x14ac:dyDescent="0.25">
      <c r="A312" s="1">
        <v>200310</v>
      </c>
      <c r="B312" s="2">
        <v>45771</v>
      </c>
      <c r="C312" s="1">
        <v>25</v>
      </c>
      <c r="D312" s="1" t="s">
        <v>12</v>
      </c>
      <c r="E312" s="1">
        <v>1878</v>
      </c>
      <c r="F312" t="str">
        <f>VLOOKUP(Tabla1[[#This Row],[IDProducto]],producto!$A$1:$C$33,2,FALSE)</f>
        <v>Producto_25</v>
      </c>
      <c r="G312" t="str">
        <f>VLOOKUP(Tabla1[[#This Row],[IDProducto]],producto!$A$1:$C$33,3,FALSE)</f>
        <v>Electrónica</v>
      </c>
      <c r="H312" s="6" t="str">
        <f>VLOOKUP(Tabla1[[#This Row],[Estado]],Tabla3[#All],2,0)</f>
        <v>Centro</v>
      </c>
    </row>
    <row r="313" spans="1:8" ht="15.75" customHeight="1" x14ac:dyDescent="0.25">
      <c r="A313" s="1">
        <v>200311</v>
      </c>
      <c r="B313" s="2">
        <v>45675</v>
      </c>
      <c r="C313" s="1">
        <v>30</v>
      </c>
      <c r="D313" s="1" t="s">
        <v>10</v>
      </c>
      <c r="E313" s="1">
        <v>781</v>
      </c>
      <c r="F313" t="str">
        <f>VLOOKUP(Tabla1[[#This Row],[IDProducto]],producto!$A$1:$C$33,2,FALSE)</f>
        <v>Producto_30</v>
      </c>
      <c r="G313" t="str">
        <f>VLOOKUP(Tabla1[[#This Row],[IDProducto]],producto!$A$1:$C$33,3,FALSE)</f>
        <v>Hogar</v>
      </c>
      <c r="H313" s="6" t="str">
        <f>VLOOKUP(Tabla1[[#This Row],[Estado]],Tabla3[#All],2,0)</f>
        <v>Centro</v>
      </c>
    </row>
    <row r="314" spans="1:8" ht="15.75" customHeight="1" x14ac:dyDescent="0.25">
      <c r="A314" s="1">
        <v>200312</v>
      </c>
      <c r="B314" s="2">
        <v>45686</v>
      </c>
      <c r="C314" s="1">
        <v>5</v>
      </c>
      <c r="D314" s="1" t="s">
        <v>8</v>
      </c>
      <c r="E314" s="1">
        <v>1484</v>
      </c>
      <c r="F314" t="str">
        <f>VLOOKUP(Tabla1[[#This Row],[IDProducto]],producto!$A$1:$C$33,2,FALSE)</f>
        <v>Producto_5</v>
      </c>
      <c r="G314" t="str">
        <f>VLOOKUP(Tabla1[[#This Row],[IDProducto]],producto!$A$1:$C$33,3,FALSE)</f>
        <v>Hogar</v>
      </c>
      <c r="H314" s="6" t="str">
        <f>VLOOKUP(Tabla1[[#This Row],[Estado]],Tabla3[#All],2,0)</f>
        <v>Norte</v>
      </c>
    </row>
    <row r="315" spans="1:8" ht="15.75" customHeight="1" x14ac:dyDescent="0.25">
      <c r="A315" s="1">
        <v>200313</v>
      </c>
      <c r="B315" s="2">
        <v>45819</v>
      </c>
      <c r="C315" s="1">
        <v>3</v>
      </c>
      <c r="D315" s="1" t="s">
        <v>10</v>
      </c>
      <c r="E315" s="1">
        <v>924</v>
      </c>
      <c r="F315" t="str">
        <f>VLOOKUP(Tabla1[[#This Row],[IDProducto]],producto!$A$1:$C$33,2,FALSE)</f>
        <v>Producto_3</v>
      </c>
      <c r="G315" t="str">
        <f>VLOOKUP(Tabla1[[#This Row],[IDProducto]],producto!$A$1:$C$33,3,FALSE)</f>
        <v>Deportes</v>
      </c>
      <c r="H315" s="6" t="str">
        <f>VLOOKUP(Tabla1[[#This Row],[Estado]],Tabla3[#All],2,0)</f>
        <v>Centro</v>
      </c>
    </row>
    <row r="316" spans="1:8" ht="15.75" customHeight="1" x14ac:dyDescent="0.25">
      <c r="A316" s="1">
        <v>200314</v>
      </c>
      <c r="B316" s="2">
        <v>45723</v>
      </c>
      <c r="C316" s="1">
        <v>2</v>
      </c>
      <c r="D316" s="1" t="s">
        <v>10</v>
      </c>
      <c r="E316" s="1">
        <v>962</v>
      </c>
      <c r="F316" t="str">
        <f>VLOOKUP(Tabla1[[#This Row],[IDProducto]],producto!$A$1:$C$33,2,FALSE)</f>
        <v>Producto_2</v>
      </c>
      <c r="G316" t="str">
        <f>VLOOKUP(Tabla1[[#This Row],[IDProducto]],producto!$A$1:$C$33,3,FALSE)</f>
        <v>Deportes</v>
      </c>
      <c r="H316" s="6" t="str">
        <f>VLOOKUP(Tabla1[[#This Row],[Estado]],Tabla3[#All],2,0)</f>
        <v>Centro</v>
      </c>
    </row>
    <row r="317" spans="1:8" ht="15.75" customHeight="1" x14ac:dyDescent="0.25">
      <c r="A317" s="1">
        <v>200315</v>
      </c>
      <c r="B317" s="2">
        <v>45703</v>
      </c>
      <c r="C317" s="1">
        <v>28</v>
      </c>
      <c r="D317" s="1" t="s">
        <v>8</v>
      </c>
      <c r="E317" s="1">
        <v>456</v>
      </c>
      <c r="F317" t="str">
        <f>VLOOKUP(Tabla1[[#This Row],[IDProducto]],producto!$A$1:$C$33,2,FALSE)</f>
        <v>Producto_28</v>
      </c>
      <c r="G317" t="str">
        <f>VLOOKUP(Tabla1[[#This Row],[IDProducto]],producto!$A$1:$C$33,3,FALSE)</f>
        <v>Hogar</v>
      </c>
      <c r="H317" s="6" t="str">
        <f>VLOOKUP(Tabla1[[#This Row],[Estado]],Tabla3[#All],2,0)</f>
        <v>Norte</v>
      </c>
    </row>
    <row r="318" spans="1:8" ht="15.75" customHeight="1" x14ac:dyDescent="0.25">
      <c r="A318" s="1">
        <v>200316</v>
      </c>
      <c r="B318" s="2">
        <v>45790</v>
      </c>
      <c r="C318" s="1">
        <v>10</v>
      </c>
      <c r="D318" s="1" t="s">
        <v>6</v>
      </c>
      <c r="E318" s="1">
        <v>676</v>
      </c>
      <c r="F318" t="str">
        <f>VLOOKUP(Tabla1[[#This Row],[IDProducto]],producto!$A$1:$C$33,2,FALSE)</f>
        <v>Producto_10</v>
      </c>
      <c r="G318" t="str">
        <f>VLOOKUP(Tabla1[[#This Row],[IDProducto]],producto!$A$1:$C$33,3,FALSE)</f>
        <v>Ropa</v>
      </c>
      <c r="H318" s="6" t="str">
        <f>VLOOKUP(Tabla1[[#This Row],[Estado]],Tabla3[#All],2,0)</f>
        <v>Occidente</v>
      </c>
    </row>
    <row r="319" spans="1:8" ht="15.75" customHeight="1" x14ac:dyDescent="0.25">
      <c r="A319" s="1">
        <v>200317</v>
      </c>
      <c r="B319" s="2">
        <v>45743</v>
      </c>
      <c r="C319" s="1">
        <v>16</v>
      </c>
      <c r="D319" s="1" t="s">
        <v>7</v>
      </c>
      <c r="E319" s="1">
        <v>777</v>
      </c>
      <c r="F319" t="str">
        <f>VLOOKUP(Tabla1[[#This Row],[IDProducto]],producto!$A$1:$C$33,2,FALSE)</f>
        <v>Producto_16</v>
      </c>
      <c r="G319" t="str">
        <f>VLOOKUP(Tabla1[[#This Row],[IDProducto]],producto!$A$1:$C$33,3,FALSE)</f>
        <v>Ropa</v>
      </c>
      <c r="H319" s="6" t="str">
        <f>VLOOKUP(Tabla1[[#This Row],[Estado]],Tabla3[#All],2,0)</f>
        <v>Norte</v>
      </c>
    </row>
    <row r="320" spans="1:8" ht="15.75" customHeight="1" x14ac:dyDescent="0.25">
      <c r="A320" s="1">
        <v>200318</v>
      </c>
      <c r="B320" s="2">
        <v>45741</v>
      </c>
      <c r="C320" s="1">
        <v>28</v>
      </c>
      <c r="D320" s="1" t="s">
        <v>5</v>
      </c>
      <c r="E320" s="1">
        <v>1200</v>
      </c>
      <c r="F320" t="str">
        <f>VLOOKUP(Tabla1[[#This Row],[IDProducto]],producto!$A$1:$C$33,2,FALSE)</f>
        <v>Producto_28</v>
      </c>
      <c r="G320" t="str">
        <f>VLOOKUP(Tabla1[[#This Row],[IDProducto]],producto!$A$1:$C$33,3,FALSE)</f>
        <v>Hogar</v>
      </c>
      <c r="H320" s="6" t="str">
        <f>VLOOKUP(Tabla1[[#This Row],[Estado]],Tabla3[#All],2,0)</f>
        <v>Centro</v>
      </c>
    </row>
    <row r="321" spans="1:8" ht="15.75" customHeight="1" x14ac:dyDescent="0.25">
      <c r="A321" s="1">
        <v>200319</v>
      </c>
      <c r="B321" s="2">
        <v>45784</v>
      </c>
      <c r="C321" s="1">
        <v>25</v>
      </c>
      <c r="D321" s="1" t="s">
        <v>6</v>
      </c>
      <c r="E321" s="1">
        <v>781</v>
      </c>
      <c r="F321" t="str">
        <f>VLOOKUP(Tabla1[[#This Row],[IDProducto]],producto!$A$1:$C$33,2,FALSE)</f>
        <v>Producto_25</v>
      </c>
      <c r="G321" t="str">
        <f>VLOOKUP(Tabla1[[#This Row],[IDProducto]],producto!$A$1:$C$33,3,FALSE)</f>
        <v>Electrónica</v>
      </c>
      <c r="H321" s="6" t="str">
        <f>VLOOKUP(Tabla1[[#This Row],[Estado]],Tabla3[#All],2,0)</f>
        <v>Occidente</v>
      </c>
    </row>
    <row r="322" spans="1:8" ht="15.75" customHeight="1" x14ac:dyDescent="0.25">
      <c r="A322" s="1">
        <v>200320</v>
      </c>
      <c r="B322" s="2">
        <v>45780</v>
      </c>
      <c r="C322" s="1">
        <v>17</v>
      </c>
      <c r="D322" s="1" t="s">
        <v>12</v>
      </c>
      <c r="E322" s="1">
        <v>979</v>
      </c>
      <c r="F322" t="str">
        <f>VLOOKUP(Tabla1[[#This Row],[IDProducto]],producto!$A$1:$C$33,2,FALSE)</f>
        <v>Producto_17</v>
      </c>
      <c r="G322" t="str">
        <f>VLOOKUP(Tabla1[[#This Row],[IDProducto]],producto!$A$1:$C$33,3,FALSE)</f>
        <v>Ropa</v>
      </c>
      <c r="H322" s="6" t="str">
        <f>VLOOKUP(Tabla1[[#This Row],[Estado]],Tabla3[#All],2,0)</f>
        <v>Centro</v>
      </c>
    </row>
    <row r="323" spans="1:8" ht="15.75" customHeight="1" x14ac:dyDescent="0.25">
      <c r="A323" s="1">
        <v>200321</v>
      </c>
      <c r="B323" s="2">
        <v>45730</v>
      </c>
      <c r="C323" s="1">
        <v>31</v>
      </c>
      <c r="D323" s="1" t="s">
        <v>9</v>
      </c>
      <c r="E323" s="1">
        <v>207</v>
      </c>
      <c r="F323" t="str">
        <f>VLOOKUP(Tabla1[[#This Row],[IDProducto]],producto!$A$1:$C$33,2,FALSE)</f>
        <v>Producto_31</v>
      </c>
      <c r="G323" t="str">
        <f>VLOOKUP(Tabla1[[#This Row],[IDProducto]],producto!$A$1:$C$33,3,FALSE)</f>
        <v>Deportes</v>
      </c>
      <c r="H323" s="6" t="str">
        <f>VLOOKUP(Tabla1[[#This Row],[Estado]],Tabla3[#All],2,0)</f>
        <v>Sur</v>
      </c>
    </row>
    <row r="324" spans="1:8" ht="15.75" customHeight="1" x14ac:dyDescent="0.25">
      <c r="A324" s="1">
        <v>200322</v>
      </c>
      <c r="B324" s="2">
        <v>45669</v>
      </c>
      <c r="C324" s="1">
        <v>29</v>
      </c>
      <c r="D324" s="1" t="s">
        <v>11</v>
      </c>
      <c r="E324" s="1">
        <v>834</v>
      </c>
      <c r="F324" t="str">
        <f>VLOOKUP(Tabla1[[#This Row],[IDProducto]],producto!$A$1:$C$33,2,FALSE)</f>
        <v>Producto_29</v>
      </c>
      <c r="G324" t="str">
        <f>VLOOKUP(Tabla1[[#This Row],[IDProducto]],producto!$A$1:$C$33,3,FALSE)</f>
        <v>Electrónica</v>
      </c>
      <c r="H324" s="6" t="str">
        <f>VLOOKUP(Tabla1[[#This Row],[Estado]],Tabla3[#All],2,0)</f>
        <v>Occidente</v>
      </c>
    </row>
    <row r="325" spans="1:8" ht="15.75" customHeight="1" x14ac:dyDescent="0.25">
      <c r="A325" s="1">
        <v>200323</v>
      </c>
      <c r="B325" s="2">
        <v>45826</v>
      </c>
      <c r="C325" s="1">
        <v>29</v>
      </c>
      <c r="D325" s="1" t="s">
        <v>7</v>
      </c>
      <c r="E325" s="1">
        <v>1802</v>
      </c>
      <c r="F325" t="str">
        <f>VLOOKUP(Tabla1[[#This Row],[IDProducto]],producto!$A$1:$C$33,2,FALSE)</f>
        <v>Producto_29</v>
      </c>
      <c r="G325" t="str">
        <f>VLOOKUP(Tabla1[[#This Row],[IDProducto]],producto!$A$1:$C$33,3,FALSE)</f>
        <v>Electrónica</v>
      </c>
      <c r="H325" s="6" t="str">
        <f>VLOOKUP(Tabla1[[#This Row],[Estado]],Tabla3[#All],2,0)</f>
        <v>Norte</v>
      </c>
    </row>
    <row r="326" spans="1:8" ht="15.75" customHeight="1" x14ac:dyDescent="0.25">
      <c r="A326" s="1">
        <v>200324</v>
      </c>
      <c r="B326" s="2">
        <v>45835</v>
      </c>
      <c r="C326" s="1">
        <v>1</v>
      </c>
      <c r="D326" s="1" t="s">
        <v>9</v>
      </c>
      <c r="E326" s="1">
        <v>1952</v>
      </c>
      <c r="F326" t="str">
        <f>VLOOKUP(Tabla1[[#This Row],[IDProducto]],producto!$A$1:$C$33,2,FALSE)</f>
        <v>Producto_1</v>
      </c>
      <c r="G326" t="str">
        <f>VLOOKUP(Tabla1[[#This Row],[IDProducto]],producto!$A$1:$C$33,3,FALSE)</f>
        <v>Hogar</v>
      </c>
      <c r="H326" s="6" t="str">
        <f>VLOOKUP(Tabla1[[#This Row],[Estado]],Tabla3[#All],2,0)</f>
        <v>Sur</v>
      </c>
    </row>
    <row r="327" spans="1:8" ht="15.75" customHeight="1" x14ac:dyDescent="0.25">
      <c r="A327" s="1">
        <v>200325</v>
      </c>
      <c r="B327" s="2">
        <v>45814</v>
      </c>
      <c r="C327" s="1">
        <v>18</v>
      </c>
      <c r="D327" s="1" t="s">
        <v>8</v>
      </c>
      <c r="E327" s="1">
        <v>696</v>
      </c>
      <c r="F327" t="str">
        <f>VLOOKUP(Tabla1[[#This Row],[IDProducto]],producto!$A$1:$C$33,2,FALSE)</f>
        <v>Producto_18</v>
      </c>
      <c r="G327" t="str">
        <f>VLOOKUP(Tabla1[[#This Row],[IDProducto]],producto!$A$1:$C$33,3,FALSE)</f>
        <v>Ropa</v>
      </c>
      <c r="H327" s="6" t="str">
        <f>VLOOKUP(Tabla1[[#This Row],[Estado]],Tabla3[#All],2,0)</f>
        <v>Norte</v>
      </c>
    </row>
    <row r="328" spans="1:8" ht="15.75" customHeight="1" x14ac:dyDescent="0.25">
      <c r="A328" s="1">
        <v>200326</v>
      </c>
      <c r="B328" s="2">
        <v>45753</v>
      </c>
      <c r="C328" s="1">
        <v>9</v>
      </c>
      <c r="D328" s="1" t="s">
        <v>11</v>
      </c>
      <c r="E328" s="1">
        <v>202</v>
      </c>
      <c r="F328" t="str">
        <f>VLOOKUP(Tabla1[[#This Row],[IDProducto]],producto!$A$1:$C$33,2,FALSE)</f>
        <v>Producto_9</v>
      </c>
      <c r="G328" t="str">
        <f>VLOOKUP(Tabla1[[#This Row],[IDProducto]],producto!$A$1:$C$33,3,FALSE)</f>
        <v>Electrónica</v>
      </c>
      <c r="H328" s="6" t="str">
        <f>VLOOKUP(Tabla1[[#This Row],[Estado]],Tabla3[#All],2,0)</f>
        <v>Occidente</v>
      </c>
    </row>
    <row r="329" spans="1:8" ht="15.75" customHeight="1" x14ac:dyDescent="0.25">
      <c r="A329" s="1">
        <v>200327</v>
      </c>
      <c r="B329" s="2">
        <v>45755</v>
      </c>
      <c r="C329" s="1">
        <v>14</v>
      </c>
      <c r="D329" s="1" t="s">
        <v>5</v>
      </c>
      <c r="E329" s="1">
        <v>1139</v>
      </c>
      <c r="F329" t="str">
        <f>VLOOKUP(Tabla1[[#This Row],[IDProducto]],producto!$A$1:$C$33,2,FALSE)</f>
        <v>Producto_14</v>
      </c>
      <c r="G329" t="str">
        <f>VLOOKUP(Tabla1[[#This Row],[IDProducto]],producto!$A$1:$C$33,3,FALSE)</f>
        <v>Hogar</v>
      </c>
      <c r="H329" s="6" t="str">
        <f>VLOOKUP(Tabla1[[#This Row],[Estado]],Tabla3[#All],2,0)</f>
        <v>Centro</v>
      </c>
    </row>
    <row r="330" spans="1:8" ht="15.75" customHeight="1" x14ac:dyDescent="0.25">
      <c r="A330" s="1">
        <v>200328</v>
      </c>
      <c r="B330" s="2">
        <v>45663</v>
      </c>
      <c r="C330" s="1">
        <v>7</v>
      </c>
      <c r="D330" s="1" t="s">
        <v>7</v>
      </c>
      <c r="E330" s="1">
        <v>1844</v>
      </c>
      <c r="F330" t="str">
        <f>VLOOKUP(Tabla1[[#This Row],[IDProducto]],producto!$A$1:$C$33,2,FALSE)</f>
        <v>Producto_7</v>
      </c>
      <c r="G330" t="str">
        <f>VLOOKUP(Tabla1[[#This Row],[IDProducto]],producto!$A$1:$C$33,3,FALSE)</f>
        <v>Ropa</v>
      </c>
      <c r="H330" s="6" t="str">
        <f>VLOOKUP(Tabla1[[#This Row],[Estado]],Tabla3[#All],2,0)</f>
        <v>Norte</v>
      </c>
    </row>
    <row r="331" spans="1:8" ht="15.75" customHeight="1" x14ac:dyDescent="0.25">
      <c r="A331" s="1">
        <v>200329</v>
      </c>
      <c r="B331" s="2">
        <v>45681</v>
      </c>
      <c r="C331" s="1">
        <v>18</v>
      </c>
      <c r="D331" s="1" t="s">
        <v>7</v>
      </c>
      <c r="E331" s="1">
        <v>969</v>
      </c>
      <c r="F331" t="str">
        <f>VLOOKUP(Tabla1[[#This Row],[IDProducto]],producto!$A$1:$C$33,2,FALSE)</f>
        <v>Producto_18</v>
      </c>
      <c r="G331" t="str">
        <f>VLOOKUP(Tabla1[[#This Row],[IDProducto]],producto!$A$1:$C$33,3,FALSE)</f>
        <v>Ropa</v>
      </c>
      <c r="H331" s="6" t="str">
        <f>VLOOKUP(Tabla1[[#This Row],[Estado]],Tabla3[#All],2,0)</f>
        <v>Norte</v>
      </c>
    </row>
    <row r="332" spans="1:8" ht="15.75" customHeight="1" x14ac:dyDescent="0.25">
      <c r="A332" s="1">
        <v>200330</v>
      </c>
      <c r="B332" s="2">
        <v>45720</v>
      </c>
      <c r="C332" s="1">
        <v>25</v>
      </c>
      <c r="D332" s="1" t="s">
        <v>8</v>
      </c>
      <c r="E332" s="1">
        <v>1985</v>
      </c>
      <c r="F332" t="str">
        <f>VLOOKUP(Tabla1[[#This Row],[IDProducto]],producto!$A$1:$C$33,2,FALSE)</f>
        <v>Producto_25</v>
      </c>
      <c r="G332" t="str">
        <f>VLOOKUP(Tabla1[[#This Row],[IDProducto]],producto!$A$1:$C$33,3,FALSE)</f>
        <v>Electrónica</v>
      </c>
      <c r="H332" s="6" t="str">
        <f>VLOOKUP(Tabla1[[#This Row],[Estado]],Tabla3[#All],2,0)</f>
        <v>Norte</v>
      </c>
    </row>
    <row r="333" spans="1:8" ht="15.75" customHeight="1" x14ac:dyDescent="0.25">
      <c r="A333" s="1">
        <v>200331</v>
      </c>
      <c r="B333" s="2">
        <v>45794</v>
      </c>
      <c r="C333" s="1">
        <v>15</v>
      </c>
      <c r="D333" s="1" t="s">
        <v>8</v>
      </c>
      <c r="E333" s="1">
        <v>1741</v>
      </c>
      <c r="F333" t="str">
        <f>VLOOKUP(Tabla1[[#This Row],[IDProducto]],producto!$A$1:$C$33,2,FALSE)</f>
        <v>Producto_15</v>
      </c>
      <c r="G333" t="str">
        <f>VLOOKUP(Tabla1[[#This Row],[IDProducto]],producto!$A$1:$C$33,3,FALSE)</f>
        <v>Hogar</v>
      </c>
      <c r="H333" s="6" t="str">
        <f>VLOOKUP(Tabla1[[#This Row],[Estado]],Tabla3[#All],2,0)</f>
        <v>Norte</v>
      </c>
    </row>
    <row r="334" spans="1:8" ht="15.75" customHeight="1" x14ac:dyDescent="0.25">
      <c r="A334" s="1">
        <v>200332</v>
      </c>
      <c r="B334" s="2">
        <v>45718</v>
      </c>
      <c r="C334" s="1">
        <v>16</v>
      </c>
      <c r="D334" s="1" t="s">
        <v>8</v>
      </c>
      <c r="E334" s="1">
        <v>250</v>
      </c>
      <c r="F334" t="str">
        <f>VLOOKUP(Tabla1[[#This Row],[IDProducto]],producto!$A$1:$C$33,2,FALSE)</f>
        <v>Producto_16</v>
      </c>
      <c r="G334" t="str">
        <f>VLOOKUP(Tabla1[[#This Row],[IDProducto]],producto!$A$1:$C$33,3,FALSE)</f>
        <v>Ropa</v>
      </c>
      <c r="H334" s="6" t="str">
        <f>VLOOKUP(Tabla1[[#This Row],[Estado]],Tabla3[#All],2,0)</f>
        <v>Norte</v>
      </c>
    </row>
    <row r="335" spans="1:8" ht="15.75" customHeight="1" x14ac:dyDescent="0.25">
      <c r="A335" s="1">
        <v>200333</v>
      </c>
      <c r="B335" s="2">
        <v>45772</v>
      </c>
      <c r="C335" s="1">
        <v>1</v>
      </c>
      <c r="D335" s="1" t="s">
        <v>12</v>
      </c>
      <c r="E335" s="1">
        <v>1382</v>
      </c>
      <c r="F335" t="str">
        <f>VLOOKUP(Tabla1[[#This Row],[IDProducto]],producto!$A$1:$C$33,2,FALSE)</f>
        <v>Producto_1</v>
      </c>
      <c r="G335" t="str">
        <f>VLOOKUP(Tabla1[[#This Row],[IDProducto]],producto!$A$1:$C$33,3,FALSE)</f>
        <v>Hogar</v>
      </c>
      <c r="H335" s="6" t="str">
        <f>VLOOKUP(Tabla1[[#This Row],[Estado]],Tabla3[#All],2,0)</f>
        <v>Centro</v>
      </c>
    </row>
    <row r="336" spans="1:8" ht="15.75" customHeight="1" x14ac:dyDescent="0.25">
      <c r="A336" s="1">
        <v>200334</v>
      </c>
      <c r="B336" s="2">
        <v>45837</v>
      </c>
      <c r="C336" s="1">
        <v>5</v>
      </c>
      <c r="D336" s="1" t="s">
        <v>5</v>
      </c>
      <c r="E336" s="1">
        <v>1900</v>
      </c>
      <c r="F336" t="str">
        <f>VLOOKUP(Tabla1[[#This Row],[IDProducto]],producto!$A$1:$C$33,2,FALSE)</f>
        <v>Producto_5</v>
      </c>
      <c r="G336" t="str">
        <f>VLOOKUP(Tabla1[[#This Row],[IDProducto]],producto!$A$1:$C$33,3,FALSE)</f>
        <v>Hogar</v>
      </c>
      <c r="H336" s="6" t="str">
        <f>VLOOKUP(Tabla1[[#This Row],[Estado]],Tabla3[#All],2,0)</f>
        <v>Centro</v>
      </c>
    </row>
    <row r="337" spans="1:8" ht="15.75" customHeight="1" x14ac:dyDescent="0.25">
      <c r="A337" s="1">
        <v>200335</v>
      </c>
      <c r="B337" s="2">
        <v>45744</v>
      </c>
      <c r="C337" s="1">
        <v>9</v>
      </c>
      <c r="D337" s="1" t="s">
        <v>7</v>
      </c>
      <c r="E337" s="1">
        <v>691</v>
      </c>
      <c r="F337" t="str">
        <f>VLOOKUP(Tabla1[[#This Row],[IDProducto]],producto!$A$1:$C$33,2,FALSE)</f>
        <v>Producto_9</v>
      </c>
      <c r="G337" t="str">
        <f>VLOOKUP(Tabla1[[#This Row],[IDProducto]],producto!$A$1:$C$33,3,FALSE)</f>
        <v>Electrónica</v>
      </c>
      <c r="H337" s="6" t="str">
        <f>VLOOKUP(Tabla1[[#This Row],[Estado]],Tabla3[#All],2,0)</f>
        <v>Norte</v>
      </c>
    </row>
    <row r="338" spans="1:8" ht="15.75" customHeight="1" x14ac:dyDescent="0.25">
      <c r="A338" s="1">
        <v>200336</v>
      </c>
      <c r="B338" s="2">
        <v>45684</v>
      </c>
      <c r="C338" s="1">
        <v>8</v>
      </c>
      <c r="D338" s="1" t="s">
        <v>7</v>
      </c>
      <c r="E338" s="1">
        <v>1088</v>
      </c>
      <c r="F338" t="str">
        <f>VLOOKUP(Tabla1[[#This Row],[IDProducto]],producto!$A$1:$C$33,2,FALSE)</f>
        <v>Producto_8</v>
      </c>
      <c r="G338" t="str">
        <f>VLOOKUP(Tabla1[[#This Row],[IDProducto]],producto!$A$1:$C$33,3,FALSE)</f>
        <v>Electrónica</v>
      </c>
      <c r="H338" s="6" t="str">
        <f>VLOOKUP(Tabla1[[#This Row],[Estado]],Tabla3[#All],2,0)</f>
        <v>Norte</v>
      </c>
    </row>
    <row r="339" spans="1:8" ht="15.75" customHeight="1" x14ac:dyDescent="0.25">
      <c r="A339" s="1">
        <v>200337</v>
      </c>
      <c r="B339" s="2">
        <v>45678</v>
      </c>
      <c r="C339" s="1">
        <v>4</v>
      </c>
      <c r="D339" s="1" t="s">
        <v>9</v>
      </c>
      <c r="E339" s="1">
        <v>1879</v>
      </c>
      <c r="F339" t="str">
        <f>VLOOKUP(Tabla1[[#This Row],[IDProducto]],producto!$A$1:$C$33,2,FALSE)</f>
        <v>Producto_4</v>
      </c>
      <c r="G339" t="str">
        <f>VLOOKUP(Tabla1[[#This Row],[IDProducto]],producto!$A$1:$C$33,3,FALSE)</f>
        <v>Deportes</v>
      </c>
      <c r="H339" s="6" t="str">
        <f>VLOOKUP(Tabla1[[#This Row],[Estado]],Tabla3[#All],2,0)</f>
        <v>Sur</v>
      </c>
    </row>
    <row r="340" spans="1:8" ht="15.75" customHeight="1" x14ac:dyDescent="0.25">
      <c r="A340" s="1">
        <v>200338</v>
      </c>
      <c r="B340" s="2">
        <v>45730</v>
      </c>
      <c r="C340" s="1">
        <v>28</v>
      </c>
      <c r="D340" s="1" t="s">
        <v>7</v>
      </c>
      <c r="E340" s="1">
        <v>671</v>
      </c>
      <c r="F340" t="str">
        <f>VLOOKUP(Tabla1[[#This Row],[IDProducto]],producto!$A$1:$C$33,2,FALSE)</f>
        <v>Producto_28</v>
      </c>
      <c r="G340" t="str">
        <f>VLOOKUP(Tabla1[[#This Row],[IDProducto]],producto!$A$1:$C$33,3,FALSE)</f>
        <v>Hogar</v>
      </c>
      <c r="H340" s="6" t="str">
        <f>VLOOKUP(Tabla1[[#This Row],[Estado]],Tabla3[#All],2,0)</f>
        <v>Norte</v>
      </c>
    </row>
    <row r="341" spans="1:8" ht="15.75" customHeight="1" x14ac:dyDescent="0.25">
      <c r="A341" s="1">
        <v>200339</v>
      </c>
      <c r="B341" s="2">
        <v>45774</v>
      </c>
      <c r="C341" s="1">
        <v>26</v>
      </c>
      <c r="D341" s="1" t="s">
        <v>12</v>
      </c>
      <c r="E341" s="1">
        <v>1791</v>
      </c>
      <c r="F341" t="str">
        <f>VLOOKUP(Tabla1[[#This Row],[IDProducto]],producto!$A$1:$C$33,2,FALSE)</f>
        <v>Producto_26</v>
      </c>
      <c r="G341" t="str">
        <f>VLOOKUP(Tabla1[[#This Row],[IDProducto]],producto!$A$1:$C$33,3,FALSE)</f>
        <v>Hogar</v>
      </c>
      <c r="H341" s="6" t="str">
        <f>VLOOKUP(Tabla1[[#This Row],[Estado]],Tabla3[#All],2,0)</f>
        <v>Centro</v>
      </c>
    </row>
    <row r="342" spans="1:8" ht="15.75" customHeight="1" x14ac:dyDescent="0.25">
      <c r="A342" s="1">
        <v>200340</v>
      </c>
      <c r="B342" s="2">
        <v>45740</v>
      </c>
      <c r="C342" s="1">
        <v>3</v>
      </c>
      <c r="D342" s="1" t="s">
        <v>12</v>
      </c>
      <c r="E342" s="1">
        <v>309</v>
      </c>
      <c r="F342" t="str">
        <f>VLOOKUP(Tabla1[[#This Row],[IDProducto]],producto!$A$1:$C$33,2,FALSE)</f>
        <v>Producto_3</v>
      </c>
      <c r="G342" t="str">
        <f>VLOOKUP(Tabla1[[#This Row],[IDProducto]],producto!$A$1:$C$33,3,FALSE)</f>
        <v>Deportes</v>
      </c>
      <c r="H342" s="6" t="str">
        <f>VLOOKUP(Tabla1[[#This Row],[Estado]],Tabla3[#All],2,0)</f>
        <v>Centro</v>
      </c>
    </row>
    <row r="343" spans="1:8" ht="15.75" customHeight="1" x14ac:dyDescent="0.25">
      <c r="A343" s="1">
        <v>200341</v>
      </c>
      <c r="B343" s="2">
        <v>45828</v>
      </c>
      <c r="C343" s="1">
        <v>3</v>
      </c>
      <c r="D343" s="1" t="s">
        <v>7</v>
      </c>
      <c r="E343" s="1">
        <v>888</v>
      </c>
      <c r="F343" t="str">
        <f>VLOOKUP(Tabla1[[#This Row],[IDProducto]],producto!$A$1:$C$33,2,FALSE)</f>
        <v>Producto_3</v>
      </c>
      <c r="G343" t="str">
        <f>VLOOKUP(Tabla1[[#This Row],[IDProducto]],producto!$A$1:$C$33,3,FALSE)</f>
        <v>Deportes</v>
      </c>
      <c r="H343" s="6" t="str">
        <f>VLOOKUP(Tabla1[[#This Row],[Estado]],Tabla3[#All],2,0)</f>
        <v>Norte</v>
      </c>
    </row>
    <row r="344" spans="1:8" ht="15.75" customHeight="1" x14ac:dyDescent="0.25">
      <c r="A344" s="1">
        <v>200342</v>
      </c>
      <c r="B344" s="2">
        <v>45687</v>
      </c>
      <c r="C344" s="1">
        <v>7</v>
      </c>
      <c r="D344" s="1" t="s">
        <v>7</v>
      </c>
      <c r="E344" s="1">
        <v>1194</v>
      </c>
      <c r="F344" t="str">
        <f>VLOOKUP(Tabla1[[#This Row],[IDProducto]],producto!$A$1:$C$33,2,FALSE)</f>
        <v>Producto_7</v>
      </c>
      <c r="G344" t="str">
        <f>VLOOKUP(Tabla1[[#This Row],[IDProducto]],producto!$A$1:$C$33,3,FALSE)</f>
        <v>Ropa</v>
      </c>
      <c r="H344" s="6" t="str">
        <f>VLOOKUP(Tabla1[[#This Row],[Estado]],Tabla3[#All],2,0)</f>
        <v>Norte</v>
      </c>
    </row>
    <row r="345" spans="1:8" ht="15.75" customHeight="1" x14ac:dyDescent="0.25">
      <c r="A345" s="1">
        <v>200343</v>
      </c>
      <c r="B345" s="2">
        <v>45757</v>
      </c>
      <c r="C345" s="1">
        <v>3</v>
      </c>
      <c r="D345" s="1" t="s">
        <v>7</v>
      </c>
      <c r="E345" s="1">
        <v>1829</v>
      </c>
      <c r="F345" t="str">
        <f>VLOOKUP(Tabla1[[#This Row],[IDProducto]],producto!$A$1:$C$33,2,FALSE)</f>
        <v>Producto_3</v>
      </c>
      <c r="G345" t="str">
        <f>VLOOKUP(Tabla1[[#This Row],[IDProducto]],producto!$A$1:$C$33,3,FALSE)</f>
        <v>Deportes</v>
      </c>
      <c r="H345" s="6" t="str">
        <f>VLOOKUP(Tabla1[[#This Row],[Estado]],Tabla3[#All],2,0)</f>
        <v>Norte</v>
      </c>
    </row>
    <row r="346" spans="1:8" ht="15.75" customHeight="1" x14ac:dyDescent="0.25">
      <c r="A346" s="1">
        <v>200344</v>
      </c>
      <c r="B346" s="2">
        <v>45748</v>
      </c>
      <c r="C346" s="1">
        <v>6</v>
      </c>
      <c r="D346" s="1" t="s">
        <v>12</v>
      </c>
      <c r="E346" s="1">
        <v>390</v>
      </c>
      <c r="F346" t="str">
        <f>VLOOKUP(Tabla1[[#This Row],[IDProducto]],producto!$A$1:$C$33,2,FALSE)</f>
        <v>Producto_6</v>
      </c>
      <c r="G346" t="str">
        <f>VLOOKUP(Tabla1[[#This Row],[IDProducto]],producto!$A$1:$C$33,3,FALSE)</f>
        <v>Electrónica</v>
      </c>
      <c r="H346" s="6" t="str">
        <f>VLOOKUP(Tabla1[[#This Row],[Estado]],Tabla3[#All],2,0)</f>
        <v>Centro</v>
      </c>
    </row>
    <row r="347" spans="1:8" ht="15.75" customHeight="1" x14ac:dyDescent="0.25">
      <c r="A347" s="1">
        <v>200345</v>
      </c>
      <c r="B347" s="2">
        <v>45809</v>
      </c>
      <c r="C347" s="1">
        <v>13</v>
      </c>
      <c r="D347" s="1" t="s">
        <v>12</v>
      </c>
      <c r="E347" s="1">
        <v>880</v>
      </c>
      <c r="F347" t="str">
        <f>VLOOKUP(Tabla1[[#This Row],[IDProducto]],producto!$A$1:$C$33,2,FALSE)</f>
        <v>Producto_13</v>
      </c>
      <c r="G347" t="str">
        <f>VLOOKUP(Tabla1[[#This Row],[IDProducto]],producto!$A$1:$C$33,3,FALSE)</f>
        <v>Deportes</v>
      </c>
      <c r="H347" s="6" t="str">
        <f>VLOOKUP(Tabla1[[#This Row],[Estado]],Tabla3[#All],2,0)</f>
        <v>Centro</v>
      </c>
    </row>
    <row r="348" spans="1:8" ht="15.75" customHeight="1" x14ac:dyDescent="0.25">
      <c r="A348" s="1">
        <v>200346</v>
      </c>
      <c r="B348" s="2">
        <v>45837</v>
      </c>
      <c r="C348" s="1">
        <v>13</v>
      </c>
      <c r="D348" s="1" t="s">
        <v>11</v>
      </c>
      <c r="E348" s="1">
        <v>506</v>
      </c>
      <c r="F348" t="str">
        <f>VLOOKUP(Tabla1[[#This Row],[IDProducto]],producto!$A$1:$C$33,2,FALSE)</f>
        <v>Producto_13</v>
      </c>
      <c r="G348" t="str">
        <f>VLOOKUP(Tabla1[[#This Row],[IDProducto]],producto!$A$1:$C$33,3,FALSE)</f>
        <v>Deportes</v>
      </c>
      <c r="H348" s="6" t="str">
        <f>VLOOKUP(Tabla1[[#This Row],[Estado]],Tabla3[#All],2,0)</f>
        <v>Occidente</v>
      </c>
    </row>
    <row r="349" spans="1:8" ht="15.75" customHeight="1" x14ac:dyDescent="0.25">
      <c r="A349" s="1">
        <v>200347</v>
      </c>
      <c r="B349" s="2">
        <v>45742</v>
      </c>
      <c r="C349" s="1">
        <v>28</v>
      </c>
      <c r="D349" s="1" t="s">
        <v>9</v>
      </c>
      <c r="E349" s="1">
        <v>1940</v>
      </c>
      <c r="F349" t="str">
        <f>VLOOKUP(Tabla1[[#This Row],[IDProducto]],producto!$A$1:$C$33,2,FALSE)</f>
        <v>Producto_28</v>
      </c>
      <c r="G349" t="str">
        <f>VLOOKUP(Tabla1[[#This Row],[IDProducto]],producto!$A$1:$C$33,3,FALSE)</f>
        <v>Hogar</v>
      </c>
      <c r="H349" s="6" t="str">
        <f>VLOOKUP(Tabla1[[#This Row],[Estado]],Tabla3[#All],2,0)</f>
        <v>Sur</v>
      </c>
    </row>
    <row r="350" spans="1:8" ht="15.75" customHeight="1" x14ac:dyDescent="0.25">
      <c r="A350" s="1">
        <v>200348</v>
      </c>
      <c r="B350" s="2">
        <v>45692</v>
      </c>
      <c r="C350" s="1">
        <v>9</v>
      </c>
      <c r="D350" s="1" t="s">
        <v>11</v>
      </c>
      <c r="E350" s="1">
        <v>920</v>
      </c>
      <c r="F350" t="str">
        <f>VLOOKUP(Tabla1[[#This Row],[IDProducto]],producto!$A$1:$C$33,2,FALSE)</f>
        <v>Producto_9</v>
      </c>
      <c r="G350" t="str">
        <f>VLOOKUP(Tabla1[[#This Row],[IDProducto]],producto!$A$1:$C$33,3,FALSE)</f>
        <v>Electrónica</v>
      </c>
      <c r="H350" s="6" t="str">
        <f>VLOOKUP(Tabla1[[#This Row],[Estado]],Tabla3[#All],2,0)</f>
        <v>Occidente</v>
      </c>
    </row>
    <row r="351" spans="1:8" ht="15.75" customHeight="1" x14ac:dyDescent="0.25">
      <c r="A351" s="1">
        <v>200349</v>
      </c>
      <c r="B351" s="2">
        <v>45804</v>
      </c>
      <c r="C351" s="1">
        <v>10</v>
      </c>
      <c r="D351" s="1" t="s">
        <v>9</v>
      </c>
      <c r="E351" s="1">
        <v>692</v>
      </c>
      <c r="F351" t="str">
        <f>VLOOKUP(Tabla1[[#This Row],[IDProducto]],producto!$A$1:$C$33,2,FALSE)</f>
        <v>Producto_10</v>
      </c>
      <c r="G351" t="str">
        <f>VLOOKUP(Tabla1[[#This Row],[IDProducto]],producto!$A$1:$C$33,3,FALSE)</f>
        <v>Ropa</v>
      </c>
      <c r="H351" s="6" t="str">
        <f>VLOOKUP(Tabla1[[#This Row],[Estado]],Tabla3[#All],2,0)</f>
        <v>Sur</v>
      </c>
    </row>
    <row r="352" spans="1:8" ht="15.75" customHeight="1" x14ac:dyDescent="0.25">
      <c r="A352" s="1">
        <v>200350</v>
      </c>
      <c r="B352" s="2">
        <v>45754</v>
      </c>
      <c r="C352" s="1">
        <v>3</v>
      </c>
      <c r="D352" s="1" t="s">
        <v>5</v>
      </c>
      <c r="E352" s="1">
        <v>224</v>
      </c>
      <c r="F352" t="str">
        <f>VLOOKUP(Tabla1[[#This Row],[IDProducto]],producto!$A$1:$C$33,2,FALSE)</f>
        <v>Producto_3</v>
      </c>
      <c r="G352" t="str">
        <f>VLOOKUP(Tabla1[[#This Row],[IDProducto]],producto!$A$1:$C$33,3,FALSE)</f>
        <v>Deportes</v>
      </c>
      <c r="H352" s="6" t="str">
        <f>VLOOKUP(Tabla1[[#This Row],[Estado]],Tabla3[#All],2,0)</f>
        <v>Centro</v>
      </c>
    </row>
    <row r="353" spans="1:8" ht="15.75" customHeight="1" x14ac:dyDescent="0.25">
      <c r="A353" s="1">
        <v>200351</v>
      </c>
      <c r="B353" s="2">
        <v>45719</v>
      </c>
      <c r="C353" s="1">
        <v>3</v>
      </c>
      <c r="D353" s="1" t="s">
        <v>5</v>
      </c>
      <c r="E353" s="1">
        <v>1859</v>
      </c>
      <c r="F353" t="str">
        <f>VLOOKUP(Tabla1[[#This Row],[IDProducto]],producto!$A$1:$C$33,2,FALSE)</f>
        <v>Producto_3</v>
      </c>
      <c r="G353" t="str">
        <f>VLOOKUP(Tabla1[[#This Row],[IDProducto]],producto!$A$1:$C$33,3,FALSE)</f>
        <v>Deportes</v>
      </c>
      <c r="H353" s="6" t="str">
        <f>VLOOKUP(Tabla1[[#This Row],[Estado]],Tabla3[#All],2,0)</f>
        <v>Centro</v>
      </c>
    </row>
    <row r="354" spans="1:8" ht="15.75" customHeight="1" x14ac:dyDescent="0.25">
      <c r="A354" s="1">
        <v>200352</v>
      </c>
      <c r="B354" s="2">
        <v>45752</v>
      </c>
      <c r="C354" s="1">
        <v>31</v>
      </c>
      <c r="D354" s="1" t="s">
        <v>7</v>
      </c>
      <c r="E354" s="1">
        <v>231</v>
      </c>
      <c r="F354" t="str">
        <f>VLOOKUP(Tabla1[[#This Row],[IDProducto]],producto!$A$1:$C$33,2,FALSE)</f>
        <v>Producto_31</v>
      </c>
      <c r="G354" t="str">
        <f>VLOOKUP(Tabla1[[#This Row],[IDProducto]],producto!$A$1:$C$33,3,FALSE)</f>
        <v>Deportes</v>
      </c>
      <c r="H354" s="6" t="str">
        <f>VLOOKUP(Tabla1[[#This Row],[Estado]],Tabla3[#All],2,0)</f>
        <v>Norte</v>
      </c>
    </row>
    <row r="355" spans="1:8" ht="15.75" customHeight="1" x14ac:dyDescent="0.25">
      <c r="A355" s="1">
        <v>200353</v>
      </c>
      <c r="B355" s="2">
        <v>45675</v>
      </c>
      <c r="C355" s="1">
        <v>11</v>
      </c>
      <c r="D355" s="1" t="s">
        <v>12</v>
      </c>
      <c r="E355" s="1">
        <v>1685</v>
      </c>
      <c r="F355" t="str">
        <f>VLOOKUP(Tabla1[[#This Row],[IDProducto]],producto!$A$1:$C$33,2,FALSE)</f>
        <v>Producto_11</v>
      </c>
      <c r="G355" t="str">
        <f>VLOOKUP(Tabla1[[#This Row],[IDProducto]],producto!$A$1:$C$33,3,FALSE)</f>
        <v>Ropa</v>
      </c>
      <c r="H355" s="6" t="str">
        <f>VLOOKUP(Tabla1[[#This Row],[Estado]],Tabla3[#All],2,0)</f>
        <v>Centro</v>
      </c>
    </row>
    <row r="356" spans="1:8" ht="15.75" customHeight="1" x14ac:dyDescent="0.25">
      <c r="A356" s="1">
        <v>200354</v>
      </c>
      <c r="B356" s="2">
        <v>45781</v>
      </c>
      <c r="C356" s="1">
        <v>26</v>
      </c>
      <c r="D356" s="1" t="s">
        <v>8</v>
      </c>
      <c r="E356" s="1">
        <v>1081</v>
      </c>
      <c r="F356" t="str">
        <f>VLOOKUP(Tabla1[[#This Row],[IDProducto]],producto!$A$1:$C$33,2,FALSE)</f>
        <v>Producto_26</v>
      </c>
      <c r="G356" t="str">
        <f>VLOOKUP(Tabla1[[#This Row],[IDProducto]],producto!$A$1:$C$33,3,FALSE)</f>
        <v>Hogar</v>
      </c>
      <c r="H356" s="6" t="str">
        <f>VLOOKUP(Tabla1[[#This Row],[Estado]],Tabla3[#All],2,0)</f>
        <v>Norte</v>
      </c>
    </row>
    <row r="357" spans="1:8" ht="15.75" customHeight="1" x14ac:dyDescent="0.25">
      <c r="A357" s="1">
        <v>200355</v>
      </c>
      <c r="B357" s="2">
        <v>45798</v>
      </c>
      <c r="C357" s="1">
        <v>17</v>
      </c>
      <c r="D357" s="1" t="s">
        <v>9</v>
      </c>
      <c r="E357" s="1">
        <v>192</v>
      </c>
      <c r="F357" t="str">
        <f>VLOOKUP(Tabla1[[#This Row],[IDProducto]],producto!$A$1:$C$33,2,FALSE)</f>
        <v>Producto_17</v>
      </c>
      <c r="G357" t="str">
        <f>VLOOKUP(Tabla1[[#This Row],[IDProducto]],producto!$A$1:$C$33,3,FALSE)</f>
        <v>Ropa</v>
      </c>
      <c r="H357" s="6" t="str">
        <f>VLOOKUP(Tabla1[[#This Row],[Estado]],Tabla3[#All],2,0)</f>
        <v>Sur</v>
      </c>
    </row>
    <row r="358" spans="1:8" ht="15.75" customHeight="1" x14ac:dyDescent="0.25">
      <c r="A358" s="1">
        <v>200356</v>
      </c>
      <c r="B358" s="2">
        <v>45782</v>
      </c>
      <c r="C358" s="1">
        <v>21</v>
      </c>
      <c r="D358" s="1" t="s">
        <v>5</v>
      </c>
      <c r="E358" s="1">
        <v>556</v>
      </c>
      <c r="F358" t="str">
        <f>VLOOKUP(Tabla1[[#This Row],[IDProducto]],producto!$A$1:$C$33,2,FALSE)</f>
        <v>Producto_21</v>
      </c>
      <c r="G358" t="str">
        <f>VLOOKUP(Tabla1[[#This Row],[IDProducto]],producto!$A$1:$C$33,3,FALSE)</f>
        <v>Electrónica</v>
      </c>
      <c r="H358" s="6" t="str">
        <f>VLOOKUP(Tabla1[[#This Row],[Estado]],Tabla3[#All],2,0)</f>
        <v>Centro</v>
      </c>
    </row>
    <row r="359" spans="1:8" ht="15.75" customHeight="1" x14ac:dyDescent="0.25">
      <c r="A359" s="1">
        <v>200357</v>
      </c>
      <c r="B359" s="2">
        <v>45777</v>
      </c>
      <c r="C359" s="1">
        <v>7</v>
      </c>
      <c r="D359" s="1" t="s">
        <v>7</v>
      </c>
      <c r="E359" s="1">
        <v>442</v>
      </c>
      <c r="F359" t="str">
        <f>VLOOKUP(Tabla1[[#This Row],[IDProducto]],producto!$A$1:$C$33,2,FALSE)</f>
        <v>Producto_7</v>
      </c>
      <c r="G359" t="str">
        <f>VLOOKUP(Tabla1[[#This Row],[IDProducto]],producto!$A$1:$C$33,3,FALSE)</f>
        <v>Ropa</v>
      </c>
      <c r="H359" s="6" t="str">
        <f>VLOOKUP(Tabla1[[#This Row],[Estado]],Tabla3[#All],2,0)</f>
        <v>Norte</v>
      </c>
    </row>
    <row r="360" spans="1:8" ht="15.75" customHeight="1" x14ac:dyDescent="0.25">
      <c r="A360" s="1">
        <v>200358</v>
      </c>
      <c r="B360" s="2">
        <v>45796</v>
      </c>
      <c r="C360" s="1">
        <v>8</v>
      </c>
      <c r="D360" s="1" t="s">
        <v>7</v>
      </c>
      <c r="E360" s="1">
        <v>1289</v>
      </c>
      <c r="F360" t="str">
        <f>VLOOKUP(Tabla1[[#This Row],[IDProducto]],producto!$A$1:$C$33,2,FALSE)</f>
        <v>Producto_8</v>
      </c>
      <c r="G360" t="str">
        <f>VLOOKUP(Tabla1[[#This Row],[IDProducto]],producto!$A$1:$C$33,3,FALSE)</f>
        <v>Electrónica</v>
      </c>
      <c r="H360" s="6" t="str">
        <f>VLOOKUP(Tabla1[[#This Row],[Estado]],Tabla3[#All],2,0)</f>
        <v>Norte</v>
      </c>
    </row>
    <row r="361" spans="1:8" ht="15.75" customHeight="1" x14ac:dyDescent="0.25">
      <c r="A361" s="1">
        <v>200359</v>
      </c>
      <c r="B361" s="2">
        <v>45671</v>
      </c>
      <c r="C361" s="1">
        <v>7</v>
      </c>
      <c r="D361" s="1" t="s">
        <v>11</v>
      </c>
      <c r="E361" s="1">
        <v>732</v>
      </c>
      <c r="F361" t="str">
        <f>VLOOKUP(Tabla1[[#This Row],[IDProducto]],producto!$A$1:$C$33,2,FALSE)</f>
        <v>Producto_7</v>
      </c>
      <c r="G361" t="str">
        <f>VLOOKUP(Tabla1[[#This Row],[IDProducto]],producto!$A$1:$C$33,3,FALSE)</f>
        <v>Ropa</v>
      </c>
      <c r="H361" s="6" t="str">
        <f>VLOOKUP(Tabla1[[#This Row],[Estado]],Tabla3[#All],2,0)</f>
        <v>Occidente</v>
      </c>
    </row>
    <row r="362" spans="1:8" ht="15.75" customHeight="1" x14ac:dyDescent="0.25">
      <c r="A362" s="1">
        <v>200360</v>
      </c>
      <c r="B362" s="2">
        <v>45823</v>
      </c>
      <c r="C362" s="1">
        <v>28</v>
      </c>
      <c r="D362" s="1" t="s">
        <v>9</v>
      </c>
      <c r="E362" s="1">
        <v>1320</v>
      </c>
      <c r="F362" t="str">
        <f>VLOOKUP(Tabla1[[#This Row],[IDProducto]],producto!$A$1:$C$33,2,FALSE)</f>
        <v>Producto_28</v>
      </c>
      <c r="G362" t="str">
        <f>VLOOKUP(Tabla1[[#This Row],[IDProducto]],producto!$A$1:$C$33,3,FALSE)</f>
        <v>Hogar</v>
      </c>
      <c r="H362" s="6" t="str">
        <f>VLOOKUP(Tabla1[[#This Row],[Estado]],Tabla3[#All],2,0)</f>
        <v>Sur</v>
      </c>
    </row>
    <row r="363" spans="1:8" ht="15.75" customHeight="1" x14ac:dyDescent="0.25">
      <c r="A363" s="1">
        <v>200361</v>
      </c>
      <c r="B363" s="2">
        <v>45778</v>
      </c>
      <c r="C363" s="1">
        <v>19</v>
      </c>
      <c r="D363" s="1" t="s">
        <v>10</v>
      </c>
      <c r="E363" s="1">
        <v>1892</v>
      </c>
      <c r="F363" t="str">
        <f>VLOOKUP(Tabla1[[#This Row],[IDProducto]],producto!$A$1:$C$33,2,FALSE)</f>
        <v>Producto_19</v>
      </c>
      <c r="G363" t="str">
        <f>VLOOKUP(Tabla1[[#This Row],[IDProducto]],producto!$A$1:$C$33,3,FALSE)</f>
        <v>Ropa</v>
      </c>
      <c r="H363" s="6" t="str">
        <f>VLOOKUP(Tabla1[[#This Row],[Estado]],Tabla3[#All],2,0)</f>
        <v>Centro</v>
      </c>
    </row>
    <row r="364" spans="1:8" ht="15.75" customHeight="1" x14ac:dyDescent="0.25">
      <c r="A364" s="1">
        <v>200362</v>
      </c>
      <c r="B364" s="2">
        <v>45818</v>
      </c>
      <c r="C364" s="1">
        <v>13</v>
      </c>
      <c r="D364" s="1" t="s">
        <v>5</v>
      </c>
      <c r="E364" s="1">
        <v>1720</v>
      </c>
      <c r="F364" t="str">
        <f>VLOOKUP(Tabla1[[#This Row],[IDProducto]],producto!$A$1:$C$33,2,FALSE)</f>
        <v>Producto_13</v>
      </c>
      <c r="G364" t="str">
        <f>VLOOKUP(Tabla1[[#This Row],[IDProducto]],producto!$A$1:$C$33,3,FALSE)</f>
        <v>Deportes</v>
      </c>
      <c r="H364" s="6" t="str">
        <f>VLOOKUP(Tabla1[[#This Row],[Estado]],Tabla3[#All],2,0)</f>
        <v>Centro</v>
      </c>
    </row>
    <row r="365" spans="1:8" ht="15.75" customHeight="1" x14ac:dyDescent="0.25">
      <c r="A365" s="1">
        <v>200363</v>
      </c>
      <c r="B365" s="2">
        <v>45715</v>
      </c>
      <c r="C365" s="1">
        <v>16</v>
      </c>
      <c r="D365" s="1" t="s">
        <v>7</v>
      </c>
      <c r="E365" s="1">
        <v>133</v>
      </c>
      <c r="F365" t="str">
        <f>VLOOKUP(Tabla1[[#This Row],[IDProducto]],producto!$A$1:$C$33,2,FALSE)</f>
        <v>Producto_16</v>
      </c>
      <c r="G365" t="str">
        <f>VLOOKUP(Tabla1[[#This Row],[IDProducto]],producto!$A$1:$C$33,3,FALSE)</f>
        <v>Ropa</v>
      </c>
      <c r="H365" s="6" t="str">
        <f>VLOOKUP(Tabla1[[#This Row],[Estado]],Tabla3[#All],2,0)</f>
        <v>Norte</v>
      </c>
    </row>
    <row r="366" spans="1:8" ht="15.75" customHeight="1" x14ac:dyDescent="0.25">
      <c r="A366" s="1">
        <v>200364</v>
      </c>
      <c r="B366" s="2">
        <v>45719</v>
      </c>
      <c r="C366" s="1">
        <v>13</v>
      </c>
      <c r="D366" s="1" t="s">
        <v>6</v>
      </c>
      <c r="E366" s="1">
        <v>1530</v>
      </c>
      <c r="F366" t="str">
        <f>VLOOKUP(Tabla1[[#This Row],[IDProducto]],producto!$A$1:$C$33,2,FALSE)</f>
        <v>Producto_13</v>
      </c>
      <c r="G366" t="str">
        <f>VLOOKUP(Tabla1[[#This Row],[IDProducto]],producto!$A$1:$C$33,3,FALSE)</f>
        <v>Deportes</v>
      </c>
      <c r="H366" s="6" t="str">
        <f>VLOOKUP(Tabla1[[#This Row],[Estado]],Tabla3[#All],2,0)</f>
        <v>Occidente</v>
      </c>
    </row>
    <row r="367" spans="1:8" ht="15.75" customHeight="1" x14ac:dyDescent="0.25">
      <c r="A367" s="1">
        <v>200365</v>
      </c>
      <c r="B367" s="2">
        <v>45807</v>
      </c>
      <c r="C367" s="1">
        <v>28</v>
      </c>
      <c r="D367" s="1" t="s">
        <v>6</v>
      </c>
      <c r="E367" s="1">
        <v>1941</v>
      </c>
      <c r="F367" t="str">
        <f>VLOOKUP(Tabla1[[#This Row],[IDProducto]],producto!$A$1:$C$33,2,FALSE)</f>
        <v>Producto_28</v>
      </c>
      <c r="G367" t="str">
        <f>VLOOKUP(Tabla1[[#This Row],[IDProducto]],producto!$A$1:$C$33,3,FALSE)</f>
        <v>Hogar</v>
      </c>
      <c r="H367" s="6" t="str">
        <f>VLOOKUP(Tabla1[[#This Row],[Estado]],Tabla3[#All],2,0)</f>
        <v>Occidente</v>
      </c>
    </row>
    <row r="368" spans="1:8" ht="15.75" customHeight="1" x14ac:dyDescent="0.25">
      <c r="A368" s="1">
        <v>200366</v>
      </c>
      <c r="B368" s="2">
        <v>45780</v>
      </c>
      <c r="C368" s="1">
        <v>4</v>
      </c>
      <c r="D368" s="1" t="s">
        <v>10</v>
      </c>
      <c r="E368" s="1">
        <v>301</v>
      </c>
      <c r="F368" t="str">
        <f>VLOOKUP(Tabla1[[#This Row],[IDProducto]],producto!$A$1:$C$33,2,FALSE)</f>
        <v>Producto_4</v>
      </c>
      <c r="G368" t="str">
        <f>VLOOKUP(Tabla1[[#This Row],[IDProducto]],producto!$A$1:$C$33,3,FALSE)</f>
        <v>Deportes</v>
      </c>
      <c r="H368" s="6" t="str">
        <f>VLOOKUP(Tabla1[[#This Row],[Estado]],Tabla3[#All],2,0)</f>
        <v>Centro</v>
      </c>
    </row>
    <row r="369" spans="1:8" ht="15.75" customHeight="1" x14ac:dyDescent="0.25">
      <c r="A369" s="1">
        <v>200367</v>
      </c>
      <c r="B369" s="2">
        <v>45699</v>
      </c>
      <c r="C369" s="1">
        <v>3</v>
      </c>
      <c r="D369" s="1" t="s">
        <v>12</v>
      </c>
      <c r="E369" s="1">
        <v>810</v>
      </c>
      <c r="F369" t="str">
        <f>VLOOKUP(Tabla1[[#This Row],[IDProducto]],producto!$A$1:$C$33,2,FALSE)</f>
        <v>Producto_3</v>
      </c>
      <c r="G369" t="str">
        <f>VLOOKUP(Tabla1[[#This Row],[IDProducto]],producto!$A$1:$C$33,3,FALSE)</f>
        <v>Deportes</v>
      </c>
      <c r="H369" s="6" t="str">
        <f>VLOOKUP(Tabla1[[#This Row],[Estado]],Tabla3[#All],2,0)</f>
        <v>Centro</v>
      </c>
    </row>
    <row r="370" spans="1:8" ht="15.75" customHeight="1" x14ac:dyDescent="0.25">
      <c r="A370" s="1">
        <v>200368</v>
      </c>
      <c r="B370" s="2">
        <v>45745</v>
      </c>
      <c r="C370" s="1">
        <v>17</v>
      </c>
      <c r="D370" s="1" t="s">
        <v>12</v>
      </c>
      <c r="E370" s="1">
        <v>1087</v>
      </c>
      <c r="F370" t="str">
        <f>VLOOKUP(Tabla1[[#This Row],[IDProducto]],producto!$A$1:$C$33,2,FALSE)</f>
        <v>Producto_17</v>
      </c>
      <c r="G370" t="str">
        <f>VLOOKUP(Tabla1[[#This Row],[IDProducto]],producto!$A$1:$C$33,3,FALSE)</f>
        <v>Ropa</v>
      </c>
      <c r="H370" s="6" t="str">
        <f>VLOOKUP(Tabla1[[#This Row],[Estado]],Tabla3[#All],2,0)</f>
        <v>Centro</v>
      </c>
    </row>
    <row r="371" spans="1:8" ht="15.75" customHeight="1" x14ac:dyDescent="0.25">
      <c r="A371" s="1">
        <v>200369</v>
      </c>
      <c r="B371" s="2">
        <v>45721</v>
      </c>
      <c r="C371" s="1">
        <v>19</v>
      </c>
      <c r="D371" s="1" t="s">
        <v>10</v>
      </c>
      <c r="E371" s="1">
        <v>967</v>
      </c>
      <c r="F371" t="str">
        <f>VLOOKUP(Tabla1[[#This Row],[IDProducto]],producto!$A$1:$C$33,2,FALSE)</f>
        <v>Producto_19</v>
      </c>
      <c r="G371" t="str">
        <f>VLOOKUP(Tabla1[[#This Row],[IDProducto]],producto!$A$1:$C$33,3,FALSE)</f>
        <v>Ropa</v>
      </c>
      <c r="H371" s="6" t="str">
        <f>VLOOKUP(Tabla1[[#This Row],[Estado]],Tabla3[#All],2,0)</f>
        <v>Centro</v>
      </c>
    </row>
    <row r="372" spans="1:8" ht="15.75" customHeight="1" x14ac:dyDescent="0.25">
      <c r="A372" s="1">
        <v>200370</v>
      </c>
      <c r="B372" s="2">
        <v>45685</v>
      </c>
      <c r="C372" s="1">
        <v>18</v>
      </c>
      <c r="D372" s="1" t="s">
        <v>8</v>
      </c>
      <c r="E372" s="1">
        <v>826</v>
      </c>
      <c r="F372" t="str">
        <f>VLOOKUP(Tabla1[[#This Row],[IDProducto]],producto!$A$1:$C$33,2,FALSE)</f>
        <v>Producto_18</v>
      </c>
      <c r="G372" t="str">
        <f>VLOOKUP(Tabla1[[#This Row],[IDProducto]],producto!$A$1:$C$33,3,FALSE)</f>
        <v>Ropa</v>
      </c>
      <c r="H372" s="6" t="str">
        <f>VLOOKUP(Tabla1[[#This Row],[Estado]],Tabla3[#All],2,0)</f>
        <v>Norte</v>
      </c>
    </row>
    <row r="373" spans="1:8" ht="15.75" customHeight="1" x14ac:dyDescent="0.25">
      <c r="A373" s="1">
        <v>200371</v>
      </c>
      <c r="B373" s="2">
        <v>45662</v>
      </c>
      <c r="C373" s="1">
        <v>30</v>
      </c>
      <c r="D373" s="1" t="s">
        <v>5</v>
      </c>
      <c r="E373" s="1">
        <v>1494</v>
      </c>
      <c r="F373" t="str">
        <f>VLOOKUP(Tabla1[[#This Row],[IDProducto]],producto!$A$1:$C$33,2,FALSE)</f>
        <v>Producto_30</v>
      </c>
      <c r="G373" t="str">
        <f>VLOOKUP(Tabla1[[#This Row],[IDProducto]],producto!$A$1:$C$33,3,FALSE)</f>
        <v>Hogar</v>
      </c>
      <c r="H373" s="6" t="str">
        <f>VLOOKUP(Tabla1[[#This Row],[Estado]],Tabla3[#All],2,0)</f>
        <v>Centro</v>
      </c>
    </row>
    <row r="374" spans="1:8" ht="15.75" customHeight="1" x14ac:dyDescent="0.25">
      <c r="A374" s="1">
        <v>200372</v>
      </c>
      <c r="B374" s="2">
        <v>45799</v>
      </c>
      <c r="C374" s="1">
        <v>2</v>
      </c>
      <c r="D374" s="1" t="s">
        <v>11</v>
      </c>
      <c r="E374" s="1">
        <v>878</v>
      </c>
      <c r="F374" t="str">
        <f>VLOOKUP(Tabla1[[#This Row],[IDProducto]],producto!$A$1:$C$33,2,FALSE)</f>
        <v>Producto_2</v>
      </c>
      <c r="G374" t="str">
        <f>VLOOKUP(Tabla1[[#This Row],[IDProducto]],producto!$A$1:$C$33,3,FALSE)</f>
        <v>Deportes</v>
      </c>
      <c r="H374" s="6" t="str">
        <f>VLOOKUP(Tabla1[[#This Row],[Estado]],Tabla3[#All],2,0)</f>
        <v>Occidente</v>
      </c>
    </row>
    <row r="375" spans="1:8" ht="15.75" customHeight="1" x14ac:dyDescent="0.25">
      <c r="A375" s="1">
        <v>200373</v>
      </c>
      <c r="B375" s="2">
        <v>45684</v>
      </c>
      <c r="C375" s="1">
        <v>9</v>
      </c>
      <c r="D375" s="1" t="s">
        <v>10</v>
      </c>
      <c r="E375" s="1">
        <v>1429</v>
      </c>
      <c r="F375" t="str">
        <f>VLOOKUP(Tabla1[[#This Row],[IDProducto]],producto!$A$1:$C$33,2,FALSE)</f>
        <v>Producto_9</v>
      </c>
      <c r="G375" t="str">
        <f>VLOOKUP(Tabla1[[#This Row],[IDProducto]],producto!$A$1:$C$33,3,FALSE)</f>
        <v>Electrónica</v>
      </c>
      <c r="H375" s="6" t="str">
        <f>VLOOKUP(Tabla1[[#This Row],[Estado]],Tabla3[#All],2,0)</f>
        <v>Centro</v>
      </c>
    </row>
    <row r="376" spans="1:8" ht="15.75" customHeight="1" x14ac:dyDescent="0.25">
      <c r="A376" s="1">
        <v>200374</v>
      </c>
      <c r="B376" s="2">
        <v>45815</v>
      </c>
      <c r="C376" s="1">
        <v>3</v>
      </c>
      <c r="D376" s="1" t="s">
        <v>6</v>
      </c>
      <c r="E376" s="1">
        <v>1519</v>
      </c>
      <c r="F376" t="str">
        <f>VLOOKUP(Tabla1[[#This Row],[IDProducto]],producto!$A$1:$C$33,2,FALSE)</f>
        <v>Producto_3</v>
      </c>
      <c r="G376" t="str">
        <f>VLOOKUP(Tabla1[[#This Row],[IDProducto]],producto!$A$1:$C$33,3,FALSE)</f>
        <v>Deportes</v>
      </c>
      <c r="H376" s="6" t="str">
        <f>VLOOKUP(Tabla1[[#This Row],[Estado]],Tabla3[#All],2,0)</f>
        <v>Occidente</v>
      </c>
    </row>
    <row r="377" spans="1:8" ht="15.75" customHeight="1" x14ac:dyDescent="0.25">
      <c r="A377" s="1">
        <v>200375</v>
      </c>
      <c r="B377" s="2">
        <v>45663</v>
      </c>
      <c r="C377" s="1">
        <v>24</v>
      </c>
      <c r="D377" s="1" t="s">
        <v>11</v>
      </c>
      <c r="E377" s="1">
        <v>1382</v>
      </c>
      <c r="F377" t="str">
        <f>VLOOKUP(Tabla1[[#This Row],[IDProducto]],producto!$A$1:$C$33,2,FALSE)</f>
        <v>Producto_24</v>
      </c>
      <c r="G377" t="str">
        <f>VLOOKUP(Tabla1[[#This Row],[IDProducto]],producto!$A$1:$C$33,3,FALSE)</f>
        <v>Ropa</v>
      </c>
      <c r="H377" s="6" t="str">
        <f>VLOOKUP(Tabla1[[#This Row],[Estado]],Tabla3[#All],2,0)</f>
        <v>Occidente</v>
      </c>
    </row>
    <row r="378" spans="1:8" ht="15.75" customHeight="1" x14ac:dyDescent="0.25">
      <c r="A378" s="1">
        <v>200376</v>
      </c>
      <c r="B378" s="2">
        <v>45727</v>
      </c>
      <c r="C378" s="1">
        <v>10</v>
      </c>
      <c r="D378" s="1" t="s">
        <v>12</v>
      </c>
      <c r="E378" s="1">
        <v>366</v>
      </c>
      <c r="F378" t="str">
        <f>VLOOKUP(Tabla1[[#This Row],[IDProducto]],producto!$A$1:$C$33,2,FALSE)</f>
        <v>Producto_10</v>
      </c>
      <c r="G378" t="str">
        <f>VLOOKUP(Tabla1[[#This Row],[IDProducto]],producto!$A$1:$C$33,3,FALSE)</f>
        <v>Ropa</v>
      </c>
      <c r="H378" s="6" t="str">
        <f>VLOOKUP(Tabla1[[#This Row],[Estado]],Tabla3[#All],2,0)</f>
        <v>Centro</v>
      </c>
    </row>
    <row r="379" spans="1:8" ht="15.75" customHeight="1" x14ac:dyDescent="0.25">
      <c r="A379" s="1">
        <v>200377</v>
      </c>
      <c r="B379" s="2">
        <v>45752</v>
      </c>
      <c r="C379" s="1">
        <v>1</v>
      </c>
      <c r="D379" s="1" t="s">
        <v>6</v>
      </c>
      <c r="E379" s="1">
        <v>1082</v>
      </c>
      <c r="F379" t="str">
        <f>VLOOKUP(Tabla1[[#This Row],[IDProducto]],producto!$A$1:$C$33,2,FALSE)</f>
        <v>Producto_1</v>
      </c>
      <c r="G379" t="str">
        <f>VLOOKUP(Tabla1[[#This Row],[IDProducto]],producto!$A$1:$C$33,3,FALSE)</f>
        <v>Hogar</v>
      </c>
      <c r="H379" s="6" t="str">
        <f>VLOOKUP(Tabla1[[#This Row],[Estado]],Tabla3[#All],2,0)</f>
        <v>Occidente</v>
      </c>
    </row>
    <row r="380" spans="1:8" ht="15.75" customHeight="1" x14ac:dyDescent="0.25">
      <c r="A380" s="1">
        <v>200378</v>
      </c>
      <c r="B380" s="2">
        <v>45710</v>
      </c>
      <c r="C380" s="1">
        <v>18</v>
      </c>
      <c r="D380" s="1" t="s">
        <v>9</v>
      </c>
      <c r="E380" s="1">
        <v>1702</v>
      </c>
      <c r="F380" t="str">
        <f>VLOOKUP(Tabla1[[#This Row],[IDProducto]],producto!$A$1:$C$33,2,FALSE)</f>
        <v>Producto_18</v>
      </c>
      <c r="G380" t="str">
        <f>VLOOKUP(Tabla1[[#This Row],[IDProducto]],producto!$A$1:$C$33,3,FALSE)</f>
        <v>Ropa</v>
      </c>
      <c r="H380" s="6" t="str">
        <f>VLOOKUP(Tabla1[[#This Row],[Estado]],Tabla3[#All],2,0)</f>
        <v>Sur</v>
      </c>
    </row>
    <row r="381" spans="1:8" ht="15.75" customHeight="1" x14ac:dyDescent="0.25">
      <c r="A381" s="1">
        <v>200379</v>
      </c>
      <c r="B381" s="2">
        <v>45679</v>
      </c>
      <c r="C381" s="1">
        <v>7</v>
      </c>
      <c r="D381" s="1" t="s">
        <v>12</v>
      </c>
      <c r="E381" s="1">
        <v>853</v>
      </c>
      <c r="F381" t="str">
        <f>VLOOKUP(Tabla1[[#This Row],[IDProducto]],producto!$A$1:$C$33,2,FALSE)</f>
        <v>Producto_7</v>
      </c>
      <c r="G381" t="str">
        <f>VLOOKUP(Tabla1[[#This Row],[IDProducto]],producto!$A$1:$C$33,3,FALSE)</f>
        <v>Ropa</v>
      </c>
      <c r="H381" s="6" t="str">
        <f>VLOOKUP(Tabla1[[#This Row],[Estado]],Tabla3[#All],2,0)</f>
        <v>Centro</v>
      </c>
    </row>
    <row r="382" spans="1:8" ht="15.75" customHeight="1" x14ac:dyDescent="0.25">
      <c r="A382" s="1">
        <v>200380</v>
      </c>
      <c r="B382" s="2">
        <v>45705</v>
      </c>
      <c r="C382" s="1">
        <v>22</v>
      </c>
      <c r="D382" s="1" t="s">
        <v>10</v>
      </c>
      <c r="E382" s="1">
        <v>320</v>
      </c>
      <c r="F382" t="str">
        <f>VLOOKUP(Tabla1[[#This Row],[IDProducto]],producto!$A$1:$C$33,2,FALSE)</f>
        <v>Producto_22</v>
      </c>
      <c r="G382" t="str">
        <f>VLOOKUP(Tabla1[[#This Row],[IDProducto]],producto!$A$1:$C$33,3,FALSE)</f>
        <v>Hogar</v>
      </c>
      <c r="H382" s="6" t="str">
        <f>VLOOKUP(Tabla1[[#This Row],[Estado]],Tabla3[#All],2,0)</f>
        <v>Centro</v>
      </c>
    </row>
    <row r="383" spans="1:8" ht="15.75" customHeight="1" x14ac:dyDescent="0.25">
      <c r="A383" s="1">
        <v>200381</v>
      </c>
      <c r="B383" s="2">
        <v>45667</v>
      </c>
      <c r="C383" s="1">
        <v>15</v>
      </c>
      <c r="D383" s="1" t="s">
        <v>6</v>
      </c>
      <c r="E383" s="1">
        <v>262</v>
      </c>
      <c r="F383" t="str">
        <f>VLOOKUP(Tabla1[[#This Row],[IDProducto]],producto!$A$1:$C$33,2,FALSE)</f>
        <v>Producto_15</v>
      </c>
      <c r="G383" t="str">
        <f>VLOOKUP(Tabla1[[#This Row],[IDProducto]],producto!$A$1:$C$33,3,FALSE)</f>
        <v>Hogar</v>
      </c>
      <c r="H383" s="6" t="str">
        <f>VLOOKUP(Tabla1[[#This Row],[Estado]],Tabla3[#All],2,0)</f>
        <v>Occidente</v>
      </c>
    </row>
    <row r="384" spans="1:8" ht="15.75" customHeight="1" x14ac:dyDescent="0.25">
      <c r="A384" s="1">
        <v>200382</v>
      </c>
      <c r="B384" s="2">
        <v>45795</v>
      </c>
      <c r="C384" s="1">
        <v>19</v>
      </c>
      <c r="D384" s="1" t="s">
        <v>6</v>
      </c>
      <c r="E384" s="1">
        <v>1127</v>
      </c>
      <c r="F384" t="str">
        <f>VLOOKUP(Tabla1[[#This Row],[IDProducto]],producto!$A$1:$C$33,2,FALSE)</f>
        <v>Producto_19</v>
      </c>
      <c r="G384" t="str">
        <f>VLOOKUP(Tabla1[[#This Row],[IDProducto]],producto!$A$1:$C$33,3,FALSE)</f>
        <v>Ropa</v>
      </c>
      <c r="H384" s="6" t="str">
        <f>VLOOKUP(Tabla1[[#This Row],[Estado]],Tabla3[#All],2,0)</f>
        <v>Occidente</v>
      </c>
    </row>
    <row r="385" spans="1:8" ht="15.75" customHeight="1" x14ac:dyDescent="0.25">
      <c r="A385" s="1">
        <v>200383</v>
      </c>
      <c r="B385" s="2">
        <v>45714</v>
      </c>
      <c r="C385" s="1">
        <v>11</v>
      </c>
      <c r="D385" s="1" t="s">
        <v>9</v>
      </c>
      <c r="E385" s="1">
        <v>1843</v>
      </c>
      <c r="F385" t="str">
        <f>VLOOKUP(Tabla1[[#This Row],[IDProducto]],producto!$A$1:$C$33,2,FALSE)</f>
        <v>Producto_11</v>
      </c>
      <c r="G385" t="str">
        <f>VLOOKUP(Tabla1[[#This Row],[IDProducto]],producto!$A$1:$C$33,3,FALSE)</f>
        <v>Ropa</v>
      </c>
      <c r="H385" s="6" t="str">
        <f>VLOOKUP(Tabla1[[#This Row],[Estado]],Tabla3[#All],2,0)</f>
        <v>Sur</v>
      </c>
    </row>
    <row r="386" spans="1:8" ht="15.75" customHeight="1" x14ac:dyDescent="0.25">
      <c r="A386" s="1">
        <v>200384</v>
      </c>
      <c r="B386" s="2">
        <v>45755</v>
      </c>
      <c r="C386" s="1">
        <v>30</v>
      </c>
      <c r="D386" s="1" t="s">
        <v>6</v>
      </c>
      <c r="E386" s="1">
        <v>1150</v>
      </c>
      <c r="F386" t="str">
        <f>VLOOKUP(Tabla1[[#This Row],[IDProducto]],producto!$A$1:$C$33,2,FALSE)</f>
        <v>Producto_30</v>
      </c>
      <c r="G386" t="str">
        <f>VLOOKUP(Tabla1[[#This Row],[IDProducto]],producto!$A$1:$C$33,3,FALSE)</f>
        <v>Hogar</v>
      </c>
      <c r="H386" s="6" t="str">
        <f>VLOOKUP(Tabla1[[#This Row],[Estado]],Tabla3[#All],2,0)</f>
        <v>Occidente</v>
      </c>
    </row>
    <row r="387" spans="1:8" ht="15.75" customHeight="1" x14ac:dyDescent="0.25">
      <c r="A387" s="1">
        <v>200385</v>
      </c>
      <c r="B387" s="2">
        <v>45819</v>
      </c>
      <c r="C387" s="1">
        <v>8</v>
      </c>
      <c r="D387" s="1" t="s">
        <v>6</v>
      </c>
      <c r="E387" s="1">
        <v>1483</v>
      </c>
      <c r="F387" t="str">
        <f>VLOOKUP(Tabla1[[#This Row],[IDProducto]],producto!$A$1:$C$33,2,FALSE)</f>
        <v>Producto_8</v>
      </c>
      <c r="G387" t="str">
        <f>VLOOKUP(Tabla1[[#This Row],[IDProducto]],producto!$A$1:$C$33,3,FALSE)</f>
        <v>Electrónica</v>
      </c>
      <c r="H387" s="6" t="str">
        <f>VLOOKUP(Tabla1[[#This Row],[Estado]],Tabla3[#All],2,0)</f>
        <v>Occidente</v>
      </c>
    </row>
    <row r="388" spans="1:8" ht="15.75" customHeight="1" x14ac:dyDescent="0.25">
      <c r="A388" s="1">
        <v>200386</v>
      </c>
      <c r="B388" s="2">
        <v>45795</v>
      </c>
      <c r="C388" s="1">
        <v>12</v>
      </c>
      <c r="D388" s="1" t="s">
        <v>5</v>
      </c>
      <c r="E388" s="1">
        <v>414</v>
      </c>
      <c r="F388" t="str">
        <f>VLOOKUP(Tabla1[[#This Row],[IDProducto]],producto!$A$1:$C$33,2,FALSE)</f>
        <v>Producto_12</v>
      </c>
      <c r="G388" t="str">
        <f>VLOOKUP(Tabla1[[#This Row],[IDProducto]],producto!$A$1:$C$33,3,FALSE)</f>
        <v>Hogar</v>
      </c>
      <c r="H388" s="6" t="str">
        <f>VLOOKUP(Tabla1[[#This Row],[Estado]],Tabla3[#All],2,0)</f>
        <v>Centro</v>
      </c>
    </row>
    <row r="389" spans="1:8" ht="15.75" customHeight="1" x14ac:dyDescent="0.25">
      <c r="A389" s="1">
        <v>200387</v>
      </c>
      <c r="B389" s="2">
        <v>45710</v>
      </c>
      <c r="C389" s="1">
        <v>4</v>
      </c>
      <c r="D389" s="1" t="s">
        <v>6</v>
      </c>
      <c r="E389" s="1">
        <v>396</v>
      </c>
      <c r="F389" t="str">
        <f>VLOOKUP(Tabla1[[#This Row],[IDProducto]],producto!$A$1:$C$33,2,FALSE)</f>
        <v>Producto_4</v>
      </c>
      <c r="G389" t="str">
        <f>VLOOKUP(Tabla1[[#This Row],[IDProducto]],producto!$A$1:$C$33,3,FALSE)</f>
        <v>Deportes</v>
      </c>
      <c r="H389" s="6" t="str">
        <f>VLOOKUP(Tabla1[[#This Row],[Estado]],Tabla3[#All],2,0)</f>
        <v>Occidente</v>
      </c>
    </row>
    <row r="390" spans="1:8" ht="15.75" customHeight="1" x14ac:dyDescent="0.25">
      <c r="A390" s="1">
        <v>200388</v>
      </c>
      <c r="B390" s="2">
        <v>45775</v>
      </c>
      <c r="C390" s="1">
        <v>3</v>
      </c>
      <c r="D390" s="1" t="s">
        <v>8</v>
      </c>
      <c r="E390" s="1">
        <v>1491</v>
      </c>
      <c r="F390" t="str">
        <f>VLOOKUP(Tabla1[[#This Row],[IDProducto]],producto!$A$1:$C$33,2,FALSE)</f>
        <v>Producto_3</v>
      </c>
      <c r="G390" t="str">
        <f>VLOOKUP(Tabla1[[#This Row],[IDProducto]],producto!$A$1:$C$33,3,FALSE)</f>
        <v>Deportes</v>
      </c>
      <c r="H390" s="6" t="str">
        <f>VLOOKUP(Tabla1[[#This Row],[Estado]],Tabla3[#All],2,0)</f>
        <v>Norte</v>
      </c>
    </row>
    <row r="391" spans="1:8" ht="15.75" customHeight="1" x14ac:dyDescent="0.25">
      <c r="A391" s="1">
        <v>200389</v>
      </c>
      <c r="B391" s="2">
        <v>45695</v>
      </c>
      <c r="C391" s="1">
        <v>28</v>
      </c>
      <c r="D391" s="1" t="s">
        <v>5</v>
      </c>
      <c r="E391" s="1">
        <v>850</v>
      </c>
      <c r="F391" t="str">
        <f>VLOOKUP(Tabla1[[#This Row],[IDProducto]],producto!$A$1:$C$33,2,FALSE)</f>
        <v>Producto_28</v>
      </c>
      <c r="G391" t="str">
        <f>VLOOKUP(Tabla1[[#This Row],[IDProducto]],producto!$A$1:$C$33,3,FALSE)</f>
        <v>Hogar</v>
      </c>
      <c r="H391" s="6" t="str">
        <f>VLOOKUP(Tabla1[[#This Row],[Estado]],Tabla3[#All],2,0)</f>
        <v>Centro</v>
      </c>
    </row>
    <row r="392" spans="1:8" ht="15.75" customHeight="1" x14ac:dyDescent="0.25">
      <c r="A392" s="1">
        <v>200390</v>
      </c>
      <c r="B392" s="2">
        <v>45795</v>
      </c>
      <c r="C392" s="1">
        <v>24</v>
      </c>
      <c r="D392" s="1" t="s">
        <v>9</v>
      </c>
      <c r="E392" s="1">
        <v>1186</v>
      </c>
      <c r="F392" t="str">
        <f>VLOOKUP(Tabla1[[#This Row],[IDProducto]],producto!$A$1:$C$33,2,FALSE)</f>
        <v>Producto_24</v>
      </c>
      <c r="G392" t="str">
        <f>VLOOKUP(Tabla1[[#This Row],[IDProducto]],producto!$A$1:$C$33,3,FALSE)</f>
        <v>Ropa</v>
      </c>
      <c r="H392" s="6" t="str">
        <f>VLOOKUP(Tabla1[[#This Row],[Estado]],Tabla3[#All],2,0)</f>
        <v>Sur</v>
      </c>
    </row>
    <row r="393" spans="1:8" ht="15.75" customHeight="1" x14ac:dyDescent="0.25">
      <c r="A393" s="1">
        <v>200391</v>
      </c>
      <c r="B393" s="2">
        <v>45810</v>
      </c>
      <c r="C393" s="1">
        <v>5</v>
      </c>
      <c r="D393" s="1" t="s">
        <v>12</v>
      </c>
      <c r="E393" s="1">
        <v>1677</v>
      </c>
      <c r="F393" t="str">
        <f>VLOOKUP(Tabla1[[#This Row],[IDProducto]],producto!$A$1:$C$33,2,FALSE)</f>
        <v>Producto_5</v>
      </c>
      <c r="G393" t="str">
        <f>VLOOKUP(Tabla1[[#This Row],[IDProducto]],producto!$A$1:$C$33,3,FALSE)</f>
        <v>Hogar</v>
      </c>
      <c r="H393" s="6" t="str">
        <f>VLOOKUP(Tabla1[[#This Row],[Estado]],Tabla3[#All],2,0)</f>
        <v>Centro</v>
      </c>
    </row>
    <row r="394" spans="1:8" ht="15.75" customHeight="1" x14ac:dyDescent="0.25">
      <c r="A394" s="1">
        <v>200392</v>
      </c>
      <c r="B394" s="2">
        <v>45700</v>
      </c>
      <c r="C394" s="1">
        <v>20</v>
      </c>
      <c r="D394" s="1" t="s">
        <v>5</v>
      </c>
      <c r="E394" s="1">
        <v>1352</v>
      </c>
      <c r="F394" t="str">
        <f>VLOOKUP(Tabla1[[#This Row],[IDProducto]],producto!$A$1:$C$33,2,FALSE)</f>
        <v>Producto_20</v>
      </c>
      <c r="G394" t="str">
        <f>VLOOKUP(Tabla1[[#This Row],[IDProducto]],producto!$A$1:$C$33,3,FALSE)</f>
        <v>Deportes</v>
      </c>
      <c r="H394" s="6" t="str">
        <f>VLOOKUP(Tabla1[[#This Row],[Estado]],Tabla3[#All],2,0)</f>
        <v>Centro</v>
      </c>
    </row>
    <row r="395" spans="1:8" ht="15.75" customHeight="1" x14ac:dyDescent="0.25">
      <c r="A395" s="1">
        <v>200393</v>
      </c>
      <c r="B395" s="2">
        <v>45718</v>
      </c>
      <c r="C395" s="1">
        <v>5</v>
      </c>
      <c r="D395" s="1" t="s">
        <v>12</v>
      </c>
      <c r="E395" s="1">
        <v>1708</v>
      </c>
      <c r="F395" t="str">
        <f>VLOOKUP(Tabla1[[#This Row],[IDProducto]],producto!$A$1:$C$33,2,FALSE)</f>
        <v>Producto_5</v>
      </c>
      <c r="G395" t="str">
        <f>VLOOKUP(Tabla1[[#This Row],[IDProducto]],producto!$A$1:$C$33,3,FALSE)</f>
        <v>Hogar</v>
      </c>
      <c r="H395" s="6" t="str">
        <f>VLOOKUP(Tabla1[[#This Row],[Estado]],Tabla3[#All],2,0)</f>
        <v>Centro</v>
      </c>
    </row>
    <row r="396" spans="1:8" ht="15.75" customHeight="1" x14ac:dyDescent="0.25">
      <c r="A396" s="1">
        <v>200394</v>
      </c>
      <c r="B396" s="2">
        <v>45717</v>
      </c>
      <c r="C396" s="1">
        <v>4</v>
      </c>
      <c r="D396" s="1" t="s">
        <v>8</v>
      </c>
      <c r="E396" s="1">
        <v>275</v>
      </c>
      <c r="F396" t="str">
        <f>VLOOKUP(Tabla1[[#This Row],[IDProducto]],producto!$A$1:$C$33,2,FALSE)</f>
        <v>Producto_4</v>
      </c>
      <c r="G396" t="str">
        <f>VLOOKUP(Tabla1[[#This Row],[IDProducto]],producto!$A$1:$C$33,3,FALSE)</f>
        <v>Deportes</v>
      </c>
      <c r="H396" s="6" t="str">
        <f>VLOOKUP(Tabla1[[#This Row],[Estado]],Tabla3[#All],2,0)</f>
        <v>Norte</v>
      </c>
    </row>
    <row r="397" spans="1:8" ht="15.75" customHeight="1" x14ac:dyDescent="0.25">
      <c r="A397" s="1">
        <v>200395</v>
      </c>
      <c r="B397" s="2">
        <v>45797</v>
      </c>
      <c r="C397" s="1">
        <v>13</v>
      </c>
      <c r="D397" s="1" t="s">
        <v>10</v>
      </c>
      <c r="E397" s="1">
        <v>106</v>
      </c>
      <c r="F397" t="str">
        <f>VLOOKUP(Tabla1[[#This Row],[IDProducto]],producto!$A$1:$C$33,2,FALSE)</f>
        <v>Producto_13</v>
      </c>
      <c r="G397" t="str">
        <f>VLOOKUP(Tabla1[[#This Row],[IDProducto]],producto!$A$1:$C$33,3,FALSE)</f>
        <v>Deportes</v>
      </c>
      <c r="H397" s="6" t="str">
        <f>VLOOKUP(Tabla1[[#This Row],[Estado]],Tabla3[#All],2,0)</f>
        <v>Centro</v>
      </c>
    </row>
    <row r="398" spans="1:8" ht="15.75" customHeight="1" x14ac:dyDescent="0.25">
      <c r="A398" s="1">
        <v>200396</v>
      </c>
      <c r="B398" s="2">
        <v>45667</v>
      </c>
      <c r="C398" s="1">
        <v>8</v>
      </c>
      <c r="D398" s="1" t="s">
        <v>7</v>
      </c>
      <c r="E398" s="1">
        <v>1199</v>
      </c>
      <c r="F398" t="str">
        <f>VLOOKUP(Tabla1[[#This Row],[IDProducto]],producto!$A$1:$C$33,2,FALSE)</f>
        <v>Producto_8</v>
      </c>
      <c r="G398" t="str">
        <f>VLOOKUP(Tabla1[[#This Row],[IDProducto]],producto!$A$1:$C$33,3,FALSE)</f>
        <v>Electrónica</v>
      </c>
      <c r="H398" s="6" t="str">
        <f>VLOOKUP(Tabla1[[#This Row],[Estado]],Tabla3[#All],2,0)</f>
        <v>Norte</v>
      </c>
    </row>
    <row r="399" spans="1:8" ht="15.75" customHeight="1" x14ac:dyDescent="0.25">
      <c r="A399" s="1">
        <v>200397</v>
      </c>
      <c r="B399" s="2">
        <v>45710</v>
      </c>
      <c r="C399" s="1">
        <v>6</v>
      </c>
      <c r="D399" s="1" t="s">
        <v>12</v>
      </c>
      <c r="E399" s="1">
        <v>1305</v>
      </c>
      <c r="F399" t="str">
        <f>VLOOKUP(Tabla1[[#This Row],[IDProducto]],producto!$A$1:$C$33,2,FALSE)</f>
        <v>Producto_6</v>
      </c>
      <c r="G399" t="str">
        <f>VLOOKUP(Tabla1[[#This Row],[IDProducto]],producto!$A$1:$C$33,3,FALSE)</f>
        <v>Electrónica</v>
      </c>
      <c r="H399" s="6" t="str">
        <f>VLOOKUP(Tabla1[[#This Row],[Estado]],Tabla3[#All],2,0)</f>
        <v>Centro</v>
      </c>
    </row>
    <row r="400" spans="1:8" ht="15.75" customHeight="1" x14ac:dyDescent="0.25">
      <c r="A400" s="1">
        <v>200398</v>
      </c>
      <c r="B400" s="2">
        <v>45771</v>
      </c>
      <c r="C400" s="1">
        <v>32</v>
      </c>
      <c r="D400" s="1" t="s">
        <v>10</v>
      </c>
      <c r="E400" s="1">
        <v>985</v>
      </c>
      <c r="F400" t="str">
        <f>VLOOKUP(Tabla1[[#This Row],[IDProducto]],producto!$A$1:$C$33,2,FALSE)</f>
        <v>Producto_32</v>
      </c>
      <c r="G400" t="str">
        <f>VLOOKUP(Tabla1[[#This Row],[IDProducto]],producto!$A$1:$C$33,3,FALSE)</f>
        <v>Hogar</v>
      </c>
      <c r="H400" s="6" t="str">
        <f>VLOOKUP(Tabla1[[#This Row],[Estado]],Tabla3[#All],2,0)</f>
        <v>Centro</v>
      </c>
    </row>
    <row r="401" spans="1:8" ht="15.75" customHeight="1" x14ac:dyDescent="0.25">
      <c r="A401" s="1">
        <v>200399</v>
      </c>
      <c r="B401" s="2">
        <v>45782</v>
      </c>
      <c r="C401" s="1">
        <v>8</v>
      </c>
      <c r="D401" s="1" t="s">
        <v>9</v>
      </c>
      <c r="E401" s="1">
        <v>506</v>
      </c>
      <c r="F401" t="str">
        <f>VLOOKUP(Tabla1[[#This Row],[IDProducto]],producto!$A$1:$C$33,2,FALSE)</f>
        <v>Producto_8</v>
      </c>
      <c r="G401" t="str">
        <f>VLOOKUP(Tabla1[[#This Row],[IDProducto]],producto!$A$1:$C$33,3,FALSE)</f>
        <v>Electrónica</v>
      </c>
      <c r="H401" s="6" t="str">
        <f>VLOOKUP(Tabla1[[#This Row],[Estado]],Tabla3[#All],2,0)</f>
        <v>Sur</v>
      </c>
    </row>
    <row r="402" spans="1:8" ht="15.75" customHeight="1" x14ac:dyDescent="0.25">
      <c r="A402" s="1">
        <v>200400</v>
      </c>
      <c r="B402" s="2">
        <v>45674</v>
      </c>
      <c r="C402" s="1">
        <v>11</v>
      </c>
      <c r="D402" s="1" t="s">
        <v>9</v>
      </c>
      <c r="E402" s="1">
        <v>302</v>
      </c>
      <c r="F402" t="str">
        <f>VLOOKUP(Tabla1[[#This Row],[IDProducto]],producto!$A$1:$C$33,2,FALSE)</f>
        <v>Producto_11</v>
      </c>
      <c r="G402" t="str">
        <f>VLOOKUP(Tabla1[[#This Row],[IDProducto]],producto!$A$1:$C$33,3,FALSE)</f>
        <v>Ropa</v>
      </c>
      <c r="H402" s="6" t="str">
        <f>VLOOKUP(Tabla1[[#This Row],[Estado]],Tabla3[#All],2,0)</f>
        <v>Sur</v>
      </c>
    </row>
    <row r="403" spans="1:8" ht="15.75" customHeight="1" x14ac:dyDescent="0.25">
      <c r="A403" s="1">
        <v>200401</v>
      </c>
      <c r="B403" s="2">
        <v>45667</v>
      </c>
      <c r="C403" s="1">
        <v>11</v>
      </c>
      <c r="D403" s="1" t="s">
        <v>7</v>
      </c>
      <c r="E403" s="1">
        <v>1689</v>
      </c>
      <c r="F403" t="str">
        <f>VLOOKUP(Tabla1[[#This Row],[IDProducto]],producto!$A$1:$C$33,2,FALSE)</f>
        <v>Producto_11</v>
      </c>
      <c r="G403" t="str">
        <f>VLOOKUP(Tabla1[[#This Row],[IDProducto]],producto!$A$1:$C$33,3,FALSE)</f>
        <v>Ropa</v>
      </c>
      <c r="H403" s="6" t="str">
        <f>VLOOKUP(Tabla1[[#This Row],[Estado]],Tabla3[#All],2,0)</f>
        <v>Norte</v>
      </c>
    </row>
    <row r="404" spans="1:8" ht="15.75" customHeight="1" x14ac:dyDescent="0.25">
      <c r="A404" s="1">
        <v>200402</v>
      </c>
      <c r="B404" s="2">
        <v>45747</v>
      </c>
      <c r="C404" s="1">
        <v>29</v>
      </c>
      <c r="D404" s="1" t="s">
        <v>8</v>
      </c>
      <c r="E404" s="1">
        <v>841</v>
      </c>
      <c r="F404" t="str">
        <f>VLOOKUP(Tabla1[[#This Row],[IDProducto]],producto!$A$1:$C$33,2,FALSE)</f>
        <v>Producto_29</v>
      </c>
      <c r="G404" t="str">
        <f>VLOOKUP(Tabla1[[#This Row],[IDProducto]],producto!$A$1:$C$33,3,FALSE)</f>
        <v>Electrónica</v>
      </c>
      <c r="H404" s="6" t="str">
        <f>VLOOKUP(Tabla1[[#This Row],[Estado]],Tabla3[#All],2,0)</f>
        <v>Norte</v>
      </c>
    </row>
    <row r="405" spans="1:8" ht="15.75" customHeight="1" x14ac:dyDescent="0.25">
      <c r="A405" s="1">
        <v>200403</v>
      </c>
      <c r="B405" s="2">
        <v>45764</v>
      </c>
      <c r="C405" s="1">
        <v>11</v>
      </c>
      <c r="D405" s="1" t="s">
        <v>10</v>
      </c>
      <c r="E405" s="1">
        <v>1843</v>
      </c>
      <c r="F405" t="str">
        <f>VLOOKUP(Tabla1[[#This Row],[IDProducto]],producto!$A$1:$C$33,2,FALSE)</f>
        <v>Producto_11</v>
      </c>
      <c r="G405" t="str">
        <f>VLOOKUP(Tabla1[[#This Row],[IDProducto]],producto!$A$1:$C$33,3,FALSE)</f>
        <v>Ropa</v>
      </c>
      <c r="H405" s="6" t="str">
        <f>VLOOKUP(Tabla1[[#This Row],[Estado]],Tabla3[#All],2,0)</f>
        <v>Centro</v>
      </c>
    </row>
    <row r="406" spans="1:8" ht="15.75" customHeight="1" x14ac:dyDescent="0.25">
      <c r="A406" s="1">
        <v>200404</v>
      </c>
      <c r="B406" s="2">
        <v>45833</v>
      </c>
      <c r="C406" s="1">
        <v>3</v>
      </c>
      <c r="D406" s="1" t="s">
        <v>9</v>
      </c>
      <c r="E406" s="1">
        <v>748</v>
      </c>
      <c r="F406" t="str">
        <f>VLOOKUP(Tabla1[[#This Row],[IDProducto]],producto!$A$1:$C$33,2,FALSE)</f>
        <v>Producto_3</v>
      </c>
      <c r="G406" t="str">
        <f>VLOOKUP(Tabla1[[#This Row],[IDProducto]],producto!$A$1:$C$33,3,FALSE)</f>
        <v>Deportes</v>
      </c>
      <c r="H406" s="6" t="str">
        <f>VLOOKUP(Tabla1[[#This Row],[Estado]],Tabla3[#All],2,0)</f>
        <v>Sur</v>
      </c>
    </row>
    <row r="407" spans="1:8" ht="15.75" customHeight="1" x14ac:dyDescent="0.25">
      <c r="A407" s="1">
        <v>200405</v>
      </c>
      <c r="B407" s="2">
        <v>45802</v>
      </c>
      <c r="C407" s="1">
        <v>19</v>
      </c>
      <c r="D407" s="1" t="s">
        <v>7</v>
      </c>
      <c r="E407" s="1">
        <v>766</v>
      </c>
      <c r="F407" t="str">
        <f>VLOOKUP(Tabla1[[#This Row],[IDProducto]],producto!$A$1:$C$33,2,FALSE)</f>
        <v>Producto_19</v>
      </c>
      <c r="G407" t="str">
        <f>VLOOKUP(Tabla1[[#This Row],[IDProducto]],producto!$A$1:$C$33,3,FALSE)</f>
        <v>Ropa</v>
      </c>
      <c r="H407" s="6" t="str">
        <f>VLOOKUP(Tabla1[[#This Row],[Estado]],Tabla3[#All],2,0)</f>
        <v>Norte</v>
      </c>
    </row>
    <row r="408" spans="1:8" ht="15.75" customHeight="1" x14ac:dyDescent="0.25">
      <c r="A408" s="1">
        <v>200406</v>
      </c>
      <c r="B408" s="2">
        <v>45781</v>
      </c>
      <c r="C408" s="1">
        <v>4</v>
      </c>
      <c r="D408" s="1" t="s">
        <v>10</v>
      </c>
      <c r="E408" s="1">
        <v>1379</v>
      </c>
      <c r="F408" t="str">
        <f>VLOOKUP(Tabla1[[#This Row],[IDProducto]],producto!$A$1:$C$33,2,FALSE)</f>
        <v>Producto_4</v>
      </c>
      <c r="G408" t="str">
        <f>VLOOKUP(Tabla1[[#This Row],[IDProducto]],producto!$A$1:$C$33,3,FALSE)</f>
        <v>Deportes</v>
      </c>
      <c r="H408" s="6" t="str">
        <f>VLOOKUP(Tabla1[[#This Row],[Estado]],Tabla3[#All],2,0)</f>
        <v>Centro</v>
      </c>
    </row>
    <row r="409" spans="1:8" ht="15.75" customHeight="1" x14ac:dyDescent="0.25">
      <c r="A409" s="1">
        <v>200407</v>
      </c>
      <c r="B409" s="2">
        <v>45828</v>
      </c>
      <c r="C409" s="1">
        <v>19</v>
      </c>
      <c r="D409" s="1" t="s">
        <v>5</v>
      </c>
      <c r="E409" s="1">
        <v>216</v>
      </c>
      <c r="F409" t="str">
        <f>VLOOKUP(Tabla1[[#This Row],[IDProducto]],producto!$A$1:$C$33,2,FALSE)</f>
        <v>Producto_19</v>
      </c>
      <c r="G409" t="str">
        <f>VLOOKUP(Tabla1[[#This Row],[IDProducto]],producto!$A$1:$C$33,3,FALSE)</f>
        <v>Ropa</v>
      </c>
      <c r="H409" s="6" t="str">
        <f>VLOOKUP(Tabla1[[#This Row],[Estado]],Tabla3[#All],2,0)</f>
        <v>Centro</v>
      </c>
    </row>
    <row r="410" spans="1:8" ht="15.75" customHeight="1" x14ac:dyDescent="0.25">
      <c r="A410" s="1">
        <v>200408</v>
      </c>
      <c r="B410" s="2">
        <v>45732</v>
      </c>
      <c r="C410" s="1">
        <v>22</v>
      </c>
      <c r="D410" s="1" t="s">
        <v>12</v>
      </c>
      <c r="E410" s="1">
        <v>724</v>
      </c>
      <c r="F410" t="str">
        <f>VLOOKUP(Tabla1[[#This Row],[IDProducto]],producto!$A$1:$C$33,2,FALSE)</f>
        <v>Producto_22</v>
      </c>
      <c r="G410" t="str">
        <f>VLOOKUP(Tabla1[[#This Row],[IDProducto]],producto!$A$1:$C$33,3,FALSE)</f>
        <v>Hogar</v>
      </c>
      <c r="H410" s="6" t="str">
        <f>VLOOKUP(Tabla1[[#This Row],[Estado]],Tabla3[#All],2,0)</f>
        <v>Centro</v>
      </c>
    </row>
    <row r="411" spans="1:8" ht="15.75" customHeight="1" x14ac:dyDescent="0.25">
      <c r="A411" s="1">
        <v>200409</v>
      </c>
      <c r="B411" s="2">
        <v>45793</v>
      </c>
      <c r="C411" s="1">
        <v>23</v>
      </c>
      <c r="D411" s="1" t="s">
        <v>8</v>
      </c>
      <c r="E411" s="1">
        <v>596</v>
      </c>
      <c r="F411" t="str">
        <f>VLOOKUP(Tabla1[[#This Row],[IDProducto]],producto!$A$1:$C$33,2,FALSE)</f>
        <v>Producto_23</v>
      </c>
      <c r="G411" t="str">
        <f>VLOOKUP(Tabla1[[#This Row],[IDProducto]],producto!$A$1:$C$33,3,FALSE)</f>
        <v>Deportes</v>
      </c>
      <c r="H411" s="6" t="str">
        <f>VLOOKUP(Tabla1[[#This Row],[Estado]],Tabla3[#All],2,0)</f>
        <v>Norte</v>
      </c>
    </row>
    <row r="412" spans="1:8" ht="15.75" customHeight="1" x14ac:dyDescent="0.25">
      <c r="A412" s="1">
        <v>200410</v>
      </c>
      <c r="B412" s="2">
        <v>45757</v>
      </c>
      <c r="C412" s="1">
        <v>31</v>
      </c>
      <c r="D412" s="1" t="s">
        <v>8</v>
      </c>
      <c r="E412" s="1">
        <v>1482</v>
      </c>
      <c r="F412" t="str">
        <f>VLOOKUP(Tabla1[[#This Row],[IDProducto]],producto!$A$1:$C$33,2,FALSE)</f>
        <v>Producto_31</v>
      </c>
      <c r="G412" t="str">
        <f>VLOOKUP(Tabla1[[#This Row],[IDProducto]],producto!$A$1:$C$33,3,FALSE)</f>
        <v>Deportes</v>
      </c>
      <c r="H412" s="6" t="str">
        <f>VLOOKUP(Tabla1[[#This Row],[Estado]],Tabla3[#All],2,0)</f>
        <v>Norte</v>
      </c>
    </row>
    <row r="413" spans="1:8" ht="15.75" customHeight="1" x14ac:dyDescent="0.25">
      <c r="A413" s="1">
        <v>200411</v>
      </c>
      <c r="B413" s="2">
        <v>45698</v>
      </c>
      <c r="C413" s="1">
        <v>1</v>
      </c>
      <c r="D413" s="1" t="s">
        <v>5</v>
      </c>
      <c r="E413" s="1">
        <v>1008</v>
      </c>
      <c r="F413" t="str">
        <f>VLOOKUP(Tabla1[[#This Row],[IDProducto]],producto!$A$1:$C$33,2,FALSE)</f>
        <v>Producto_1</v>
      </c>
      <c r="G413" t="str">
        <f>VLOOKUP(Tabla1[[#This Row],[IDProducto]],producto!$A$1:$C$33,3,FALSE)</f>
        <v>Hogar</v>
      </c>
      <c r="H413" s="6" t="str">
        <f>VLOOKUP(Tabla1[[#This Row],[Estado]],Tabla3[#All],2,0)</f>
        <v>Centro</v>
      </c>
    </row>
    <row r="414" spans="1:8" ht="15.75" customHeight="1" x14ac:dyDescent="0.25">
      <c r="A414" s="1">
        <v>200412</v>
      </c>
      <c r="B414" s="2">
        <v>45717</v>
      </c>
      <c r="C414" s="1">
        <v>31</v>
      </c>
      <c r="D414" s="1" t="s">
        <v>10</v>
      </c>
      <c r="E414" s="1">
        <v>1923</v>
      </c>
      <c r="F414" t="str">
        <f>VLOOKUP(Tabla1[[#This Row],[IDProducto]],producto!$A$1:$C$33,2,FALSE)</f>
        <v>Producto_31</v>
      </c>
      <c r="G414" t="str">
        <f>VLOOKUP(Tabla1[[#This Row],[IDProducto]],producto!$A$1:$C$33,3,FALSE)</f>
        <v>Deportes</v>
      </c>
      <c r="H414" s="6" t="str">
        <f>VLOOKUP(Tabla1[[#This Row],[Estado]],Tabla3[#All],2,0)</f>
        <v>Centro</v>
      </c>
    </row>
    <row r="415" spans="1:8" ht="15.75" customHeight="1" x14ac:dyDescent="0.25">
      <c r="A415" s="1">
        <v>200413</v>
      </c>
      <c r="B415" s="2">
        <v>45791</v>
      </c>
      <c r="C415" s="1">
        <v>20</v>
      </c>
      <c r="D415" s="1" t="s">
        <v>11</v>
      </c>
      <c r="E415" s="1">
        <v>1664</v>
      </c>
      <c r="F415" t="str">
        <f>VLOOKUP(Tabla1[[#This Row],[IDProducto]],producto!$A$1:$C$33,2,FALSE)</f>
        <v>Producto_20</v>
      </c>
      <c r="G415" t="str">
        <f>VLOOKUP(Tabla1[[#This Row],[IDProducto]],producto!$A$1:$C$33,3,FALSE)</f>
        <v>Deportes</v>
      </c>
      <c r="H415" s="6" t="str">
        <f>VLOOKUP(Tabla1[[#This Row],[Estado]],Tabla3[#All],2,0)</f>
        <v>Occidente</v>
      </c>
    </row>
    <row r="416" spans="1:8" ht="15.75" customHeight="1" x14ac:dyDescent="0.25">
      <c r="A416" s="1">
        <v>200414</v>
      </c>
      <c r="B416" s="2">
        <v>45712</v>
      </c>
      <c r="C416" s="1">
        <v>7</v>
      </c>
      <c r="D416" s="1" t="s">
        <v>10</v>
      </c>
      <c r="E416" s="1">
        <v>970</v>
      </c>
      <c r="F416" t="str">
        <f>VLOOKUP(Tabla1[[#This Row],[IDProducto]],producto!$A$1:$C$33,2,FALSE)</f>
        <v>Producto_7</v>
      </c>
      <c r="G416" t="str">
        <f>VLOOKUP(Tabla1[[#This Row],[IDProducto]],producto!$A$1:$C$33,3,FALSE)</f>
        <v>Ropa</v>
      </c>
      <c r="H416" s="6" t="str">
        <f>VLOOKUP(Tabla1[[#This Row],[Estado]],Tabla3[#All],2,0)</f>
        <v>Centro</v>
      </c>
    </row>
    <row r="417" spans="1:8" ht="15.75" customHeight="1" x14ac:dyDescent="0.25">
      <c r="A417" s="1">
        <v>200415</v>
      </c>
      <c r="B417" s="2">
        <v>45820</v>
      </c>
      <c r="C417" s="1">
        <v>29</v>
      </c>
      <c r="D417" s="1" t="s">
        <v>11</v>
      </c>
      <c r="E417" s="1">
        <v>1075</v>
      </c>
      <c r="F417" t="str">
        <f>VLOOKUP(Tabla1[[#This Row],[IDProducto]],producto!$A$1:$C$33,2,FALSE)</f>
        <v>Producto_29</v>
      </c>
      <c r="G417" t="str">
        <f>VLOOKUP(Tabla1[[#This Row],[IDProducto]],producto!$A$1:$C$33,3,FALSE)</f>
        <v>Electrónica</v>
      </c>
      <c r="H417" s="6" t="str">
        <f>VLOOKUP(Tabla1[[#This Row],[Estado]],Tabla3[#All],2,0)</f>
        <v>Occidente</v>
      </c>
    </row>
    <row r="418" spans="1:8" ht="15.75" customHeight="1" x14ac:dyDescent="0.25">
      <c r="A418" s="1">
        <v>200416</v>
      </c>
      <c r="B418" s="2">
        <v>45692</v>
      </c>
      <c r="C418" s="1">
        <v>6</v>
      </c>
      <c r="D418" s="1" t="s">
        <v>6</v>
      </c>
      <c r="E418" s="1">
        <v>1335</v>
      </c>
      <c r="F418" t="str">
        <f>VLOOKUP(Tabla1[[#This Row],[IDProducto]],producto!$A$1:$C$33,2,FALSE)</f>
        <v>Producto_6</v>
      </c>
      <c r="G418" t="str">
        <f>VLOOKUP(Tabla1[[#This Row],[IDProducto]],producto!$A$1:$C$33,3,FALSE)</f>
        <v>Electrónica</v>
      </c>
      <c r="H418" s="6" t="str">
        <f>VLOOKUP(Tabla1[[#This Row],[Estado]],Tabla3[#All],2,0)</f>
        <v>Occidente</v>
      </c>
    </row>
    <row r="419" spans="1:8" ht="15.75" customHeight="1" x14ac:dyDescent="0.25">
      <c r="A419" s="1">
        <v>200417</v>
      </c>
      <c r="B419" s="2">
        <v>45673</v>
      </c>
      <c r="C419" s="1">
        <v>26</v>
      </c>
      <c r="D419" s="1" t="s">
        <v>12</v>
      </c>
      <c r="E419" s="1">
        <v>577</v>
      </c>
      <c r="F419" t="str">
        <f>VLOOKUP(Tabla1[[#This Row],[IDProducto]],producto!$A$1:$C$33,2,FALSE)</f>
        <v>Producto_26</v>
      </c>
      <c r="G419" t="str">
        <f>VLOOKUP(Tabla1[[#This Row],[IDProducto]],producto!$A$1:$C$33,3,FALSE)</f>
        <v>Hogar</v>
      </c>
      <c r="H419" s="6" t="str">
        <f>VLOOKUP(Tabla1[[#This Row],[Estado]],Tabla3[#All],2,0)</f>
        <v>Centro</v>
      </c>
    </row>
    <row r="420" spans="1:8" ht="15.75" customHeight="1" x14ac:dyDescent="0.25">
      <c r="A420" s="1">
        <v>200418</v>
      </c>
      <c r="B420" s="2">
        <v>45745</v>
      </c>
      <c r="C420" s="1">
        <v>1</v>
      </c>
      <c r="D420" s="1" t="s">
        <v>5</v>
      </c>
      <c r="E420" s="1">
        <v>1984</v>
      </c>
      <c r="F420" t="str">
        <f>VLOOKUP(Tabla1[[#This Row],[IDProducto]],producto!$A$1:$C$33,2,FALSE)</f>
        <v>Producto_1</v>
      </c>
      <c r="G420" t="str">
        <f>VLOOKUP(Tabla1[[#This Row],[IDProducto]],producto!$A$1:$C$33,3,FALSE)</f>
        <v>Hogar</v>
      </c>
      <c r="H420" s="6" t="str">
        <f>VLOOKUP(Tabla1[[#This Row],[Estado]],Tabla3[#All],2,0)</f>
        <v>Centro</v>
      </c>
    </row>
    <row r="421" spans="1:8" ht="15.75" customHeight="1" x14ac:dyDescent="0.25">
      <c r="A421" s="1">
        <v>200419</v>
      </c>
      <c r="B421" s="2">
        <v>45760</v>
      </c>
      <c r="C421" s="1">
        <v>32</v>
      </c>
      <c r="D421" s="1" t="s">
        <v>6</v>
      </c>
      <c r="E421" s="1">
        <v>1071</v>
      </c>
      <c r="F421" t="str">
        <f>VLOOKUP(Tabla1[[#This Row],[IDProducto]],producto!$A$1:$C$33,2,FALSE)</f>
        <v>Producto_32</v>
      </c>
      <c r="G421" t="str">
        <f>VLOOKUP(Tabla1[[#This Row],[IDProducto]],producto!$A$1:$C$33,3,FALSE)</f>
        <v>Hogar</v>
      </c>
      <c r="H421" s="6" t="str">
        <f>VLOOKUP(Tabla1[[#This Row],[Estado]],Tabla3[#All],2,0)</f>
        <v>Occidente</v>
      </c>
    </row>
    <row r="422" spans="1:8" ht="15.75" customHeight="1" x14ac:dyDescent="0.25">
      <c r="A422" s="1">
        <v>200420</v>
      </c>
      <c r="B422" s="2">
        <v>45750</v>
      </c>
      <c r="C422" s="1">
        <v>4</v>
      </c>
      <c r="D422" s="1" t="s">
        <v>9</v>
      </c>
      <c r="E422" s="1">
        <v>431</v>
      </c>
      <c r="F422" t="str">
        <f>VLOOKUP(Tabla1[[#This Row],[IDProducto]],producto!$A$1:$C$33,2,FALSE)</f>
        <v>Producto_4</v>
      </c>
      <c r="G422" t="str">
        <f>VLOOKUP(Tabla1[[#This Row],[IDProducto]],producto!$A$1:$C$33,3,FALSE)</f>
        <v>Deportes</v>
      </c>
      <c r="H422" s="6" t="str">
        <f>VLOOKUP(Tabla1[[#This Row],[Estado]],Tabla3[#All],2,0)</f>
        <v>Sur</v>
      </c>
    </row>
    <row r="423" spans="1:8" ht="15.75" customHeight="1" x14ac:dyDescent="0.25">
      <c r="A423" s="1">
        <v>200421</v>
      </c>
      <c r="B423" s="2">
        <v>45774</v>
      </c>
      <c r="C423" s="1">
        <v>2</v>
      </c>
      <c r="D423" s="1" t="s">
        <v>9</v>
      </c>
      <c r="E423" s="1">
        <v>1807</v>
      </c>
      <c r="F423" t="str">
        <f>VLOOKUP(Tabla1[[#This Row],[IDProducto]],producto!$A$1:$C$33,2,FALSE)</f>
        <v>Producto_2</v>
      </c>
      <c r="G423" t="str">
        <f>VLOOKUP(Tabla1[[#This Row],[IDProducto]],producto!$A$1:$C$33,3,FALSE)</f>
        <v>Deportes</v>
      </c>
      <c r="H423" s="6" t="str">
        <f>VLOOKUP(Tabla1[[#This Row],[Estado]],Tabla3[#All],2,0)</f>
        <v>Sur</v>
      </c>
    </row>
    <row r="424" spans="1:8" ht="15.75" customHeight="1" x14ac:dyDescent="0.25">
      <c r="A424" s="1">
        <v>200422</v>
      </c>
      <c r="B424" s="2">
        <v>45797</v>
      </c>
      <c r="C424" s="1">
        <v>32</v>
      </c>
      <c r="D424" s="1" t="s">
        <v>9</v>
      </c>
      <c r="E424" s="1">
        <v>1723</v>
      </c>
      <c r="F424" t="str">
        <f>VLOOKUP(Tabla1[[#This Row],[IDProducto]],producto!$A$1:$C$33,2,FALSE)</f>
        <v>Producto_32</v>
      </c>
      <c r="G424" t="str">
        <f>VLOOKUP(Tabla1[[#This Row],[IDProducto]],producto!$A$1:$C$33,3,FALSE)</f>
        <v>Hogar</v>
      </c>
      <c r="H424" s="6" t="str">
        <f>VLOOKUP(Tabla1[[#This Row],[Estado]],Tabla3[#All],2,0)</f>
        <v>Sur</v>
      </c>
    </row>
    <row r="425" spans="1:8" ht="15.75" customHeight="1" x14ac:dyDescent="0.25">
      <c r="A425" s="1">
        <v>200423</v>
      </c>
      <c r="B425" s="2">
        <v>45749</v>
      </c>
      <c r="C425" s="1">
        <v>28</v>
      </c>
      <c r="D425" s="1" t="s">
        <v>6</v>
      </c>
      <c r="E425" s="1">
        <v>410</v>
      </c>
      <c r="F425" t="str">
        <f>VLOOKUP(Tabla1[[#This Row],[IDProducto]],producto!$A$1:$C$33,2,FALSE)</f>
        <v>Producto_28</v>
      </c>
      <c r="G425" t="str">
        <f>VLOOKUP(Tabla1[[#This Row],[IDProducto]],producto!$A$1:$C$33,3,FALSE)</f>
        <v>Hogar</v>
      </c>
      <c r="H425" s="6" t="str">
        <f>VLOOKUP(Tabla1[[#This Row],[Estado]],Tabla3[#All],2,0)</f>
        <v>Occidente</v>
      </c>
    </row>
    <row r="426" spans="1:8" ht="15.75" customHeight="1" x14ac:dyDescent="0.25">
      <c r="A426" s="1">
        <v>200424</v>
      </c>
      <c r="B426" s="2">
        <v>45738</v>
      </c>
      <c r="C426" s="1">
        <v>20</v>
      </c>
      <c r="D426" s="1" t="s">
        <v>7</v>
      </c>
      <c r="E426" s="1">
        <v>1474</v>
      </c>
      <c r="F426" t="str">
        <f>VLOOKUP(Tabla1[[#This Row],[IDProducto]],producto!$A$1:$C$33,2,FALSE)</f>
        <v>Producto_20</v>
      </c>
      <c r="G426" t="str">
        <f>VLOOKUP(Tabla1[[#This Row],[IDProducto]],producto!$A$1:$C$33,3,FALSE)</f>
        <v>Deportes</v>
      </c>
      <c r="H426" s="6" t="str">
        <f>VLOOKUP(Tabla1[[#This Row],[Estado]],Tabla3[#All],2,0)</f>
        <v>Norte</v>
      </c>
    </row>
    <row r="427" spans="1:8" ht="15.75" customHeight="1" x14ac:dyDescent="0.25">
      <c r="A427" s="1">
        <v>200425</v>
      </c>
      <c r="B427" s="2">
        <v>45718</v>
      </c>
      <c r="C427" s="1">
        <v>29</v>
      </c>
      <c r="D427" s="1" t="s">
        <v>12</v>
      </c>
      <c r="E427" s="1">
        <v>1524</v>
      </c>
      <c r="F427" t="str">
        <f>VLOOKUP(Tabla1[[#This Row],[IDProducto]],producto!$A$1:$C$33,2,FALSE)</f>
        <v>Producto_29</v>
      </c>
      <c r="G427" t="str">
        <f>VLOOKUP(Tabla1[[#This Row],[IDProducto]],producto!$A$1:$C$33,3,FALSE)</f>
        <v>Electrónica</v>
      </c>
      <c r="H427" s="6" t="str">
        <f>VLOOKUP(Tabla1[[#This Row],[Estado]],Tabla3[#All],2,0)</f>
        <v>Centro</v>
      </c>
    </row>
    <row r="428" spans="1:8" ht="15.75" customHeight="1" x14ac:dyDescent="0.25">
      <c r="A428" s="1">
        <v>200426</v>
      </c>
      <c r="B428" s="2">
        <v>45695</v>
      </c>
      <c r="C428" s="1">
        <v>8</v>
      </c>
      <c r="D428" s="1" t="s">
        <v>8</v>
      </c>
      <c r="E428" s="1">
        <v>1445</v>
      </c>
      <c r="F428" t="str">
        <f>VLOOKUP(Tabla1[[#This Row],[IDProducto]],producto!$A$1:$C$33,2,FALSE)</f>
        <v>Producto_8</v>
      </c>
      <c r="G428" t="str">
        <f>VLOOKUP(Tabla1[[#This Row],[IDProducto]],producto!$A$1:$C$33,3,FALSE)</f>
        <v>Electrónica</v>
      </c>
      <c r="H428" s="6" t="str">
        <f>VLOOKUP(Tabla1[[#This Row],[Estado]],Tabla3[#All],2,0)</f>
        <v>Norte</v>
      </c>
    </row>
    <row r="429" spans="1:8" ht="15.75" customHeight="1" x14ac:dyDescent="0.25">
      <c r="A429" s="1">
        <v>200427</v>
      </c>
      <c r="B429" s="2">
        <v>45828</v>
      </c>
      <c r="C429" s="1">
        <v>19</v>
      </c>
      <c r="D429" s="1" t="s">
        <v>9</v>
      </c>
      <c r="E429" s="1">
        <v>575</v>
      </c>
      <c r="F429" t="str">
        <f>VLOOKUP(Tabla1[[#This Row],[IDProducto]],producto!$A$1:$C$33,2,FALSE)</f>
        <v>Producto_19</v>
      </c>
      <c r="G429" t="str">
        <f>VLOOKUP(Tabla1[[#This Row],[IDProducto]],producto!$A$1:$C$33,3,FALSE)</f>
        <v>Ropa</v>
      </c>
      <c r="H429" s="6" t="str">
        <f>VLOOKUP(Tabla1[[#This Row],[Estado]],Tabla3[#All],2,0)</f>
        <v>Sur</v>
      </c>
    </row>
    <row r="430" spans="1:8" ht="15.75" customHeight="1" x14ac:dyDescent="0.25">
      <c r="A430" s="1">
        <v>200428</v>
      </c>
      <c r="B430" s="2">
        <v>45827</v>
      </c>
      <c r="C430" s="1">
        <v>25</v>
      </c>
      <c r="D430" s="1" t="s">
        <v>12</v>
      </c>
      <c r="E430" s="1">
        <v>1900</v>
      </c>
      <c r="F430" t="str">
        <f>VLOOKUP(Tabla1[[#This Row],[IDProducto]],producto!$A$1:$C$33,2,FALSE)</f>
        <v>Producto_25</v>
      </c>
      <c r="G430" t="str">
        <f>VLOOKUP(Tabla1[[#This Row],[IDProducto]],producto!$A$1:$C$33,3,FALSE)</f>
        <v>Electrónica</v>
      </c>
      <c r="H430" s="6" t="str">
        <f>VLOOKUP(Tabla1[[#This Row],[Estado]],Tabla3[#All],2,0)</f>
        <v>Centro</v>
      </c>
    </row>
    <row r="431" spans="1:8" ht="15.75" customHeight="1" x14ac:dyDescent="0.25">
      <c r="A431" s="1">
        <v>200429</v>
      </c>
      <c r="B431" s="2">
        <v>45732</v>
      </c>
      <c r="C431" s="1">
        <v>14</v>
      </c>
      <c r="D431" s="1" t="s">
        <v>8</v>
      </c>
      <c r="E431" s="1">
        <v>1830</v>
      </c>
      <c r="F431" t="str">
        <f>VLOOKUP(Tabla1[[#This Row],[IDProducto]],producto!$A$1:$C$33,2,FALSE)</f>
        <v>Producto_14</v>
      </c>
      <c r="G431" t="str">
        <f>VLOOKUP(Tabla1[[#This Row],[IDProducto]],producto!$A$1:$C$33,3,FALSE)</f>
        <v>Hogar</v>
      </c>
      <c r="H431" s="6" t="str">
        <f>VLOOKUP(Tabla1[[#This Row],[Estado]],Tabla3[#All],2,0)</f>
        <v>Norte</v>
      </c>
    </row>
    <row r="432" spans="1:8" ht="15.75" customHeight="1" x14ac:dyDescent="0.25">
      <c r="A432" s="1">
        <v>200430</v>
      </c>
      <c r="B432" s="2">
        <v>45832</v>
      </c>
      <c r="C432" s="1">
        <v>7</v>
      </c>
      <c r="D432" s="1" t="s">
        <v>11</v>
      </c>
      <c r="E432" s="1">
        <v>1823</v>
      </c>
      <c r="F432" t="str">
        <f>VLOOKUP(Tabla1[[#This Row],[IDProducto]],producto!$A$1:$C$33,2,FALSE)</f>
        <v>Producto_7</v>
      </c>
      <c r="G432" t="str">
        <f>VLOOKUP(Tabla1[[#This Row],[IDProducto]],producto!$A$1:$C$33,3,FALSE)</f>
        <v>Ropa</v>
      </c>
      <c r="H432" s="6" t="str">
        <f>VLOOKUP(Tabla1[[#This Row],[Estado]],Tabla3[#All],2,0)</f>
        <v>Occidente</v>
      </c>
    </row>
    <row r="433" spans="1:8" ht="15.75" customHeight="1" x14ac:dyDescent="0.25">
      <c r="A433" s="1">
        <v>200431</v>
      </c>
      <c r="B433" s="2">
        <v>45818</v>
      </c>
      <c r="C433" s="1">
        <v>11</v>
      </c>
      <c r="D433" s="1" t="s">
        <v>11</v>
      </c>
      <c r="E433" s="1">
        <v>465</v>
      </c>
      <c r="F433" t="str">
        <f>VLOOKUP(Tabla1[[#This Row],[IDProducto]],producto!$A$1:$C$33,2,FALSE)</f>
        <v>Producto_11</v>
      </c>
      <c r="G433" t="str">
        <f>VLOOKUP(Tabla1[[#This Row],[IDProducto]],producto!$A$1:$C$33,3,FALSE)</f>
        <v>Ropa</v>
      </c>
      <c r="H433" s="6" t="str">
        <f>VLOOKUP(Tabla1[[#This Row],[Estado]],Tabla3[#All],2,0)</f>
        <v>Occidente</v>
      </c>
    </row>
    <row r="434" spans="1:8" ht="15.75" customHeight="1" x14ac:dyDescent="0.25">
      <c r="A434" s="1">
        <v>200432</v>
      </c>
      <c r="B434" s="2">
        <v>45730</v>
      </c>
      <c r="C434" s="1">
        <v>5</v>
      </c>
      <c r="D434" s="1" t="s">
        <v>9</v>
      </c>
      <c r="E434" s="1">
        <v>549</v>
      </c>
      <c r="F434" t="str">
        <f>VLOOKUP(Tabla1[[#This Row],[IDProducto]],producto!$A$1:$C$33,2,FALSE)</f>
        <v>Producto_5</v>
      </c>
      <c r="G434" t="str">
        <f>VLOOKUP(Tabla1[[#This Row],[IDProducto]],producto!$A$1:$C$33,3,FALSE)</f>
        <v>Hogar</v>
      </c>
      <c r="H434" s="6" t="str">
        <f>VLOOKUP(Tabla1[[#This Row],[Estado]],Tabla3[#All],2,0)</f>
        <v>Sur</v>
      </c>
    </row>
    <row r="435" spans="1:8" ht="15.75" customHeight="1" x14ac:dyDescent="0.25">
      <c r="A435" s="1">
        <v>200433</v>
      </c>
      <c r="B435" s="2">
        <v>45685</v>
      </c>
      <c r="C435" s="1">
        <v>5</v>
      </c>
      <c r="D435" s="1" t="s">
        <v>7</v>
      </c>
      <c r="E435" s="1">
        <v>1039</v>
      </c>
      <c r="F435" t="str">
        <f>VLOOKUP(Tabla1[[#This Row],[IDProducto]],producto!$A$1:$C$33,2,FALSE)</f>
        <v>Producto_5</v>
      </c>
      <c r="G435" t="str">
        <f>VLOOKUP(Tabla1[[#This Row],[IDProducto]],producto!$A$1:$C$33,3,FALSE)</f>
        <v>Hogar</v>
      </c>
      <c r="H435" s="6" t="str">
        <f>VLOOKUP(Tabla1[[#This Row],[Estado]],Tabla3[#All],2,0)</f>
        <v>Norte</v>
      </c>
    </row>
    <row r="436" spans="1:8" ht="15.75" customHeight="1" x14ac:dyDescent="0.25">
      <c r="A436" s="1">
        <v>200434</v>
      </c>
      <c r="B436" s="2">
        <v>45821</v>
      </c>
      <c r="C436" s="1">
        <v>29</v>
      </c>
      <c r="D436" s="1" t="s">
        <v>5</v>
      </c>
      <c r="E436" s="1">
        <v>1396</v>
      </c>
      <c r="F436" t="str">
        <f>VLOOKUP(Tabla1[[#This Row],[IDProducto]],producto!$A$1:$C$33,2,FALSE)</f>
        <v>Producto_29</v>
      </c>
      <c r="G436" t="str">
        <f>VLOOKUP(Tabla1[[#This Row],[IDProducto]],producto!$A$1:$C$33,3,FALSE)</f>
        <v>Electrónica</v>
      </c>
      <c r="H436" s="6" t="str">
        <f>VLOOKUP(Tabla1[[#This Row],[Estado]],Tabla3[#All],2,0)</f>
        <v>Centro</v>
      </c>
    </row>
    <row r="437" spans="1:8" ht="15.75" customHeight="1" x14ac:dyDescent="0.25">
      <c r="A437" s="1">
        <v>200435</v>
      </c>
      <c r="B437" s="2">
        <v>45770</v>
      </c>
      <c r="C437" s="1">
        <v>13</v>
      </c>
      <c r="D437" s="1" t="s">
        <v>9</v>
      </c>
      <c r="E437" s="1">
        <v>1036</v>
      </c>
      <c r="F437" t="str">
        <f>VLOOKUP(Tabla1[[#This Row],[IDProducto]],producto!$A$1:$C$33,2,FALSE)</f>
        <v>Producto_13</v>
      </c>
      <c r="G437" t="str">
        <f>VLOOKUP(Tabla1[[#This Row],[IDProducto]],producto!$A$1:$C$33,3,FALSE)</f>
        <v>Deportes</v>
      </c>
      <c r="H437" s="6" t="str">
        <f>VLOOKUP(Tabla1[[#This Row],[Estado]],Tabla3[#All],2,0)</f>
        <v>Sur</v>
      </c>
    </row>
    <row r="438" spans="1:8" ht="15.75" customHeight="1" x14ac:dyDescent="0.25">
      <c r="A438" s="1">
        <v>200436</v>
      </c>
      <c r="B438" s="2">
        <v>45709</v>
      </c>
      <c r="C438" s="1">
        <v>1</v>
      </c>
      <c r="D438" s="1" t="s">
        <v>10</v>
      </c>
      <c r="E438" s="1">
        <v>968</v>
      </c>
      <c r="F438" t="str">
        <f>VLOOKUP(Tabla1[[#This Row],[IDProducto]],producto!$A$1:$C$33,2,FALSE)</f>
        <v>Producto_1</v>
      </c>
      <c r="G438" t="str">
        <f>VLOOKUP(Tabla1[[#This Row],[IDProducto]],producto!$A$1:$C$33,3,FALSE)</f>
        <v>Hogar</v>
      </c>
      <c r="H438" s="6" t="str">
        <f>VLOOKUP(Tabla1[[#This Row],[Estado]],Tabla3[#All],2,0)</f>
        <v>Centro</v>
      </c>
    </row>
    <row r="439" spans="1:8" ht="15.75" customHeight="1" x14ac:dyDescent="0.25">
      <c r="A439" s="1">
        <v>200437</v>
      </c>
      <c r="B439" s="2">
        <v>45811</v>
      </c>
      <c r="C439" s="1">
        <v>16</v>
      </c>
      <c r="D439" s="1" t="s">
        <v>6</v>
      </c>
      <c r="E439" s="1">
        <v>1452</v>
      </c>
      <c r="F439" t="str">
        <f>VLOOKUP(Tabla1[[#This Row],[IDProducto]],producto!$A$1:$C$33,2,FALSE)</f>
        <v>Producto_16</v>
      </c>
      <c r="G439" t="str">
        <f>VLOOKUP(Tabla1[[#This Row],[IDProducto]],producto!$A$1:$C$33,3,FALSE)</f>
        <v>Ropa</v>
      </c>
      <c r="H439" s="6" t="str">
        <f>VLOOKUP(Tabla1[[#This Row],[Estado]],Tabla3[#All],2,0)</f>
        <v>Occidente</v>
      </c>
    </row>
    <row r="440" spans="1:8" ht="15.75" customHeight="1" x14ac:dyDescent="0.25">
      <c r="A440" s="1">
        <v>200438</v>
      </c>
      <c r="B440" s="2">
        <v>45680</v>
      </c>
      <c r="C440" s="1">
        <v>11</v>
      </c>
      <c r="D440" s="1" t="s">
        <v>8</v>
      </c>
      <c r="E440" s="1">
        <v>1835</v>
      </c>
      <c r="F440" t="str">
        <f>VLOOKUP(Tabla1[[#This Row],[IDProducto]],producto!$A$1:$C$33,2,FALSE)</f>
        <v>Producto_11</v>
      </c>
      <c r="G440" t="str">
        <f>VLOOKUP(Tabla1[[#This Row],[IDProducto]],producto!$A$1:$C$33,3,FALSE)</f>
        <v>Ropa</v>
      </c>
      <c r="H440" s="6" t="str">
        <f>VLOOKUP(Tabla1[[#This Row],[Estado]],Tabla3[#All],2,0)</f>
        <v>Norte</v>
      </c>
    </row>
    <row r="441" spans="1:8" ht="15.75" customHeight="1" x14ac:dyDescent="0.25">
      <c r="A441" s="1">
        <v>200439</v>
      </c>
      <c r="B441" s="2">
        <v>45772</v>
      </c>
      <c r="C441" s="1">
        <v>6</v>
      </c>
      <c r="D441" s="1" t="s">
        <v>12</v>
      </c>
      <c r="E441" s="1">
        <v>1174</v>
      </c>
      <c r="F441" t="str">
        <f>VLOOKUP(Tabla1[[#This Row],[IDProducto]],producto!$A$1:$C$33,2,FALSE)</f>
        <v>Producto_6</v>
      </c>
      <c r="G441" t="str">
        <f>VLOOKUP(Tabla1[[#This Row],[IDProducto]],producto!$A$1:$C$33,3,FALSE)</f>
        <v>Electrónica</v>
      </c>
      <c r="H441" s="6" t="str">
        <f>VLOOKUP(Tabla1[[#This Row],[Estado]],Tabla3[#All],2,0)</f>
        <v>Centro</v>
      </c>
    </row>
    <row r="442" spans="1:8" ht="15.75" customHeight="1" x14ac:dyDescent="0.25">
      <c r="A442" s="1">
        <v>200440</v>
      </c>
      <c r="B442" s="2">
        <v>45799</v>
      </c>
      <c r="C442" s="1">
        <v>29</v>
      </c>
      <c r="D442" s="1" t="s">
        <v>11</v>
      </c>
      <c r="E442" s="1">
        <v>1794</v>
      </c>
      <c r="F442" t="str">
        <f>VLOOKUP(Tabla1[[#This Row],[IDProducto]],producto!$A$1:$C$33,2,FALSE)</f>
        <v>Producto_29</v>
      </c>
      <c r="G442" t="str">
        <f>VLOOKUP(Tabla1[[#This Row],[IDProducto]],producto!$A$1:$C$33,3,FALSE)</f>
        <v>Electrónica</v>
      </c>
      <c r="H442" s="6" t="str">
        <f>VLOOKUP(Tabla1[[#This Row],[Estado]],Tabla3[#All],2,0)</f>
        <v>Occidente</v>
      </c>
    </row>
    <row r="443" spans="1:8" ht="15.75" customHeight="1" x14ac:dyDescent="0.25">
      <c r="A443" s="1">
        <v>200441</v>
      </c>
      <c r="B443" s="2">
        <v>45774</v>
      </c>
      <c r="C443" s="1">
        <v>32</v>
      </c>
      <c r="D443" s="1" t="s">
        <v>12</v>
      </c>
      <c r="E443" s="1">
        <v>1688</v>
      </c>
      <c r="F443" t="str">
        <f>VLOOKUP(Tabla1[[#This Row],[IDProducto]],producto!$A$1:$C$33,2,FALSE)</f>
        <v>Producto_32</v>
      </c>
      <c r="G443" t="str">
        <f>VLOOKUP(Tabla1[[#This Row],[IDProducto]],producto!$A$1:$C$33,3,FALSE)</f>
        <v>Hogar</v>
      </c>
      <c r="H443" s="6" t="str">
        <f>VLOOKUP(Tabla1[[#This Row],[Estado]],Tabla3[#All],2,0)</f>
        <v>Centro</v>
      </c>
    </row>
    <row r="444" spans="1:8" ht="15.75" customHeight="1" x14ac:dyDescent="0.25">
      <c r="A444" s="1">
        <v>200442</v>
      </c>
      <c r="B444" s="2">
        <v>45775</v>
      </c>
      <c r="C444" s="1">
        <v>23</v>
      </c>
      <c r="D444" s="1" t="s">
        <v>8</v>
      </c>
      <c r="E444" s="1">
        <v>1038</v>
      </c>
      <c r="F444" t="str">
        <f>VLOOKUP(Tabla1[[#This Row],[IDProducto]],producto!$A$1:$C$33,2,FALSE)</f>
        <v>Producto_23</v>
      </c>
      <c r="G444" t="str">
        <f>VLOOKUP(Tabla1[[#This Row],[IDProducto]],producto!$A$1:$C$33,3,FALSE)</f>
        <v>Deportes</v>
      </c>
      <c r="H444" s="6" t="str">
        <f>VLOOKUP(Tabla1[[#This Row],[Estado]],Tabla3[#All],2,0)</f>
        <v>Norte</v>
      </c>
    </row>
    <row r="445" spans="1:8" ht="15.75" customHeight="1" x14ac:dyDescent="0.25">
      <c r="A445" s="1">
        <v>200443</v>
      </c>
      <c r="B445" s="2">
        <v>45713</v>
      </c>
      <c r="C445" s="1">
        <v>4</v>
      </c>
      <c r="D445" s="1" t="s">
        <v>11</v>
      </c>
      <c r="E445" s="1">
        <v>1495</v>
      </c>
      <c r="F445" t="str">
        <f>VLOOKUP(Tabla1[[#This Row],[IDProducto]],producto!$A$1:$C$33,2,FALSE)</f>
        <v>Producto_4</v>
      </c>
      <c r="G445" t="str">
        <f>VLOOKUP(Tabla1[[#This Row],[IDProducto]],producto!$A$1:$C$33,3,FALSE)</f>
        <v>Deportes</v>
      </c>
      <c r="H445" s="6" t="str">
        <f>VLOOKUP(Tabla1[[#This Row],[Estado]],Tabla3[#All],2,0)</f>
        <v>Occidente</v>
      </c>
    </row>
    <row r="446" spans="1:8" ht="15.75" customHeight="1" x14ac:dyDescent="0.25">
      <c r="A446" s="1">
        <v>200444</v>
      </c>
      <c r="B446" s="2">
        <v>45768</v>
      </c>
      <c r="C446" s="1">
        <v>12</v>
      </c>
      <c r="D446" s="1" t="s">
        <v>9</v>
      </c>
      <c r="E446" s="1">
        <v>335</v>
      </c>
      <c r="F446" t="str">
        <f>VLOOKUP(Tabla1[[#This Row],[IDProducto]],producto!$A$1:$C$33,2,FALSE)</f>
        <v>Producto_12</v>
      </c>
      <c r="G446" t="str">
        <f>VLOOKUP(Tabla1[[#This Row],[IDProducto]],producto!$A$1:$C$33,3,FALSE)</f>
        <v>Hogar</v>
      </c>
      <c r="H446" s="6" t="str">
        <f>VLOOKUP(Tabla1[[#This Row],[Estado]],Tabla3[#All],2,0)</f>
        <v>Sur</v>
      </c>
    </row>
    <row r="447" spans="1:8" ht="15.75" customHeight="1" x14ac:dyDescent="0.25">
      <c r="A447" s="1">
        <v>200445</v>
      </c>
      <c r="B447" s="2">
        <v>45754</v>
      </c>
      <c r="C447" s="1">
        <v>14</v>
      </c>
      <c r="D447" s="1" t="s">
        <v>10</v>
      </c>
      <c r="E447" s="1">
        <v>906</v>
      </c>
      <c r="F447" t="str">
        <f>VLOOKUP(Tabla1[[#This Row],[IDProducto]],producto!$A$1:$C$33,2,FALSE)</f>
        <v>Producto_14</v>
      </c>
      <c r="G447" t="str">
        <f>VLOOKUP(Tabla1[[#This Row],[IDProducto]],producto!$A$1:$C$33,3,FALSE)</f>
        <v>Hogar</v>
      </c>
      <c r="H447" s="6" t="str">
        <f>VLOOKUP(Tabla1[[#This Row],[Estado]],Tabla3[#All],2,0)</f>
        <v>Centro</v>
      </c>
    </row>
    <row r="448" spans="1:8" ht="15.75" customHeight="1" x14ac:dyDescent="0.25">
      <c r="A448" s="1">
        <v>200446</v>
      </c>
      <c r="B448" s="2">
        <v>45745</v>
      </c>
      <c r="C448" s="1">
        <v>9</v>
      </c>
      <c r="D448" s="1" t="s">
        <v>8</v>
      </c>
      <c r="E448" s="1">
        <v>120</v>
      </c>
      <c r="F448" t="str">
        <f>VLOOKUP(Tabla1[[#This Row],[IDProducto]],producto!$A$1:$C$33,2,FALSE)</f>
        <v>Producto_9</v>
      </c>
      <c r="G448" t="str">
        <f>VLOOKUP(Tabla1[[#This Row],[IDProducto]],producto!$A$1:$C$33,3,FALSE)</f>
        <v>Electrónica</v>
      </c>
      <c r="H448" s="6" t="str">
        <f>VLOOKUP(Tabla1[[#This Row],[Estado]],Tabla3[#All],2,0)</f>
        <v>Norte</v>
      </c>
    </row>
    <row r="449" spans="1:8" ht="15.75" customHeight="1" x14ac:dyDescent="0.25">
      <c r="A449" s="1">
        <v>200447</v>
      </c>
      <c r="B449" s="2">
        <v>45754</v>
      </c>
      <c r="C449" s="1">
        <v>21</v>
      </c>
      <c r="D449" s="1" t="s">
        <v>9</v>
      </c>
      <c r="E449" s="1">
        <v>1261</v>
      </c>
      <c r="F449" t="str">
        <f>VLOOKUP(Tabla1[[#This Row],[IDProducto]],producto!$A$1:$C$33,2,FALSE)</f>
        <v>Producto_21</v>
      </c>
      <c r="G449" t="str">
        <f>VLOOKUP(Tabla1[[#This Row],[IDProducto]],producto!$A$1:$C$33,3,FALSE)</f>
        <v>Electrónica</v>
      </c>
      <c r="H449" s="6" t="str">
        <f>VLOOKUP(Tabla1[[#This Row],[Estado]],Tabla3[#All],2,0)</f>
        <v>Sur</v>
      </c>
    </row>
    <row r="450" spans="1:8" ht="15.75" customHeight="1" x14ac:dyDescent="0.25">
      <c r="A450" s="1">
        <v>200448</v>
      </c>
      <c r="B450" s="2">
        <v>45716</v>
      </c>
      <c r="C450" s="1">
        <v>29</v>
      </c>
      <c r="D450" s="1" t="s">
        <v>12</v>
      </c>
      <c r="E450" s="1">
        <v>1463</v>
      </c>
      <c r="F450" t="str">
        <f>VLOOKUP(Tabla1[[#This Row],[IDProducto]],producto!$A$1:$C$33,2,FALSE)</f>
        <v>Producto_29</v>
      </c>
      <c r="G450" t="str">
        <f>VLOOKUP(Tabla1[[#This Row],[IDProducto]],producto!$A$1:$C$33,3,FALSE)</f>
        <v>Electrónica</v>
      </c>
      <c r="H450" s="6" t="str">
        <f>VLOOKUP(Tabla1[[#This Row],[Estado]],Tabla3[#All],2,0)</f>
        <v>Centro</v>
      </c>
    </row>
    <row r="451" spans="1:8" ht="15.75" customHeight="1" x14ac:dyDescent="0.25">
      <c r="A451" s="1">
        <v>200449</v>
      </c>
      <c r="B451" s="2">
        <v>45751</v>
      </c>
      <c r="C451" s="1">
        <v>28</v>
      </c>
      <c r="D451" s="1" t="s">
        <v>7</v>
      </c>
      <c r="E451" s="1">
        <v>942</v>
      </c>
      <c r="F451" t="str">
        <f>VLOOKUP(Tabla1[[#This Row],[IDProducto]],producto!$A$1:$C$33,2,FALSE)</f>
        <v>Producto_28</v>
      </c>
      <c r="G451" t="str">
        <f>VLOOKUP(Tabla1[[#This Row],[IDProducto]],producto!$A$1:$C$33,3,FALSE)</f>
        <v>Hogar</v>
      </c>
      <c r="H451" s="6" t="str">
        <f>VLOOKUP(Tabla1[[#This Row],[Estado]],Tabla3[#All],2,0)</f>
        <v>Norte</v>
      </c>
    </row>
    <row r="452" spans="1:8" ht="15.75" customHeight="1" x14ac:dyDescent="0.25">
      <c r="A452" s="1">
        <v>200450</v>
      </c>
      <c r="B452" s="2">
        <v>45836</v>
      </c>
      <c r="C452" s="1">
        <v>10</v>
      </c>
      <c r="D452" s="1" t="s">
        <v>10</v>
      </c>
      <c r="E452" s="1">
        <v>808</v>
      </c>
      <c r="F452" t="str">
        <f>VLOOKUP(Tabla1[[#This Row],[IDProducto]],producto!$A$1:$C$33,2,FALSE)</f>
        <v>Producto_10</v>
      </c>
      <c r="G452" t="str">
        <f>VLOOKUP(Tabla1[[#This Row],[IDProducto]],producto!$A$1:$C$33,3,FALSE)</f>
        <v>Ropa</v>
      </c>
      <c r="H452" s="6" t="str">
        <f>VLOOKUP(Tabla1[[#This Row],[Estado]],Tabla3[#All],2,0)</f>
        <v>Centro</v>
      </c>
    </row>
    <row r="453" spans="1:8" ht="15.75" customHeight="1" x14ac:dyDescent="0.25">
      <c r="A453" s="1">
        <v>200451</v>
      </c>
      <c r="B453" s="2">
        <v>45758</v>
      </c>
      <c r="C453" s="1">
        <v>12</v>
      </c>
      <c r="D453" s="1" t="s">
        <v>9</v>
      </c>
      <c r="E453" s="1">
        <v>1403</v>
      </c>
      <c r="F453" t="str">
        <f>VLOOKUP(Tabla1[[#This Row],[IDProducto]],producto!$A$1:$C$33,2,FALSE)</f>
        <v>Producto_12</v>
      </c>
      <c r="G453" t="str">
        <f>VLOOKUP(Tabla1[[#This Row],[IDProducto]],producto!$A$1:$C$33,3,FALSE)</f>
        <v>Hogar</v>
      </c>
      <c r="H453" s="6" t="str">
        <f>VLOOKUP(Tabla1[[#This Row],[Estado]],Tabla3[#All],2,0)</f>
        <v>Sur</v>
      </c>
    </row>
    <row r="454" spans="1:8" ht="15.75" customHeight="1" x14ac:dyDescent="0.25">
      <c r="A454" s="1">
        <v>200452</v>
      </c>
      <c r="B454" s="2">
        <v>45735</v>
      </c>
      <c r="C454" s="1">
        <v>32</v>
      </c>
      <c r="D454" s="1" t="s">
        <v>12</v>
      </c>
      <c r="E454" s="1">
        <v>315</v>
      </c>
      <c r="F454" t="str">
        <f>VLOOKUP(Tabla1[[#This Row],[IDProducto]],producto!$A$1:$C$33,2,FALSE)</f>
        <v>Producto_32</v>
      </c>
      <c r="G454" t="str">
        <f>VLOOKUP(Tabla1[[#This Row],[IDProducto]],producto!$A$1:$C$33,3,FALSE)</f>
        <v>Hogar</v>
      </c>
      <c r="H454" s="6" t="str">
        <f>VLOOKUP(Tabla1[[#This Row],[Estado]],Tabla3[#All],2,0)</f>
        <v>Centro</v>
      </c>
    </row>
    <row r="455" spans="1:8" ht="15.75" customHeight="1" x14ac:dyDescent="0.25">
      <c r="A455" s="1">
        <v>200453</v>
      </c>
      <c r="B455" s="2">
        <v>45715</v>
      </c>
      <c r="C455" s="1">
        <v>16</v>
      </c>
      <c r="D455" s="1" t="s">
        <v>10</v>
      </c>
      <c r="E455" s="1">
        <v>1169</v>
      </c>
      <c r="F455" t="str">
        <f>VLOOKUP(Tabla1[[#This Row],[IDProducto]],producto!$A$1:$C$33,2,FALSE)</f>
        <v>Producto_16</v>
      </c>
      <c r="G455" t="str">
        <f>VLOOKUP(Tabla1[[#This Row],[IDProducto]],producto!$A$1:$C$33,3,FALSE)</f>
        <v>Ropa</v>
      </c>
      <c r="H455" s="6" t="str">
        <f>VLOOKUP(Tabla1[[#This Row],[Estado]],Tabla3[#All],2,0)</f>
        <v>Centro</v>
      </c>
    </row>
    <row r="456" spans="1:8" ht="15.75" customHeight="1" x14ac:dyDescent="0.25">
      <c r="A456" s="1">
        <v>200454</v>
      </c>
      <c r="B456" s="2">
        <v>45741</v>
      </c>
      <c r="C456" s="1">
        <v>16</v>
      </c>
      <c r="D456" s="1" t="s">
        <v>8</v>
      </c>
      <c r="E456" s="1">
        <v>1500</v>
      </c>
      <c r="F456" t="str">
        <f>VLOOKUP(Tabla1[[#This Row],[IDProducto]],producto!$A$1:$C$33,2,FALSE)</f>
        <v>Producto_16</v>
      </c>
      <c r="G456" t="str">
        <f>VLOOKUP(Tabla1[[#This Row],[IDProducto]],producto!$A$1:$C$33,3,FALSE)</f>
        <v>Ropa</v>
      </c>
      <c r="H456" s="6" t="str">
        <f>VLOOKUP(Tabla1[[#This Row],[Estado]],Tabla3[#All],2,0)</f>
        <v>Norte</v>
      </c>
    </row>
    <row r="457" spans="1:8" ht="15.75" customHeight="1" x14ac:dyDescent="0.25">
      <c r="A457" s="1">
        <v>200455</v>
      </c>
      <c r="B457" s="2">
        <v>45749</v>
      </c>
      <c r="C457" s="1">
        <v>22</v>
      </c>
      <c r="D457" s="1" t="s">
        <v>8</v>
      </c>
      <c r="E457" s="1">
        <v>1893</v>
      </c>
      <c r="F457" t="str">
        <f>VLOOKUP(Tabla1[[#This Row],[IDProducto]],producto!$A$1:$C$33,2,FALSE)</f>
        <v>Producto_22</v>
      </c>
      <c r="G457" t="str">
        <f>VLOOKUP(Tabla1[[#This Row],[IDProducto]],producto!$A$1:$C$33,3,FALSE)</f>
        <v>Hogar</v>
      </c>
      <c r="H457" s="6" t="str">
        <f>VLOOKUP(Tabla1[[#This Row],[Estado]],Tabla3[#All],2,0)</f>
        <v>Norte</v>
      </c>
    </row>
    <row r="458" spans="1:8" ht="15.75" customHeight="1" x14ac:dyDescent="0.25">
      <c r="A458" s="1">
        <v>200456</v>
      </c>
      <c r="B458" s="2">
        <v>45801</v>
      </c>
      <c r="C458" s="1">
        <v>21</v>
      </c>
      <c r="D458" s="1" t="s">
        <v>12</v>
      </c>
      <c r="E458" s="1">
        <v>1122</v>
      </c>
      <c r="F458" t="str">
        <f>VLOOKUP(Tabla1[[#This Row],[IDProducto]],producto!$A$1:$C$33,2,FALSE)</f>
        <v>Producto_21</v>
      </c>
      <c r="G458" t="str">
        <f>VLOOKUP(Tabla1[[#This Row],[IDProducto]],producto!$A$1:$C$33,3,FALSE)</f>
        <v>Electrónica</v>
      </c>
      <c r="H458" s="6" t="str">
        <f>VLOOKUP(Tabla1[[#This Row],[Estado]],Tabla3[#All],2,0)</f>
        <v>Centro</v>
      </c>
    </row>
    <row r="459" spans="1:8" ht="15.75" customHeight="1" x14ac:dyDescent="0.25">
      <c r="A459" s="1">
        <v>200457</v>
      </c>
      <c r="B459" s="2">
        <v>45713</v>
      </c>
      <c r="C459" s="1">
        <v>20</v>
      </c>
      <c r="D459" s="1" t="s">
        <v>10</v>
      </c>
      <c r="E459" s="1">
        <v>794</v>
      </c>
      <c r="F459" t="str">
        <f>VLOOKUP(Tabla1[[#This Row],[IDProducto]],producto!$A$1:$C$33,2,FALSE)</f>
        <v>Producto_20</v>
      </c>
      <c r="G459" t="str">
        <f>VLOOKUP(Tabla1[[#This Row],[IDProducto]],producto!$A$1:$C$33,3,FALSE)</f>
        <v>Deportes</v>
      </c>
      <c r="H459" s="6" t="str">
        <f>VLOOKUP(Tabla1[[#This Row],[Estado]],Tabla3[#All],2,0)</f>
        <v>Centro</v>
      </c>
    </row>
    <row r="460" spans="1:8" ht="15.75" customHeight="1" x14ac:dyDescent="0.25">
      <c r="A460" s="1">
        <v>200458</v>
      </c>
      <c r="B460" s="2">
        <v>45800</v>
      </c>
      <c r="C460" s="1">
        <v>28</v>
      </c>
      <c r="D460" s="1" t="s">
        <v>6</v>
      </c>
      <c r="E460" s="1">
        <v>146</v>
      </c>
      <c r="F460" t="str">
        <f>VLOOKUP(Tabla1[[#This Row],[IDProducto]],producto!$A$1:$C$33,2,FALSE)</f>
        <v>Producto_28</v>
      </c>
      <c r="G460" t="str">
        <f>VLOOKUP(Tabla1[[#This Row],[IDProducto]],producto!$A$1:$C$33,3,FALSE)</f>
        <v>Hogar</v>
      </c>
      <c r="H460" s="6" t="str">
        <f>VLOOKUP(Tabla1[[#This Row],[Estado]],Tabla3[#All],2,0)</f>
        <v>Occidente</v>
      </c>
    </row>
    <row r="461" spans="1:8" ht="15.75" customHeight="1" x14ac:dyDescent="0.25">
      <c r="A461" s="1">
        <v>200459</v>
      </c>
      <c r="B461" s="2">
        <v>45682</v>
      </c>
      <c r="C461" s="1">
        <v>4</v>
      </c>
      <c r="D461" s="1" t="s">
        <v>8</v>
      </c>
      <c r="E461" s="1">
        <v>1344</v>
      </c>
      <c r="F461" t="str">
        <f>VLOOKUP(Tabla1[[#This Row],[IDProducto]],producto!$A$1:$C$33,2,FALSE)</f>
        <v>Producto_4</v>
      </c>
      <c r="G461" t="str">
        <f>VLOOKUP(Tabla1[[#This Row],[IDProducto]],producto!$A$1:$C$33,3,FALSE)</f>
        <v>Deportes</v>
      </c>
      <c r="H461" s="6" t="str">
        <f>VLOOKUP(Tabla1[[#This Row],[Estado]],Tabla3[#All],2,0)</f>
        <v>Norte</v>
      </c>
    </row>
    <row r="462" spans="1:8" ht="15.75" customHeight="1" x14ac:dyDescent="0.25">
      <c r="A462" s="1">
        <v>200460</v>
      </c>
      <c r="B462" s="2">
        <v>45803</v>
      </c>
      <c r="C462" s="1">
        <v>7</v>
      </c>
      <c r="D462" s="1" t="s">
        <v>6</v>
      </c>
      <c r="E462" s="1">
        <v>1126</v>
      </c>
      <c r="F462" t="str">
        <f>VLOOKUP(Tabla1[[#This Row],[IDProducto]],producto!$A$1:$C$33,2,FALSE)</f>
        <v>Producto_7</v>
      </c>
      <c r="G462" t="str">
        <f>VLOOKUP(Tabla1[[#This Row],[IDProducto]],producto!$A$1:$C$33,3,FALSE)</f>
        <v>Ropa</v>
      </c>
      <c r="H462" s="6" t="str">
        <f>VLOOKUP(Tabla1[[#This Row],[Estado]],Tabla3[#All],2,0)</f>
        <v>Occidente</v>
      </c>
    </row>
    <row r="463" spans="1:8" ht="15.75" customHeight="1" x14ac:dyDescent="0.25">
      <c r="A463" s="1">
        <v>200461</v>
      </c>
      <c r="B463" s="2">
        <v>45675</v>
      </c>
      <c r="C463" s="1">
        <v>5</v>
      </c>
      <c r="D463" s="1" t="s">
        <v>8</v>
      </c>
      <c r="E463" s="1">
        <v>834</v>
      </c>
      <c r="F463" t="str">
        <f>VLOOKUP(Tabla1[[#This Row],[IDProducto]],producto!$A$1:$C$33,2,FALSE)</f>
        <v>Producto_5</v>
      </c>
      <c r="G463" t="str">
        <f>VLOOKUP(Tabla1[[#This Row],[IDProducto]],producto!$A$1:$C$33,3,FALSE)</f>
        <v>Hogar</v>
      </c>
      <c r="H463" s="6" t="str">
        <f>VLOOKUP(Tabla1[[#This Row],[Estado]],Tabla3[#All],2,0)</f>
        <v>Norte</v>
      </c>
    </row>
    <row r="464" spans="1:8" ht="15.75" customHeight="1" x14ac:dyDescent="0.25">
      <c r="A464" s="1">
        <v>200462</v>
      </c>
      <c r="B464" s="2">
        <v>45760</v>
      </c>
      <c r="C464" s="1">
        <v>32</v>
      </c>
      <c r="D464" s="1" t="s">
        <v>9</v>
      </c>
      <c r="E464" s="1">
        <v>1440</v>
      </c>
      <c r="F464" t="str">
        <f>VLOOKUP(Tabla1[[#This Row],[IDProducto]],producto!$A$1:$C$33,2,FALSE)</f>
        <v>Producto_32</v>
      </c>
      <c r="G464" t="str">
        <f>VLOOKUP(Tabla1[[#This Row],[IDProducto]],producto!$A$1:$C$33,3,FALSE)</f>
        <v>Hogar</v>
      </c>
      <c r="H464" s="6" t="str">
        <f>VLOOKUP(Tabla1[[#This Row],[Estado]],Tabla3[#All],2,0)</f>
        <v>Sur</v>
      </c>
    </row>
    <row r="465" spans="1:8" ht="15.75" customHeight="1" x14ac:dyDescent="0.25">
      <c r="A465" s="1">
        <v>200463</v>
      </c>
      <c r="B465" s="2">
        <v>45735</v>
      </c>
      <c r="C465" s="1">
        <v>29</v>
      </c>
      <c r="D465" s="1" t="s">
        <v>7</v>
      </c>
      <c r="E465" s="1">
        <v>1380</v>
      </c>
      <c r="F465" t="str">
        <f>VLOOKUP(Tabla1[[#This Row],[IDProducto]],producto!$A$1:$C$33,2,FALSE)</f>
        <v>Producto_29</v>
      </c>
      <c r="G465" t="str">
        <f>VLOOKUP(Tabla1[[#This Row],[IDProducto]],producto!$A$1:$C$33,3,FALSE)</f>
        <v>Electrónica</v>
      </c>
      <c r="H465" s="6" t="str">
        <f>VLOOKUP(Tabla1[[#This Row],[Estado]],Tabla3[#All],2,0)</f>
        <v>Norte</v>
      </c>
    </row>
    <row r="466" spans="1:8" ht="15.75" customHeight="1" x14ac:dyDescent="0.25">
      <c r="A466" s="1">
        <v>200464</v>
      </c>
      <c r="B466" s="2">
        <v>45718</v>
      </c>
      <c r="C466" s="1">
        <v>13</v>
      </c>
      <c r="D466" s="1" t="s">
        <v>11</v>
      </c>
      <c r="E466" s="1">
        <v>1702</v>
      </c>
      <c r="F466" t="str">
        <f>VLOOKUP(Tabla1[[#This Row],[IDProducto]],producto!$A$1:$C$33,2,FALSE)</f>
        <v>Producto_13</v>
      </c>
      <c r="G466" t="str">
        <f>VLOOKUP(Tabla1[[#This Row],[IDProducto]],producto!$A$1:$C$33,3,FALSE)</f>
        <v>Deportes</v>
      </c>
      <c r="H466" s="6" t="str">
        <f>VLOOKUP(Tabla1[[#This Row],[Estado]],Tabla3[#All],2,0)</f>
        <v>Occidente</v>
      </c>
    </row>
    <row r="467" spans="1:8" ht="15.75" customHeight="1" x14ac:dyDescent="0.25">
      <c r="A467" s="1">
        <v>200465</v>
      </c>
      <c r="B467" s="2">
        <v>45784</v>
      </c>
      <c r="C467" s="1">
        <v>9</v>
      </c>
      <c r="D467" s="1" t="s">
        <v>10</v>
      </c>
      <c r="E467" s="1">
        <v>675</v>
      </c>
      <c r="F467" t="str">
        <f>VLOOKUP(Tabla1[[#This Row],[IDProducto]],producto!$A$1:$C$33,2,FALSE)</f>
        <v>Producto_9</v>
      </c>
      <c r="G467" t="str">
        <f>VLOOKUP(Tabla1[[#This Row],[IDProducto]],producto!$A$1:$C$33,3,FALSE)</f>
        <v>Electrónica</v>
      </c>
      <c r="H467" s="6" t="str">
        <f>VLOOKUP(Tabla1[[#This Row],[Estado]],Tabla3[#All],2,0)</f>
        <v>Centro</v>
      </c>
    </row>
    <row r="468" spans="1:8" ht="15.75" customHeight="1" x14ac:dyDescent="0.25">
      <c r="A468" s="1">
        <v>200466</v>
      </c>
      <c r="B468" s="2">
        <v>45661</v>
      </c>
      <c r="C468" s="1">
        <v>27</v>
      </c>
      <c r="D468" s="1" t="s">
        <v>8</v>
      </c>
      <c r="E468" s="1">
        <v>830</v>
      </c>
      <c r="F468" t="str">
        <f>VLOOKUP(Tabla1[[#This Row],[IDProducto]],producto!$A$1:$C$33,2,FALSE)</f>
        <v>Producto_27</v>
      </c>
      <c r="G468" t="str">
        <f>VLOOKUP(Tabla1[[#This Row],[IDProducto]],producto!$A$1:$C$33,3,FALSE)</f>
        <v>Electrónica</v>
      </c>
      <c r="H468" s="6" t="str">
        <f>VLOOKUP(Tabla1[[#This Row],[Estado]],Tabla3[#All],2,0)</f>
        <v>Norte</v>
      </c>
    </row>
    <row r="469" spans="1:8" ht="15.75" customHeight="1" x14ac:dyDescent="0.25">
      <c r="A469" s="1">
        <v>200467</v>
      </c>
      <c r="B469" s="2">
        <v>45692</v>
      </c>
      <c r="C469" s="1">
        <v>29</v>
      </c>
      <c r="D469" s="1" t="s">
        <v>5</v>
      </c>
      <c r="E469" s="1">
        <v>879</v>
      </c>
      <c r="F469" t="str">
        <f>VLOOKUP(Tabla1[[#This Row],[IDProducto]],producto!$A$1:$C$33,2,FALSE)</f>
        <v>Producto_29</v>
      </c>
      <c r="G469" t="str">
        <f>VLOOKUP(Tabla1[[#This Row],[IDProducto]],producto!$A$1:$C$33,3,FALSE)</f>
        <v>Electrónica</v>
      </c>
      <c r="H469" s="6" t="str">
        <f>VLOOKUP(Tabla1[[#This Row],[Estado]],Tabla3[#All],2,0)</f>
        <v>Centro</v>
      </c>
    </row>
    <row r="470" spans="1:8" ht="15.75" customHeight="1" x14ac:dyDescent="0.25">
      <c r="A470" s="1">
        <v>200468</v>
      </c>
      <c r="B470" s="2">
        <v>45804</v>
      </c>
      <c r="C470" s="1">
        <v>6</v>
      </c>
      <c r="D470" s="1" t="s">
        <v>10</v>
      </c>
      <c r="E470" s="1">
        <v>512</v>
      </c>
      <c r="F470" t="str">
        <f>VLOOKUP(Tabla1[[#This Row],[IDProducto]],producto!$A$1:$C$33,2,FALSE)</f>
        <v>Producto_6</v>
      </c>
      <c r="G470" t="str">
        <f>VLOOKUP(Tabla1[[#This Row],[IDProducto]],producto!$A$1:$C$33,3,FALSE)</f>
        <v>Electrónica</v>
      </c>
      <c r="H470" s="6" t="str">
        <f>VLOOKUP(Tabla1[[#This Row],[Estado]],Tabla3[#All],2,0)</f>
        <v>Centro</v>
      </c>
    </row>
    <row r="471" spans="1:8" ht="15.75" customHeight="1" x14ac:dyDescent="0.25">
      <c r="A471" s="1">
        <v>200469</v>
      </c>
      <c r="B471" s="2">
        <v>45765</v>
      </c>
      <c r="C471" s="1">
        <v>8</v>
      </c>
      <c r="D471" s="1" t="s">
        <v>6</v>
      </c>
      <c r="E471" s="1">
        <v>1173</v>
      </c>
      <c r="F471" t="str">
        <f>VLOOKUP(Tabla1[[#This Row],[IDProducto]],producto!$A$1:$C$33,2,FALSE)</f>
        <v>Producto_8</v>
      </c>
      <c r="G471" t="str">
        <f>VLOOKUP(Tabla1[[#This Row],[IDProducto]],producto!$A$1:$C$33,3,FALSE)</f>
        <v>Electrónica</v>
      </c>
      <c r="H471" s="6" t="str">
        <f>VLOOKUP(Tabla1[[#This Row],[Estado]],Tabla3[#All],2,0)</f>
        <v>Occidente</v>
      </c>
    </row>
    <row r="472" spans="1:8" ht="15.75" customHeight="1" x14ac:dyDescent="0.25">
      <c r="A472" s="1">
        <v>200470</v>
      </c>
      <c r="B472" s="2">
        <v>45719</v>
      </c>
      <c r="C472" s="1">
        <v>10</v>
      </c>
      <c r="D472" s="1" t="s">
        <v>7</v>
      </c>
      <c r="E472" s="1">
        <v>152</v>
      </c>
      <c r="F472" t="str">
        <f>VLOOKUP(Tabla1[[#This Row],[IDProducto]],producto!$A$1:$C$33,2,FALSE)</f>
        <v>Producto_10</v>
      </c>
      <c r="G472" t="str">
        <f>VLOOKUP(Tabla1[[#This Row],[IDProducto]],producto!$A$1:$C$33,3,FALSE)</f>
        <v>Ropa</v>
      </c>
      <c r="H472" s="6" t="str">
        <f>VLOOKUP(Tabla1[[#This Row],[Estado]],Tabla3[#All],2,0)</f>
        <v>Norte</v>
      </c>
    </row>
    <row r="473" spans="1:8" ht="15.75" customHeight="1" x14ac:dyDescent="0.25">
      <c r="A473" s="1">
        <v>200471</v>
      </c>
      <c r="B473" s="2">
        <v>45760</v>
      </c>
      <c r="C473" s="1">
        <v>28</v>
      </c>
      <c r="D473" s="1" t="s">
        <v>11</v>
      </c>
      <c r="E473" s="1">
        <v>1198</v>
      </c>
      <c r="F473" t="str">
        <f>VLOOKUP(Tabla1[[#This Row],[IDProducto]],producto!$A$1:$C$33,2,FALSE)</f>
        <v>Producto_28</v>
      </c>
      <c r="G473" t="str">
        <f>VLOOKUP(Tabla1[[#This Row],[IDProducto]],producto!$A$1:$C$33,3,FALSE)</f>
        <v>Hogar</v>
      </c>
      <c r="H473" s="6" t="str">
        <f>VLOOKUP(Tabla1[[#This Row],[Estado]],Tabla3[#All],2,0)</f>
        <v>Occidente</v>
      </c>
    </row>
    <row r="474" spans="1:8" ht="15.75" customHeight="1" x14ac:dyDescent="0.25">
      <c r="A474" s="1">
        <v>200472</v>
      </c>
      <c r="B474" s="2">
        <v>45712</v>
      </c>
      <c r="C474" s="1">
        <v>15</v>
      </c>
      <c r="D474" s="1" t="s">
        <v>5</v>
      </c>
      <c r="E474" s="1">
        <v>896</v>
      </c>
      <c r="F474" t="str">
        <f>VLOOKUP(Tabla1[[#This Row],[IDProducto]],producto!$A$1:$C$33,2,FALSE)</f>
        <v>Producto_15</v>
      </c>
      <c r="G474" t="str">
        <f>VLOOKUP(Tabla1[[#This Row],[IDProducto]],producto!$A$1:$C$33,3,FALSE)</f>
        <v>Hogar</v>
      </c>
      <c r="H474" s="6" t="str">
        <f>VLOOKUP(Tabla1[[#This Row],[Estado]],Tabla3[#All],2,0)</f>
        <v>Centro</v>
      </c>
    </row>
    <row r="475" spans="1:8" ht="15.75" customHeight="1" x14ac:dyDescent="0.25">
      <c r="A475" s="1">
        <v>200473</v>
      </c>
      <c r="B475" s="2">
        <v>45682</v>
      </c>
      <c r="C475" s="1">
        <v>28</v>
      </c>
      <c r="D475" s="1" t="s">
        <v>6</v>
      </c>
      <c r="E475" s="1">
        <v>1691</v>
      </c>
      <c r="F475" t="str">
        <f>VLOOKUP(Tabla1[[#This Row],[IDProducto]],producto!$A$1:$C$33,2,FALSE)</f>
        <v>Producto_28</v>
      </c>
      <c r="G475" t="str">
        <f>VLOOKUP(Tabla1[[#This Row],[IDProducto]],producto!$A$1:$C$33,3,FALSE)</f>
        <v>Hogar</v>
      </c>
      <c r="H475" s="6" t="str">
        <f>VLOOKUP(Tabla1[[#This Row],[Estado]],Tabla3[#All],2,0)</f>
        <v>Occidente</v>
      </c>
    </row>
    <row r="476" spans="1:8" ht="15.75" customHeight="1" x14ac:dyDescent="0.25">
      <c r="A476" s="1">
        <v>200474</v>
      </c>
      <c r="B476" s="2">
        <v>45661</v>
      </c>
      <c r="C476" s="1">
        <v>1</v>
      </c>
      <c r="D476" s="1" t="s">
        <v>8</v>
      </c>
      <c r="E476" s="1">
        <v>1649</v>
      </c>
      <c r="F476" t="str">
        <f>VLOOKUP(Tabla1[[#This Row],[IDProducto]],producto!$A$1:$C$33,2,FALSE)</f>
        <v>Producto_1</v>
      </c>
      <c r="G476" t="str">
        <f>VLOOKUP(Tabla1[[#This Row],[IDProducto]],producto!$A$1:$C$33,3,FALSE)</f>
        <v>Hogar</v>
      </c>
      <c r="H476" s="6" t="str">
        <f>VLOOKUP(Tabla1[[#This Row],[Estado]],Tabla3[#All],2,0)</f>
        <v>Norte</v>
      </c>
    </row>
    <row r="477" spans="1:8" ht="15.75" customHeight="1" x14ac:dyDescent="0.25">
      <c r="A477" s="1">
        <v>200475</v>
      </c>
      <c r="B477" s="2">
        <v>45713</v>
      </c>
      <c r="C477" s="1">
        <v>3</v>
      </c>
      <c r="D477" s="1" t="s">
        <v>9</v>
      </c>
      <c r="E477" s="1">
        <v>864</v>
      </c>
      <c r="F477" t="str">
        <f>VLOOKUP(Tabla1[[#This Row],[IDProducto]],producto!$A$1:$C$33,2,FALSE)</f>
        <v>Producto_3</v>
      </c>
      <c r="G477" t="str">
        <f>VLOOKUP(Tabla1[[#This Row],[IDProducto]],producto!$A$1:$C$33,3,FALSE)</f>
        <v>Deportes</v>
      </c>
      <c r="H477" s="6" t="str">
        <f>VLOOKUP(Tabla1[[#This Row],[Estado]],Tabla3[#All],2,0)</f>
        <v>Sur</v>
      </c>
    </row>
    <row r="478" spans="1:8" ht="15.75" customHeight="1" x14ac:dyDescent="0.25">
      <c r="A478" s="1">
        <v>200476</v>
      </c>
      <c r="B478" s="2">
        <v>45764</v>
      </c>
      <c r="C478" s="1">
        <v>30</v>
      </c>
      <c r="D478" s="1" t="s">
        <v>7</v>
      </c>
      <c r="E478" s="1">
        <v>1769</v>
      </c>
      <c r="F478" t="str">
        <f>VLOOKUP(Tabla1[[#This Row],[IDProducto]],producto!$A$1:$C$33,2,FALSE)</f>
        <v>Producto_30</v>
      </c>
      <c r="G478" t="str">
        <f>VLOOKUP(Tabla1[[#This Row],[IDProducto]],producto!$A$1:$C$33,3,FALSE)</f>
        <v>Hogar</v>
      </c>
      <c r="H478" s="6" t="str">
        <f>VLOOKUP(Tabla1[[#This Row],[Estado]],Tabla3[#All],2,0)</f>
        <v>Norte</v>
      </c>
    </row>
    <row r="479" spans="1:8" ht="15.75" customHeight="1" x14ac:dyDescent="0.25">
      <c r="A479" s="1">
        <v>200477</v>
      </c>
      <c r="B479" s="2">
        <v>45784</v>
      </c>
      <c r="C479" s="1">
        <v>15</v>
      </c>
      <c r="D479" s="1" t="s">
        <v>8</v>
      </c>
      <c r="E479" s="1">
        <v>1502</v>
      </c>
      <c r="F479" t="str">
        <f>VLOOKUP(Tabla1[[#This Row],[IDProducto]],producto!$A$1:$C$33,2,FALSE)</f>
        <v>Producto_15</v>
      </c>
      <c r="G479" t="str">
        <f>VLOOKUP(Tabla1[[#This Row],[IDProducto]],producto!$A$1:$C$33,3,FALSE)</f>
        <v>Hogar</v>
      </c>
      <c r="H479" s="6" t="str">
        <f>VLOOKUP(Tabla1[[#This Row],[Estado]],Tabla3[#All],2,0)</f>
        <v>Norte</v>
      </c>
    </row>
    <row r="480" spans="1:8" ht="15.75" customHeight="1" x14ac:dyDescent="0.25">
      <c r="A480" s="1">
        <v>200478</v>
      </c>
      <c r="B480" s="2">
        <v>45714</v>
      </c>
      <c r="C480" s="1">
        <v>11</v>
      </c>
      <c r="D480" s="1" t="s">
        <v>6</v>
      </c>
      <c r="E480" s="1">
        <v>1959</v>
      </c>
      <c r="F480" t="str">
        <f>VLOOKUP(Tabla1[[#This Row],[IDProducto]],producto!$A$1:$C$33,2,FALSE)</f>
        <v>Producto_11</v>
      </c>
      <c r="G480" t="str">
        <f>VLOOKUP(Tabla1[[#This Row],[IDProducto]],producto!$A$1:$C$33,3,FALSE)</f>
        <v>Ropa</v>
      </c>
      <c r="H480" s="6" t="str">
        <f>VLOOKUP(Tabla1[[#This Row],[Estado]],Tabla3[#All],2,0)</f>
        <v>Occidente</v>
      </c>
    </row>
    <row r="481" spans="1:8" ht="15.75" customHeight="1" x14ac:dyDescent="0.25">
      <c r="A481" s="1">
        <v>200479</v>
      </c>
      <c r="B481" s="2">
        <v>45787</v>
      </c>
      <c r="C481" s="1">
        <v>32</v>
      </c>
      <c r="D481" s="1" t="s">
        <v>9</v>
      </c>
      <c r="E481" s="1">
        <v>1881</v>
      </c>
      <c r="F481" t="str">
        <f>VLOOKUP(Tabla1[[#This Row],[IDProducto]],producto!$A$1:$C$33,2,FALSE)</f>
        <v>Producto_32</v>
      </c>
      <c r="G481" t="str">
        <f>VLOOKUP(Tabla1[[#This Row],[IDProducto]],producto!$A$1:$C$33,3,FALSE)</f>
        <v>Hogar</v>
      </c>
      <c r="H481" s="6" t="str">
        <f>VLOOKUP(Tabla1[[#This Row],[Estado]],Tabla3[#All],2,0)</f>
        <v>Sur</v>
      </c>
    </row>
    <row r="482" spans="1:8" ht="15.75" customHeight="1" x14ac:dyDescent="0.25">
      <c r="A482" s="1">
        <v>200480</v>
      </c>
      <c r="B482" s="2">
        <v>45667</v>
      </c>
      <c r="C482" s="1">
        <v>12</v>
      </c>
      <c r="D482" s="1" t="s">
        <v>12</v>
      </c>
      <c r="E482" s="1">
        <v>1701</v>
      </c>
      <c r="F482" t="str">
        <f>VLOOKUP(Tabla1[[#This Row],[IDProducto]],producto!$A$1:$C$33,2,FALSE)</f>
        <v>Producto_12</v>
      </c>
      <c r="G482" t="str">
        <f>VLOOKUP(Tabla1[[#This Row],[IDProducto]],producto!$A$1:$C$33,3,FALSE)</f>
        <v>Hogar</v>
      </c>
      <c r="H482" s="6" t="str">
        <f>VLOOKUP(Tabla1[[#This Row],[Estado]],Tabla3[#All],2,0)</f>
        <v>Centro</v>
      </c>
    </row>
    <row r="483" spans="1:8" ht="15.75" customHeight="1" x14ac:dyDescent="0.25">
      <c r="A483" s="1">
        <v>200481</v>
      </c>
      <c r="B483" s="2">
        <v>45745</v>
      </c>
      <c r="C483" s="1">
        <v>2</v>
      </c>
      <c r="D483" s="1" t="s">
        <v>8</v>
      </c>
      <c r="E483" s="1">
        <v>208</v>
      </c>
      <c r="F483" t="str">
        <f>VLOOKUP(Tabla1[[#This Row],[IDProducto]],producto!$A$1:$C$33,2,FALSE)</f>
        <v>Producto_2</v>
      </c>
      <c r="G483" t="str">
        <f>VLOOKUP(Tabla1[[#This Row],[IDProducto]],producto!$A$1:$C$33,3,FALSE)</f>
        <v>Deportes</v>
      </c>
      <c r="H483" s="6" t="str">
        <f>VLOOKUP(Tabla1[[#This Row],[Estado]],Tabla3[#All],2,0)</f>
        <v>Norte</v>
      </c>
    </row>
    <row r="484" spans="1:8" ht="15.75" customHeight="1" x14ac:dyDescent="0.25">
      <c r="A484" s="1">
        <v>200482</v>
      </c>
      <c r="B484" s="2">
        <v>45735</v>
      </c>
      <c r="C484" s="1">
        <v>30</v>
      </c>
      <c r="D484" s="1" t="s">
        <v>12</v>
      </c>
      <c r="E484" s="1">
        <v>1861</v>
      </c>
      <c r="F484" t="str">
        <f>VLOOKUP(Tabla1[[#This Row],[IDProducto]],producto!$A$1:$C$33,2,FALSE)</f>
        <v>Producto_30</v>
      </c>
      <c r="G484" t="str">
        <f>VLOOKUP(Tabla1[[#This Row],[IDProducto]],producto!$A$1:$C$33,3,FALSE)</f>
        <v>Hogar</v>
      </c>
      <c r="H484" s="6" t="str">
        <f>VLOOKUP(Tabla1[[#This Row],[Estado]],Tabla3[#All],2,0)</f>
        <v>Centro</v>
      </c>
    </row>
    <row r="485" spans="1:8" ht="15.75" customHeight="1" x14ac:dyDescent="0.25">
      <c r="A485" s="1">
        <v>200483</v>
      </c>
      <c r="B485" s="2">
        <v>45837</v>
      </c>
      <c r="C485" s="1">
        <v>31</v>
      </c>
      <c r="D485" s="1" t="s">
        <v>7</v>
      </c>
      <c r="E485" s="1">
        <v>1012</v>
      </c>
      <c r="F485" t="str">
        <f>VLOOKUP(Tabla1[[#This Row],[IDProducto]],producto!$A$1:$C$33,2,FALSE)</f>
        <v>Producto_31</v>
      </c>
      <c r="G485" t="str">
        <f>VLOOKUP(Tabla1[[#This Row],[IDProducto]],producto!$A$1:$C$33,3,FALSE)</f>
        <v>Deportes</v>
      </c>
      <c r="H485" s="6" t="str">
        <f>VLOOKUP(Tabla1[[#This Row],[Estado]],Tabla3[#All],2,0)</f>
        <v>Norte</v>
      </c>
    </row>
    <row r="486" spans="1:8" ht="15.75" customHeight="1" x14ac:dyDescent="0.25">
      <c r="A486" s="1">
        <v>200484</v>
      </c>
      <c r="B486" s="2">
        <v>45763</v>
      </c>
      <c r="C486" s="1">
        <v>12</v>
      </c>
      <c r="D486" s="1" t="s">
        <v>8</v>
      </c>
      <c r="E486" s="1">
        <v>1238</v>
      </c>
      <c r="F486" t="str">
        <f>VLOOKUP(Tabla1[[#This Row],[IDProducto]],producto!$A$1:$C$33,2,FALSE)</f>
        <v>Producto_12</v>
      </c>
      <c r="G486" t="str">
        <f>VLOOKUP(Tabla1[[#This Row],[IDProducto]],producto!$A$1:$C$33,3,FALSE)</f>
        <v>Hogar</v>
      </c>
      <c r="H486" s="6" t="str">
        <f>VLOOKUP(Tabla1[[#This Row],[Estado]],Tabla3[#All],2,0)</f>
        <v>Norte</v>
      </c>
    </row>
    <row r="487" spans="1:8" ht="15.75" customHeight="1" x14ac:dyDescent="0.25">
      <c r="A487" s="1">
        <v>200485</v>
      </c>
      <c r="B487" s="2">
        <v>45676</v>
      </c>
      <c r="C487" s="1">
        <v>28</v>
      </c>
      <c r="D487" s="1" t="s">
        <v>9</v>
      </c>
      <c r="E487" s="1">
        <v>431</v>
      </c>
      <c r="F487" t="str">
        <f>VLOOKUP(Tabla1[[#This Row],[IDProducto]],producto!$A$1:$C$33,2,FALSE)</f>
        <v>Producto_28</v>
      </c>
      <c r="G487" t="str">
        <f>VLOOKUP(Tabla1[[#This Row],[IDProducto]],producto!$A$1:$C$33,3,FALSE)</f>
        <v>Hogar</v>
      </c>
      <c r="H487" s="6" t="str">
        <f>VLOOKUP(Tabla1[[#This Row],[Estado]],Tabla3[#All],2,0)</f>
        <v>Sur</v>
      </c>
    </row>
    <row r="488" spans="1:8" ht="15.75" customHeight="1" x14ac:dyDescent="0.25">
      <c r="A488" s="1">
        <v>200486</v>
      </c>
      <c r="B488" s="2">
        <v>45734</v>
      </c>
      <c r="C488" s="1">
        <v>22</v>
      </c>
      <c r="D488" s="1" t="s">
        <v>12</v>
      </c>
      <c r="E488" s="1">
        <v>1891</v>
      </c>
      <c r="F488" t="str">
        <f>VLOOKUP(Tabla1[[#This Row],[IDProducto]],producto!$A$1:$C$33,2,FALSE)</f>
        <v>Producto_22</v>
      </c>
      <c r="G488" t="str">
        <f>VLOOKUP(Tabla1[[#This Row],[IDProducto]],producto!$A$1:$C$33,3,FALSE)</f>
        <v>Hogar</v>
      </c>
      <c r="H488" s="6" t="str">
        <f>VLOOKUP(Tabla1[[#This Row],[Estado]],Tabla3[#All],2,0)</f>
        <v>Centro</v>
      </c>
    </row>
    <row r="489" spans="1:8" ht="15.75" customHeight="1" x14ac:dyDescent="0.25">
      <c r="A489" s="1">
        <v>200487</v>
      </c>
      <c r="B489" s="2">
        <v>45689</v>
      </c>
      <c r="C489" s="1">
        <v>12</v>
      </c>
      <c r="D489" s="1" t="s">
        <v>9</v>
      </c>
      <c r="E489" s="1">
        <v>870</v>
      </c>
      <c r="F489" t="str">
        <f>VLOOKUP(Tabla1[[#This Row],[IDProducto]],producto!$A$1:$C$33,2,FALSE)</f>
        <v>Producto_12</v>
      </c>
      <c r="G489" t="str">
        <f>VLOOKUP(Tabla1[[#This Row],[IDProducto]],producto!$A$1:$C$33,3,FALSE)</f>
        <v>Hogar</v>
      </c>
      <c r="H489" s="6" t="str">
        <f>VLOOKUP(Tabla1[[#This Row],[Estado]],Tabla3[#All],2,0)</f>
        <v>Sur</v>
      </c>
    </row>
    <row r="490" spans="1:8" ht="15.75" customHeight="1" x14ac:dyDescent="0.25">
      <c r="A490" s="1">
        <v>200488</v>
      </c>
      <c r="B490" s="2">
        <v>45817</v>
      </c>
      <c r="C490" s="1">
        <v>32</v>
      </c>
      <c r="D490" s="1" t="s">
        <v>9</v>
      </c>
      <c r="E490" s="1">
        <v>1622</v>
      </c>
      <c r="F490" t="str">
        <f>VLOOKUP(Tabla1[[#This Row],[IDProducto]],producto!$A$1:$C$33,2,FALSE)</f>
        <v>Producto_32</v>
      </c>
      <c r="G490" t="str">
        <f>VLOOKUP(Tabla1[[#This Row],[IDProducto]],producto!$A$1:$C$33,3,FALSE)</f>
        <v>Hogar</v>
      </c>
      <c r="H490" s="6" t="str">
        <f>VLOOKUP(Tabla1[[#This Row],[Estado]],Tabla3[#All],2,0)</f>
        <v>Sur</v>
      </c>
    </row>
    <row r="491" spans="1:8" ht="15.75" customHeight="1" x14ac:dyDescent="0.25">
      <c r="A491" s="1">
        <v>200489</v>
      </c>
      <c r="B491" s="2">
        <v>45681</v>
      </c>
      <c r="C491" s="1">
        <v>4</v>
      </c>
      <c r="D491" s="1" t="s">
        <v>10</v>
      </c>
      <c r="E491" s="1">
        <v>564</v>
      </c>
      <c r="F491" t="str">
        <f>VLOOKUP(Tabla1[[#This Row],[IDProducto]],producto!$A$1:$C$33,2,FALSE)</f>
        <v>Producto_4</v>
      </c>
      <c r="G491" t="str">
        <f>VLOOKUP(Tabla1[[#This Row],[IDProducto]],producto!$A$1:$C$33,3,FALSE)</f>
        <v>Deportes</v>
      </c>
      <c r="H491" s="6" t="str">
        <f>VLOOKUP(Tabla1[[#This Row],[Estado]],Tabla3[#All],2,0)</f>
        <v>Centro</v>
      </c>
    </row>
    <row r="492" spans="1:8" ht="15.75" customHeight="1" x14ac:dyDescent="0.25">
      <c r="A492" s="1">
        <v>200490</v>
      </c>
      <c r="B492" s="2">
        <v>45701</v>
      </c>
      <c r="C492" s="1">
        <v>7</v>
      </c>
      <c r="D492" s="1" t="s">
        <v>6</v>
      </c>
      <c r="E492" s="1">
        <v>1437</v>
      </c>
      <c r="F492" t="str">
        <f>VLOOKUP(Tabla1[[#This Row],[IDProducto]],producto!$A$1:$C$33,2,FALSE)</f>
        <v>Producto_7</v>
      </c>
      <c r="G492" t="str">
        <f>VLOOKUP(Tabla1[[#This Row],[IDProducto]],producto!$A$1:$C$33,3,FALSE)</f>
        <v>Ropa</v>
      </c>
      <c r="H492" s="6" t="str">
        <f>VLOOKUP(Tabla1[[#This Row],[Estado]],Tabla3[#All],2,0)</f>
        <v>Occidente</v>
      </c>
    </row>
    <row r="493" spans="1:8" ht="15.75" customHeight="1" x14ac:dyDescent="0.25">
      <c r="A493" s="1">
        <v>200491</v>
      </c>
      <c r="B493" s="2">
        <v>45701</v>
      </c>
      <c r="C493" s="1">
        <v>7</v>
      </c>
      <c r="D493" s="1" t="s">
        <v>8</v>
      </c>
      <c r="E493" s="1">
        <v>1198</v>
      </c>
      <c r="F493" t="str">
        <f>VLOOKUP(Tabla1[[#This Row],[IDProducto]],producto!$A$1:$C$33,2,FALSE)</f>
        <v>Producto_7</v>
      </c>
      <c r="G493" t="str">
        <f>VLOOKUP(Tabla1[[#This Row],[IDProducto]],producto!$A$1:$C$33,3,FALSE)</f>
        <v>Ropa</v>
      </c>
      <c r="H493" s="6" t="str">
        <f>VLOOKUP(Tabla1[[#This Row],[Estado]],Tabla3[#All],2,0)</f>
        <v>Norte</v>
      </c>
    </row>
    <row r="494" spans="1:8" ht="15.75" customHeight="1" x14ac:dyDescent="0.25">
      <c r="A494" s="1">
        <v>200492</v>
      </c>
      <c r="B494" s="2">
        <v>45759</v>
      </c>
      <c r="C494" s="1">
        <v>24</v>
      </c>
      <c r="D494" s="1" t="s">
        <v>12</v>
      </c>
      <c r="E494" s="1">
        <v>331</v>
      </c>
      <c r="F494" t="str">
        <f>VLOOKUP(Tabla1[[#This Row],[IDProducto]],producto!$A$1:$C$33,2,FALSE)</f>
        <v>Producto_24</v>
      </c>
      <c r="G494" t="str">
        <f>VLOOKUP(Tabla1[[#This Row],[IDProducto]],producto!$A$1:$C$33,3,FALSE)</f>
        <v>Ropa</v>
      </c>
      <c r="H494" s="6" t="str">
        <f>VLOOKUP(Tabla1[[#This Row],[Estado]],Tabla3[#All],2,0)</f>
        <v>Centro</v>
      </c>
    </row>
    <row r="495" spans="1:8" ht="15.75" customHeight="1" x14ac:dyDescent="0.25">
      <c r="A495" s="1">
        <v>200493</v>
      </c>
      <c r="B495" s="2">
        <v>45687</v>
      </c>
      <c r="C495" s="1">
        <v>32</v>
      </c>
      <c r="D495" s="1" t="s">
        <v>6</v>
      </c>
      <c r="E495" s="1">
        <v>680</v>
      </c>
      <c r="F495" t="str">
        <f>VLOOKUP(Tabla1[[#This Row],[IDProducto]],producto!$A$1:$C$33,2,FALSE)</f>
        <v>Producto_32</v>
      </c>
      <c r="G495" t="str">
        <f>VLOOKUP(Tabla1[[#This Row],[IDProducto]],producto!$A$1:$C$33,3,FALSE)</f>
        <v>Hogar</v>
      </c>
      <c r="H495" s="6" t="str">
        <f>VLOOKUP(Tabla1[[#This Row],[Estado]],Tabla3[#All],2,0)</f>
        <v>Occidente</v>
      </c>
    </row>
    <row r="496" spans="1:8" ht="15.75" customHeight="1" x14ac:dyDescent="0.25">
      <c r="A496" s="1">
        <v>200494</v>
      </c>
      <c r="B496" s="2">
        <v>45793</v>
      </c>
      <c r="C496" s="1">
        <v>1</v>
      </c>
      <c r="D496" s="1" t="s">
        <v>8</v>
      </c>
      <c r="E496" s="1">
        <v>1008</v>
      </c>
      <c r="F496" t="str">
        <f>VLOOKUP(Tabla1[[#This Row],[IDProducto]],producto!$A$1:$C$33,2,FALSE)</f>
        <v>Producto_1</v>
      </c>
      <c r="G496" t="str">
        <f>VLOOKUP(Tabla1[[#This Row],[IDProducto]],producto!$A$1:$C$33,3,FALSE)</f>
        <v>Hogar</v>
      </c>
      <c r="H496" s="6" t="str">
        <f>VLOOKUP(Tabla1[[#This Row],[Estado]],Tabla3[#All],2,0)</f>
        <v>Norte</v>
      </c>
    </row>
    <row r="497" spans="1:8" ht="15.75" customHeight="1" x14ac:dyDescent="0.25">
      <c r="A497" s="1">
        <v>200495</v>
      </c>
      <c r="B497" s="2">
        <v>45819</v>
      </c>
      <c r="C497" s="1">
        <v>7</v>
      </c>
      <c r="D497" s="1" t="s">
        <v>9</v>
      </c>
      <c r="E497" s="1">
        <v>804</v>
      </c>
      <c r="F497" t="str">
        <f>VLOOKUP(Tabla1[[#This Row],[IDProducto]],producto!$A$1:$C$33,2,FALSE)</f>
        <v>Producto_7</v>
      </c>
      <c r="G497" t="str">
        <f>VLOOKUP(Tabla1[[#This Row],[IDProducto]],producto!$A$1:$C$33,3,FALSE)</f>
        <v>Ropa</v>
      </c>
      <c r="H497" s="6" t="str">
        <f>VLOOKUP(Tabla1[[#This Row],[Estado]],Tabla3[#All],2,0)</f>
        <v>Sur</v>
      </c>
    </row>
    <row r="498" spans="1:8" ht="15.75" customHeight="1" x14ac:dyDescent="0.25">
      <c r="A498" s="1">
        <v>200496</v>
      </c>
      <c r="B498" s="2">
        <v>45827</v>
      </c>
      <c r="C498" s="1">
        <v>31</v>
      </c>
      <c r="D498" s="1" t="s">
        <v>9</v>
      </c>
      <c r="E498" s="1">
        <v>1184</v>
      </c>
      <c r="F498" t="str">
        <f>VLOOKUP(Tabla1[[#This Row],[IDProducto]],producto!$A$1:$C$33,2,FALSE)</f>
        <v>Producto_31</v>
      </c>
      <c r="G498" t="str">
        <f>VLOOKUP(Tabla1[[#This Row],[IDProducto]],producto!$A$1:$C$33,3,FALSE)</f>
        <v>Deportes</v>
      </c>
      <c r="H498" s="6" t="str">
        <f>VLOOKUP(Tabla1[[#This Row],[Estado]],Tabla3[#All],2,0)</f>
        <v>Sur</v>
      </c>
    </row>
    <row r="499" spans="1:8" ht="15.75" customHeight="1" x14ac:dyDescent="0.25">
      <c r="A499" s="1">
        <v>200497</v>
      </c>
      <c r="B499" s="2">
        <v>45801</v>
      </c>
      <c r="C499" s="1">
        <v>20</v>
      </c>
      <c r="D499" s="1" t="s">
        <v>8</v>
      </c>
      <c r="E499" s="1">
        <v>1769</v>
      </c>
      <c r="F499" t="str">
        <f>VLOOKUP(Tabla1[[#This Row],[IDProducto]],producto!$A$1:$C$33,2,FALSE)</f>
        <v>Producto_20</v>
      </c>
      <c r="G499" t="str">
        <f>VLOOKUP(Tabla1[[#This Row],[IDProducto]],producto!$A$1:$C$33,3,FALSE)</f>
        <v>Deportes</v>
      </c>
      <c r="H499" s="6" t="str">
        <f>VLOOKUP(Tabla1[[#This Row],[Estado]],Tabla3[#All],2,0)</f>
        <v>Norte</v>
      </c>
    </row>
    <row r="500" spans="1:8" ht="15.75" customHeight="1" x14ac:dyDescent="0.25">
      <c r="A500" s="1">
        <v>200498</v>
      </c>
      <c r="B500" s="2">
        <v>45678</v>
      </c>
      <c r="C500" s="1">
        <v>27</v>
      </c>
      <c r="D500" s="1" t="s">
        <v>8</v>
      </c>
      <c r="E500" s="1">
        <v>774</v>
      </c>
      <c r="F500" t="str">
        <f>VLOOKUP(Tabla1[[#This Row],[IDProducto]],producto!$A$1:$C$33,2,FALSE)</f>
        <v>Producto_27</v>
      </c>
      <c r="G500" t="str">
        <f>VLOOKUP(Tabla1[[#This Row],[IDProducto]],producto!$A$1:$C$33,3,FALSE)</f>
        <v>Electrónica</v>
      </c>
      <c r="H500" s="6" t="str">
        <f>VLOOKUP(Tabla1[[#This Row],[Estado]],Tabla3[#All],2,0)</f>
        <v>Norte</v>
      </c>
    </row>
    <row r="501" spans="1:8" ht="15.75" customHeight="1" x14ac:dyDescent="0.25">
      <c r="A501" s="1">
        <v>200499</v>
      </c>
      <c r="B501" s="2">
        <v>45833</v>
      </c>
      <c r="C501" s="1">
        <v>19</v>
      </c>
      <c r="D501" s="1" t="s">
        <v>6</v>
      </c>
      <c r="E501" s="1">
        <v>468</v>
      </c>
      <c r="F501" t="str">
        <f>VLOOKUP(Tabla1[[#This Row],[IDProducto]],producto!$A$1:$C$33,2,FALSE)</f>
        <v>Producto_19</v>
      </c>
      <c r="G501" t="str">
        <f>VLOOKUP(Tabla1[[#This Row],[IDProducto]],producto!$A$1:$C$33,3,FALSE)</f>
        <v>Ropa</v>
      </c>
      <c r="H501" s="6" t="str">
        <f>VLOOKUP(Tabla1[[#This Row],[Estado]],Tabla3[#All],2,0)</f>
        <v>Occidente</v>
      </c>
    </row>
    <row r="502" spans="1:8" ht="15.75" customHeight="1" x14ac:dyDescent="0.25">
      <c r="A502" s="1">
        <v>200500</v>
      </c>
      <c r="B502" s="2">
        <v>45685</v>
      </c>
      <c r="C502" s="1">
        <v>10</v>
      </c>
      <c r="D502" s="1" t="s">
        <v>8</v>
      </c>
      <c r="E502" s="1">
        <v>1504</v>
      </c>
      <c r="F502" t="str">
        <f>VLOOKUP(Tabla1[[#This Row],[IDProducto]],producto!$A$1:$C$33,2,FALSE)</f>
        <v>Producto_10</v>
      </c>
      <c r="G502" t="str">
        <f>VLOOKUP(Tabla1[[#This Row],[IDProducto]],producto!$A$1:$C$33,3,FALSE)</f>
        <v>Ropa</v>
      </c>
      <c r="H502" s="6" t="str">
        <f>VLOOKUP(Tabla1[[#This Row],[Estado]],Tabla3[#All],2,0)</f>
        <v>Norte</v>
      </c>
    </row>
    <row r="503" spans="1:8" ht="15.75" customHeight="1" x14ac:dyDescent="0.25">
      <c r="A503" s="1">
        <v>200501</v>
      </c>
      <c r="B503" s="2">
        <v>45660</v>
      </c>
      <c r="C503" s="1">
        <v>24</v>
      </c>
      <c r="D503" s="1" t="s">
        <v>10</v>
      </c>
      <c r="E503" s="1">
        <v>1419</v>
      </c>
      <c r="F503" t="str">
        <f>VLOOKUP(Tabla1[[#This Row],[IDProducto]],producto!$A$1:$C$33,2,FALSE)</f>
        <v>Producto_24</v>
      </c>
      <c r="G503" t="str">
        <f>VLOOKUP(Tabla1[[#This Row],[IDProducto]],producto!$A$1:$C$33,3,FALSE)</f>
        <v>Ropa</v>
      </c>
      <c r="H503" s="6" t="str">
        <f>VLOOKUP(Tabla1[[#This Row],[Estado]],Tabla3[#All],2,0)</f>
        <v>Centro</v>
      </c>
    </row>
    <row r="504" spans="1:8" ht="15.75" customHeight="1" x14ac:dyDescent="0.25">
      <c r="A504" s="1">
        <v>200502</v>
      </c>
      <c r="B504" s="2">
        <v>45781</v>
      </c>
      <c r="C504" s="1">
        <v>23</v>
      </c>
      <c r="D504" s="1" t="s">
        <v>11</v>
      </c>
      <c r="E504" s="1">
        <v>115</v>
      </c>
      <c r="F504" t="str">
        <f>VLOOKUP(Tabla1[[#This Row],[IDProducto]],producto!$A$1:$C$33,2,FALSE)</f>
        <v>Producto_23</v>
      </c>
      <c r="G504" t="str">
        <f>VLOOKUP(Tabla1[[#This Row],[IDProducto]],producto!$A$1:$C$33,3,FALSE)</f>
        <v>Deportes</v>
      </c>
      <c r="H504" s="6" t="str">
        <f>VLOOKUP(Tabla1[[#This Row],[Estado]],Tabla3[#All],2,0)</f>
        <v>Occidente</v>
      </c>
    </row>
    <row r="505" spans="1:8" ht="15.75" customHeight="1" x14ac:dyDescent="0.25">
      <c r="A505" s="1">
        <v>200503</v>
      </c>
      <c r="B505" s="2">
        <v>45811</v>
      </c>
      <c r="C505" s="1">
        <v>21</v>
      </c>
      <c r="D505" s="1" t="s">
        <v>10</v>
      </c>
      <c r="E505" s="1">
        <v>473</v>
      </c>
      <c r="F505" t="str">
        <f>VLOOKUP(Tabla1[[#This Row],[IDProducto]],producto!$A$1:$C$33,2,FALSE)</f>
        <v>Producto_21</v>
      </c>
      <c r="G505" t="str">
        <f>VLOOKUP(Tabla1[[#This Row],[IDProducto]],producto!$A$1:$C$33,3,FALSE)</f>
        <v>Electrónica</v>
      </c>
      <c r="H505" s="6" t="str">
        <f>VLOOKUP(Tabla1[[#This Row],[Estado]],Tabla3[#All],2,0)</f>
        <v>Centro</v>
      </c>
    </row>
    <row r="506" spans="1:8" ht="15.75" customHeight="1" x14ac:dyDescent="0.25">
      <c r="A506" s="1">
        <v>200504</v>
      </c>
      <c r="B506" s="2">
        <v>45660</v>
      </c>
      <c r="C506" s="1">
        <v>8</v>
      </c>
      <c r="D506" s="1" t="s">
        <v>5</v>
      </c>
      <c r="E506" s="1">
        <v>381</v>
      </c>
      <c r="F506" t="str">
        <f>VLOOKUP(Tabla1[[#This Row],[IDProducto]],producto!$A$1:$C$33,2,FALSE)</f>
        <v>Producto_8</v>
      </c>
      <c r="G506" t="str">
        <f>VLOOKUP(Tabla1[[#This Row],[IDProducto]],producto!$A$1:$C$33,3,FALSE)</f>
        <v>Electrónica</v>
      </c>
      <c r="H506" s="6" t="str">
        <f>VLOOKUP(Tabla1[[#This Row],[Estado]],Tabla3[#All],2,0)</f>
        <v>Centro</v>
      </c>
    </row>
    <row r="507" spans="1:8" ht="15.75" customHeight="1" x14ac:dyDescent="0.25">
      <c r="A507" s="1">
        <v>200505</v>
      </c>
      <c r="B507" s="2">
        <v>45789</v>
      </c>
      <c r="C507" s="1">
        <v>8</v>
      </c>
      <c r="D507" s="1" t="s">
        <v>12</v>
      </c>
      <c r="E507" s="1">
        <v>1701</v>
      </c>
      <c r="F507" t="str">
        <f>VLOOKUP(Tabla1[[#This Row],[IDProducto]],producto!$A$1:$C$33,2,FALSE)</f>
        <v>Producto_8</v>
      </c>
      <c r="G507" t="str">
        <f>VLOOKUP(Tabla1[[#This Row],[IDProducto]],producto!$A$1:$C$33,3,FALSE)</f>
        <v>Electrónica</v>
      </c>
      <c r="H507" s="6" t="str">
        <f>VLOOKUP(Tabla1[[#This Row],[Estado]],Tabla3[#All],2,0)</f>
        <v>Centro</v>
      </c>
    </row>
    <row r="508" spans="1:8" ht="15.75" customHeight="1" x14ac:dyDescent="0.25">
      <c r="A508" s="1">
        <v>200506</v>
      </c>
      <c r="B508" s="2">
        <v>45721</v>
      </c>
      <c r="C508" s="1">
        <v>20</v>
      </c>
      <c r="D508" s="1" t="s">
        <v>9</v>
      </c>
      <c r="E508" s="1">
        <v>432</v>
      </c>
      <c r="F508" t="str">
        <f>VLOOKUP(Tabla1[[#This Row],[IDProducto]],producto!$A$1:$C$33,2,FALSE)</f>
        <v>Producto_20</v>
      </c>
      <c r="G508" t="str">
        <f>VLOOKUP(Tabla1[[#This Row],[IDProducto]],producto!$A$1:$C$33,3,FALSE)</f>
        <v>Deportes</v>
      </c>
      <c r="H508" s="6" t="str">
        <f>VLOOKUP(Tabla1[[#This Row],[Estado]],Tabla3[#All],2,0)</f>
        <v>Sur</v>
      </c>
    </row>
    <row r="509" spans="1:8" ht="15.75" customHeight="1" x14ac:dyDescent="0.25">
      <c r="A509" s="1">
        <v>200507</v>
      </c>
      <c r="B509" s="2">
        <v>45668</v>
      </c>
      <c r="C509" s="1">
        <v>29</v>
      </c>
      <c r="D509" s="1" t="s">
        <v>7</v>
      </c>
      <c r="E509" s="1">
        <v>637</v>
      </c>
      <c r="F509" t="str">
        <f>VLOOKUP(Tabla1[[#This Row],[IDProducto]],producto!$A$1:$C$33,2,FALSE)</f>
        <v>Producto_29</v>
      </c>
      <c r="G509" t="str">
        <f>VLOOKUP(Tabla1[[#This Row],[IDProducto]],producto!$A$1:$C$33,3,FALSE)</f>
        <v>Electrónica</v>
      </c>
      <c r="H509" s="6" t="str">
        <f>VLOOKUP(Tabla1[[#This Row],[Estado]],Tabla3[#All],2,0)</f>
        <v>Norte</v>
      </c>
    </row>
    <row r="510" spans="1:8" ht="15.75" customHeight="1" x14ac:dyDescent="0.25">
      <c r="A510" s="1">
        <v>200508</v>
      </c>
      <c r="B510" s="2">
        <v>45717</v>
      </c>
      <c r="C510" s="1">
        <v>23</v>
      </c>
      <c r="D510" s="1" t="s">
        <v>7</v>
      </c>
      <c r="E510" s="1">
        <v>611</v>
      </c>
      <c r="F510" t="str">
        <f>VLOOKUP(Tabla1[[#This Row],[IDProducto]],producto!$A$1:$C$33,2,FALSE)</f>
        <v>Producto_23</v>
      </c>
      <c r="G510" t="str">
        <f>VLOOKUP(Tabla1[[#This Row],[IDProducto]],producto!$A$1:$C$33,3,FALSE)</f>
        <v>Deportes</v>
      </c>
      <c r="H510" s="6" t="str">
        <f>VLOOKUP(Tabla1[[#This Row],[Estado]],Tabla3[#All],2,0)</f>
        <v>Norte</v>
      </c>
    </row>
    <row r="511" spans="1:8" ht="15.75" customHeight="1" x14ac:dyDescent="0.25">
      <c r="A511" s="1">
        <v>200509</v>
      </c>
      <c r="B511" s="2">
        <v>45716</v>
      </c>
      <c r="C511" s="1">
        <v>11</v>
      </c>
      <c r="D511" s="1" t="s">
        <v>12</v>
      </c>
      <c r="E511" s="1">
        <v>1590</v>
      </c>
      <c r="F511" t="str">
        <f>VLOOKUP(Tabla1[[#This Row],[IDProducto]],producto!$A$1:$C$33,2,FALSE)</f>
        <v>Producto_11</v>
      </c>
      <c r="G511" t="str">
        <f>VLOOKUP(Tabla1[[#This Row],[IDProducto]],producto!$A$1:$C$33,3,FALSE)</f>
        <v>Ropa</v>
      </c>
      <c r="H511" s="6" t="str">
        <f>VLOOKUP(Tabla1[[#This Row],[Estado]],Tabla3[#All],2,0)</f>
        <v>Centro</v>
      </c>
    </row>
    <row r="512" spans="1:8" ht="15.75" customHeight="1" x14ac:dyDescent="0.25">
      <c r="A512" s="1">
        <v>200510</v>
      </c>
      <c r="B512" s="2">
        <v>45745</v>
      </c>
      <c r="C512" s="1">
        <v>31</v>
      </c>
      <c r="D512" s="1" t="s">
        <v>8</v>
      </c>
      <c r="E512" s="1">
        <v>409</v>
      </c>
      <c r="F512" t="str">
        <f>VLOOKUP(Tabla1[[#This Row],[IDProducto]],producto!$A$1:$C$33,2,FALSE)</f>
        <v>Producto_31</v>
      </c>
      <c r="G512" t="str">
        <f>VLOOKUP(Tabla1[[#This Row],[IDProducto]],producto!$A$1:$C$33,3,FALSE)</f>
        <v>Deportes</v>
      </c>
      <c r="H512" s="6" t="str">
        <f>VLOOKUP(Tabla1[[#This Row],[Estado]],Tabla3[#All],2,0)</f>
        <v>Norte</v>
      </c>
    </row>
    <row r="513" spans="1:8" ht="15.75" customHeight="1" x14ac:dyDescent="0.25">
      <c r="A513" s="1">
        <v>200511</v>
      </c>
      <c r="B513" s="2">
        <v>45713</v>
      </c>
      <c r="C513" s="1">
        <v>7</v>
      </c>
      <c r="D513" s="1" t="s">
        <v>11</v>
      </c>
      <c r="E513" s="1">
        <v>1813</v>
      </c>
      <c r="F513" t="str">
        <f>VLOOKUP(Tabla1[[#This Row],[IDProducto]],producto!$A$1:$C$33,2,FALSE)</f>
        <v>Producto_7</v>
      </c>
      <c r="G513" t="str">
        <f>VLOOKUP(Tabla1[[#This Row],[IDProducto]],producto!$A$1:$C$33,3,FALSE)</f>
        <v>Ropa</v>
      </c>
      <c r="H513" s="6" t="str">
        <f>VLOOKUP(Tabla1[[#This Row],[Estado]],Tabla3[#All],2,0)</f>
        <v>Occidente</v>
      </c>
    </row>
    <row r="514" spans="1:8" ht="15.75" customHeight="1" x14ac:dyDescent="0.25">
      <c r="A514" s="1">
        <v>200512</v>
      </c>
      <c r="B514" s="2">
        <v>45815</v>
      </c>
      <c r="C514" s="1">
        <v>27</v>
      </c>
      <c r="D514" s="1" t="s">
        <v>8</v>
      </c>
      <c r="E514" s="1">
        <v>1575</v>
      </c>
      <c r="F514" t="str">
        <f>VLOOKUP(Tabla1[[#This Row],[IDProducto]],producto!$A$1:$C$33,2,FALSE)</f>
        <v>Producto_27</v>
      </c>
      <c r="G514" t="str">
        <f>VLOOKUP(Tabla1[[#This Row],[IDProducto]],producto!$A$1:$C$33,3,FALSE)</f>
        <v>Electrónica</v>
      </c>
      <c r="H514" s="6" t="str">
        <f>VLOOKUP(Tabla1[[#This Row],[Estado]],Tabla3[#All],2,0)</f>
        <v>Norte</v>
      </c>
    </row>
    <row r="515" spans="1:8" ht="15.75" customHeight="1" x14ac:dyDescent="0.25">
      <c r="A515" s="1">
        <v>200513</v>
      </c>
      <c r="B515" s="2">
        <v>45802</v>
      </c>
      <c r="C515" s="1">
        <v>11</v>
      </c>
      <c r="D515" s="1" t="s">
        <v>8</v>
      </c>
      <c r="E515" s="1">
        <v>1282</v>
      </c>
      <c r="F515" t="str">
        <f>VLOOKUP(Tabla1[[#This Row],[IDProducto]],producto!$A$1:$C$33,2,FALSE)</f>
        <v>Producto_11</v>
      </c>
      <c r="G515" t="str">
        <f>VLOOKUP(Tabla1[[#This Row],[IDProducto]],producto!$A$1:$C$33,3,FALSE)</f>
        <v>Ropa</v>
      </c>
      <c r="H515" s="6" t="str">
        <f>VLOOKUP(Tabla1[[#This Row],[Estado]],Tabla3[#All],2,0)</f>
        <v>Norte</v>
      </c>
    </row>
    <row r="516" spans="1:8" ht="15.75" customHeight="1" x14ac:dyDescent="0.25">
      <c r="A516" s="1">
        <v>200514</v>
      </c>
      <c r="B516" s="2">
        <v>45772</v>
      </c>
      <c r="C516" s="1">
        <v>32</v>
      </c>
      <c r="D516" s="1" t="s">
        <v>5</v>
      </c>
      <c r="E516" s="1">
        <v>955</v>
      </c>
      <c r="F516" t="str">
        <f>VLOOKUP(Tabla1[[#This Row],[IDProducto]],producto!$A$1:$C$33,2,FALSE)</f>
        <v>Producto_32</v>
      </c>
      <c r="G516" t="str">
        <f>VLOOKUP(Tabla1[[#This Row],[IDProducto]],producto!$A$1:$C$33,3,FALSE)</f>
        <v>Hogar</v>
      </c>
      <c r="H516" s="6" t="str">
        <f>VLOOKUP(Tabla1[[#This Row],[Estado]],Tabla3[#All],2,0)</f>
        <v>Centro</v>
      </c>
    </row>
    <row r="517" spans="1:8" ht="15.75" customHeight="1" x14ac:dyDescent="0.25">
      <c r="A517" s="1">
        <v>200515</v>
      </c>
      <c r="B517" s="2">
        <v>45837</v>
      </c>
      <c r="C517" s="1">
        <v>4</v>
      </c>
      <c r="D517" s="1" t="s">
        <v>12</v>
      </c>
      <c r="E517" s="1">
        <v>1084</v>
      </c>
      <c r="F517" t="str">
        <f>VLOOKUP(Tabla1[[#This Row],[IDProducto]],producto!$A$1:$C$33,2,FALSE)</f>
        <v>Producto_4</v>
      </c>
      <c r="G517" t="str">
        <f>VLOOKUP(Tabla1[[#This Row],[IDProducto]],producto!$A$1:$C$33,3,FALSE)</f>
        <v>Deportes</v>
      </c>
      <c r="H517" s="6" t="str">
        <f>VLOOKUP(Tabla1[[#This Row],[Estado]],Tabla3[#All],2,0)</f>
        <v>Centro</v>
      </c>
    </row>
    <row r="518" spans="1:8" ht="15.75" customHeight="1" x14ac:dyDescent="0.25">
      <c r="A518" s="1">
        <v>200516</v>
      </c>
      <c r="B518" s="2">
        <v>45658</v>
      </c>
      <c r="C518" s="1">
        <v>29</v>
      </c>
      <c r="D518" s="1" t="s">
        <v>5</v>
      </c>
      <c r="E518" s="1">
        <v>912</v>
      </c>
      <c r="F518" t="str">
        <f>VLOOKUP(Tabla1[[#This Row],[IDProducto]],producto!$A$1:$C$33,2,FALSE)</f>
        <v>Producto_29</v>
      </c>
      <c r="G518" t="str">
        <f>VLOOKUP(Tabla1[[#This Row],[IDProducto]],producto!$A$1:$C$33,3,FALSE)</f>
        <v>Electrónica</v>
      </c>
      <c r="H518" s="6" t="str">
        <f>VLOOKUP(Tabla1[[#This Row],[Estado]],Tabla3[#All],2,0)</f>
        <v>Centro</v>
      </c>
    </row>
    <row r="519" spans="1:8" ht="15.75" customHeight="1" x14ac:dyDescent="0.25">
      <c r="A519" s="1">
        <v>200517</v>
      </c>
      <c r="B519" s="2">
        <v>45681</v>
      </c>
      <c r="C519" s="1">
        <v>31</v>
      </c>
      <c r="D519" s="1" t="s">
        <v>6</v>
      </c>
      <c r="E519" s="1">
        <v>325</v>
      </c>
      <c r="F519" t="str">
        <f>VLOOKUP(Tabla1[[#This Row],[IDProducto]],producto!$A$1:$C$33,2,FALSE)</f>
        <v>Producto_31</v>
      </c>
      <c r="G519" t="str">
        <f>VLOOKUP(Tabla1[[#This Row],[IDProducto]],producto!$A$1:$C$33,3,FALSE)</f>
        <v>Deportes</v>
      </c>
      <c r="H519" s="6" t="str">
        <f>VLOOKUP(Tabla1[[#This Row],[Estado]],Tabla3[#All],2,0)</f>
        <v>Occidente</v>
      </c>
    </row>
    <row r="520" spans="1:8" ht="15.75" customHeight="1" x14ac:dyDescent="0.25">
      <c r="A520" s="1">
        <v>200518</v>
      </c>
      <c r="B520" s="2">
        <v>45740</v>
      </c>
      <c r="C520" s="1">
        <v>4</v>
      </c>
      <c r="D520" s="1" t="s">
        <v>7</v>
      </c>
      <c r="E520" s="1">
        <v>1039</v>
      </c>
      <c r="F520" t="str">
        <f>VLOOKUP(Tabla1[[#This Row],[IDProducto]],producto!$A$1:$C$33,2,FALSE)</f>
        <v>Producto_4</v>
      </c>
      <c r="G520" t="str">
        <f>VLOOKUP(Tabla1[[#This Row],[IDProducto]],producto!$A$1:$C$33,3,FALSE)</f>
        <v>Deportes</v>
      </c>
      <c r="H520" s="6" t="str">
        <f>VLOOKUP(Tabla1[[#This Row],[Estado]],Tabla3[#All],2,0)</f>
        <v>Norte</v>
      </c>
    </row>
    <row r="521" spans="1:8" ht="15.75" customHeight="1" x14ac:dyDescent="0.25">
      <c r="A521" s="1">
        <v>200519</v>
      </c>
      <c r="B521" s="2">
        <v>45813</v>
      </c>
      <c r="C521" s="1">
        <v>28</v>
      </c>
      <c r="D521" s="1" t="s">
        <v>12</v>
      </c>
      <c r="E521" s="1">
        <v>233</v>
      </c>
      <c r="F521" t="str">
        <f>VLOOKUP(Tabla1[[#This Row],[IDProducto]],producto!$A$1:$C$33,2,FALSE)</f>
        <v>Producto_28</v>
      </c>
      <c r="G521" t="str">
        <f>VLOOKUP(Tabla1[[#This Row],[IDProducto]],producto!$A$1:$C$33,3,FALSE)</f>
        <v>Hogar</v>
      </c>
      <c r="H521" s="6" t="str">
        <f>VLOOKUP(Tabla1[[#This Row],[Estado]],Tabla3[#All],2,0)</f>
        <v>Centro</v>
      </c>
    </row>
    <row r="522" spans="1:8" ht="15.75" customHeight="1" x14ac:dyDescent="0.25">
      <c r="A522" s="1">
        <v>200520</v>
      </c>
      <c r="B522" s="2">
        <v>45779</v>
      </c>
      <c r="C522" s="1">
        <v>30</v>
      </c>
      <c r="D522" s="1" t="s">
        <v>5</v>
      </c>
      <c r="E522" s="1">
        <v>1758</v>
      </c>
      <c r="F522" t="str">
        <f>VLOOKUP(Tabla1[[#This Row],[IDProducto]],producto!$A$1:$C$33,2,FALSE)</f>
        <v>Producto_30</v>
      </c>
      <c r="G522" t="str">
        <f>VLOOKUP(Tabla1[[#This Row],[IDProducto]],producto!$A$1:$C$33,3,FALSE)</f>
        <v>Hogar</v>
      </c>
      <c r="H522" s="6" t="str">
        <f>VLOOKUP(Tabla1[[#This Row],[Estado]],Tabla3[#All],2,0)</f>
        <v>Centro</v>
      </c>
    </row>
    <row r="523" spans="1:8" ht="15.75" customHeight="1" x14ac:dyDescent="0.25">
      <c r="A523" s="1">
        <v>200521</v>
      </c>
      <c r="B523" s="2">
        <v>45717</v>
      </c>
      <c r="C523" s="1">
        <v>14</v>
      </c>
      <c r="D523" s="1" t="s">
        <v>9</v>
      </c>
      <c r="E523" s="1">
        <v>1078</v>
      </c>
      <c r="F523" t="str">
        <f>VLOOKUP(Tabla1[[#This Row],[IDProducto]],producto!$A$1:$C$33,2,FALSE)</f>
        <v>Producto_14</v>
      </c>
      <c r="G523" t="str">
        <f>VLOOKUP(Tabla1[[#This Row],[IDProducto]],producto!$A$1:$C$33,3,FALSE)</f>
        <v>Hogar</v>
      </c>
      <c r="H523" s="6" t="str">
        <f>VLOOKUP(Tabla1[[#This Row],[Estado]],Tabla3[#All],2,0)</f>
        <v>Sur</v>
      </c>
    </row>
    <row r="524" spans="1:8" ht="15.75" customHeight="1" x14ac:dyDescent="0.25">
      <c r="A524" s="1">
        <v>200522</v>
      </c>
      <c r="B524" s="2">
        <v>45800</v>
      </c>
      <c r="C524" s="1">
        <v>14</v>
      </c>
      <c r="D524" s="1" t="s">
        <v>9</v>
      </c>
      <c r="E524" s="1">
        <v>341</v>
      </c>
      <c r="F524" t="str">
        <f>VLOOKUP(Tabla1[[#This Row],[IDProducto]],producto!$A$1:$C$33,2,FALSE)</f>
        <v>Producto_14</v>
      </c>
      <c r="G524" t="str">
        <f>VLOOKUP(Tabla1[[#This Row],[IDProducto]],producto!$A$1:$C$33,3,FALSE)</f>
        <v>Hogar</v>
      </c>
      <c r="H524" s="6" t="str">
        <f>VLOOKUP(Tabla1[[#This Row],[Estado]],Tabla3[#All],2,0)</f>
        <v>Sur</v>
      </c>
    </row>
    <row r="525" spans="1:8" ht="15.75" customHeight="1" x14ac:dyDescent="0.25">
      <c r="A525" s="1">
        <v>200523</v>
      </c>
      <c r="B525" s="2">
        <v>45660</v>
      </c>
      <c r="C525" s="1">
        <v>2</v>
      </c>
      <c r="D525" s="1" t="s">
        <v>9</v>
      </c>
      <c r="E525" s="1">
        <v>250</v>
      </c>
      <c r="F525" t="str">
        <f>VLOOKUP(Tabla1[[#This Row],[IDProducto]],producto!$A$1:$C$33,2,FALSE)</f>
        <v>Producto_2</v>
      </c>
      <c r="G525" t="str">
        <f>VLOOKUP(Tabla1[[#This Row],[IDProducto]],producto!$A$1:$C$33,3,FALSE)</f>
        <v>Deportes</v>
      </c>
      <c r="H525" s="6" t="str">
        <f>VLOOKUP(Tabla1[[#This Row],[Estado]],Tabla3[#All],2,0)</f>
        <v>Sur</v>
      </c>
    </row>
    <row r="526" spans="1:8" ht="15.75" customHeight="1" x14ac:dyDescent="0.25">
      <c r="A526" s="1">
        <v>200524</v>
      </c>
      <c r="B526" s="2">
        <v>45693</v>
      </c>
      <c r="C526" s="1">
        <v>27</v>
      </c>
      <c r="D526" s="1" t="s">
        <v>8</v>
      </c>
      <c r="E526" s="1">
        <v>904</v>
      </c>
      <c r="F526" t="str">
        <f>VLOOKUP(Tabla1[[#This Row],[IDProducto]],producto!$A$1:$C$33,2,FALSE)</f>
        <v>Producto_27</v>
      </c>
      <c r="G526" t="str">
        <f>VLOOKUP(Tabla1[[#This Row],[IDProducto]],producto!$A$1:$C$33,3,FALSE)</f>
        <v>Electrónica</v>
      </c>
      <c r="H526" s="6" t="str">
        <f>VLOOKUP(Tabla1[[#This Row],[Estado]],Tabla3[#All],2,0)</f>
        <v>Norte</v>
      </c>
    </row>
    <row r="527" spans="1:8" ht="15.75" customHeight="1" x14ac:dyDescent="0.25">
      <c r="A527" s="1">
        <v>200525</v>
      </c>
      <c r="B527" s="2">
        <v>45678</v>
      </c>
      <c r="C527" s="1">
        <v>17</v>
      </c>
      <c r="D527" s="1" t="s">
        <v>10</v>
      </c>
      <c r="E527" s="1">
        <v>419</v>
      </c>
      <c r="F527" t="str">
        <f>VLOOKUP(Tabla1[[#This Row],[IDProducto]],producto!$A$1:$C$33,2,FALSE)</f>
        <v>Producto_17</v>
      </c>
      <c r="G527" t="str">
        <f>VLOOKUP(Tabla1[[#This Row],[IDProducto]],producto!$A$1:$C$33,3,FALSE)</f>
        <v>Ropa</v>
      </c>
      <c r="H527" s="6" t="str">
        <f>VLOOKUP(Tabla1[[#This Row],[Estado]],Tabla3[#All],2,0)</f>
        <v>Centro</v>
      </c>
    </row>
    <row r="528" spans="1:8" ht="15.75" customHeight="1" x14ac:dyDescent="0.25">
      <c r="A528" s="1">
        <v>200526</v>
      </c>
      <c r="B528" s="2">
        <v>45687</v>
      </c>
      <c r="C528" s="1">
        <v>11</v>
      </c>
      <c r="D528" s="1" t="s">
        <v>10</v>
      </c>
      <c r="E528" s="1">
        <v>1728</v>
      </c>
      <c r="F528" t="str">
        <f>VLOOKUP(Tabla1[[#This Row],[IDProducto]],producto!$A$1:$C$33,2,FALSE)</f>
        <v>Producto_11</v>
      </c>
      <c r="G528" t="str">
        <f>VLOOKUP(Tabla1[[#This Row],[IDProducto]],producto!$A$1:$C$33,3,FALSE)</f>
        <v>Ropa</v>
      </c>
      <c r="H528" s="6" t="str">
        <f>VLOOKUP(Tabla1[[#This Row],[Estado]],Tabla3[#All],2,0)</f>
        <v>Centro</v>
      </c>
    </row>
    <row r="529" spans="1:8" ht="15.75" customHeight="1" x14ac:dyDescent="0.25">
      <c r="A529" s="1">
        <v>200527</v>
      </c>
      <c r="B529" s="2">
        <v>45695</v>
      </c>
      <c r="C529" s="1">
        <v>10</v>
      </c>
      <c r="D529" s="1" t="s">
        <v>10</v>
      </c>
      <c r="E529" s="1">
        <v>1253</v>
      </c>
      <c r="F529" t="str">
        <f>VLOOKUP(Tabla1[[#This Row],[IDProducto]],producto!$A$1:$C$33,2,FALSE)</f>
        <v>Producto_10</v>
      </c>
      <c r="G529" t="str">
        <f>VLOOKUP(Tabla1[[#This Row],[IDProducto]],producto!$A$1:$C$33,3,FALSE)</f>
        <v>Ropa</v>
      </c>
      <c r="H529" s="6" t="str">
        <f>VLOOKUP(Tabla1[[#This Row],[Estado]],Tabla3[#All],2,0)</f>
        <v>Centro</v>
      </c>
    </row>
    <row r="530" spans="1:8" ht="15.75" customHeight="1" x14ac:dyDescent="0.25">
      <c r="A530" s="1">
        <v>200528</v>
      </c>
      <c r="B530" s="2">
        <v>45748</v>
      </c>
      <c r="C530" s="1">
        <v>11</v>
      </c>
      <c r="D530" s="1" t="s">
        <v>6</v>
      </c>
      <c r="E530" s="1">
        <v>637</v>
      </c>
      <c r="F530" t="str">
        <f>VLOOKUP(Tabla1[[#This Row],[IDProducto]],producto!$A$1:$C$33,2,FALSE)</f>
        <v>Producto_11</v>
      </c>
      <c r="G530" t="str">
        <f>VLOOKUP(Tabla1[[#This Row],[IDProducto]],producto!$A$1:$C$33,3,FALSE)</f>
        <v>Ropa</v>
      </c>
      <c r="H530" s="6" t="str">
        <f>VLOOKUP(Tabla1[[#This Row],[Estado]],Tabla3[#All],2,0)</f>
        <v>Occidente</v>
      </c>
    </row>
    <row r="531" spans="1:8" ht="15.75" customHeight="1" x14ac:dyDescent="0.25">
      <c r="A531" s="1">
        <v>200529</v>
      </c>
      <c r="B531" s="2">
        <v>45833</v>
      </c>
      <c r="C531" s="1">
        <v>12</v>
      </c>
      <c r="D531" s="1" t="s">
        <v>6</v>
      </c>
      <c r="E531" s="1">
        <v>368</v>
      </c>
      <c r="F531" t="str">
        <f>VLOOKUP(Tabla1[[#This Row],[IDProducto]],producto!$A$1:$C$33,2,FALSE)</f>
        <v>Producto_12</v>
      </c>
      <c r="G531" t="str">
        <f>VLOOKUP(Tabla1[[#This Row],[IDProducto]],producto!$A$1:$C$33,3,FALSE)</f>
        <v>Hogar</v>
      </c>
      <c r="H531" s="6" t="str">
        <f>VLOOKUP(Tabla1[[#This Row],[Estado]],Tabla3[#All],2,0)</f>
        <v>Occidente</v>
      </c>
    </row>
    <row r="532" spans="1:8" ht="15.75" customHeight="1" x14ac:dyDescent="0.25">
      <c r="A532" s="1">
        <v>200530</v>
      </c>
      <c r="B532" s="2">
        <v>45686</v>
      </c>
      <c r="C532" s="1">
        <v>23</v>
      </c>
      <c r="D532" s="1" t="s">
        <v>10</v>
      </c>
      <c r="E532" s="1">
        <v>638</v>
      </c>
      <c r="F532" t="str">
        <f>VLOOKUP(Tabla1[[#This Row],[IDProducto]],producto!$A$1:$C$33,2,FALSE)</f>
        <v>Producto_23</v>
      </c>
      <c r="G532" t="str">
        <f>VLOOKUP(Tabla1[[#This Row],[IDProducto]],producto!$A$1:$C$33,3,FALSE)</f>
        <v>Deportes</v>
      </c>
      <c r="H532" s="6" t="str">
        <f>VLOOKUP(Tabla1[[#This Row],[Estado]],Tabla3[#All],2,0)</f>
        <v>Centro</v>
      </c>
    </row>
    <row r="533" spans="1:8" ht="15.75" customHeight="1" x14ac:dyDescent="0.25">
      <c r="A533" s="1">
        <v>200531</v>
      </c>
      <c r="B533" s="2">
        <v>45768</v>
      </c>
      <c r="C533" s="1">
        <v>28</v>
      </c>
      <c r="D533" s="1" t="s">
        <v>5</v>
      </c>
      <c r="E533" s="1">
        <v>757</v>
      </c>
      <c r="F533" t="str">
        <f>VLOOKUP(Tabla1[[#This Row],[IDProducto]],producto!$A$1:$C$33,2,FALSE)</f>
        <v>Producto_28</v>
      </c>
      <c r="G533" t="str">
        <f>VLOOKUP(Tabla1[[#This Row],[IDProducto]],producto!$A$1:$C$33,3,FALSE)</f>
        <v>Hogar</v>
      </c>
      <c r="H533" s="6" t="str">
        <f>VLOOKUP(Tabla1[[#This Row],[Estado]],Tabla3[#All],2,0)</f>
        <v>Centro</v>
      </c>
    </row>
    <row r="534" spans="1:8" ht="15.75" customHeight="1" x14ac:dyDescent="0.25">
      <c r="A534" s="1">
        <v>200532</v>
      </c>
      <c r="B534" s="2">
        <v>45786</v>
      </c>
      <c r="C534" s="1">
        <v>22</v>
      </c>
      <c r="D534" s="1" t="s">
        <v>12</v>
      </c>
      <c r="E534" s="1">
        <v>388</v>
      </c>
      <c r="F534" t="str">
        <f>VLOOKUP(Tabla1[[#This Row],[IDProducto]],producto!$A$1:$C$33,2,FALSE)</f>
        <v>Producto_22</v>
      </c>
      <c r="G534" t="str">
        <f>VLOOKUP(Tabla1[[#This Row],[IDProducto]],producto!$A$1:$C$33,3,FALSE)</f>
        <v>Hogar</v>
      </c>
      <c r="H534" s="6" t="str">
        <f>VLOOKUP(Tabla1[[#This Row],[Estado]],Tabla3[#All],2,0)</f>
        <v>Centro</v>
      </c>
    </row>
    <row r="535" spans="1:8" ht="15.75" customHeight="1" x14ac:dyDescent="0.25">
      <c r="A535" s="1">
        <v>200533</v>
      </c>
      <c r="B535" s="2">
        <v>45785</v>
      </c>
      <c r="C535" s="1">
        <v>6</v>
      </c>
      <c r="D535" s="1" t="s">
        <v>5</v>
      </c>
      <c r="E535" s="1">
        <v>309</v>
      </c>
      <c r="F535" t="str">
        <f>VLOOKUP(Tabla1[[#This Row],[IDProducto]],producto!$A$1:$C$33,2,FALSE)</f>
        <v>Producto_6</v>
      </c>
      <c r="G535" t="str">
        <f>VLOOKUP(Tabla1[[#This Row],[IDProducto]],producto!$A$1:$C$33,3,FALSE)</f>
        <v>Electrónica</v>
      </c>
      <c r="H535" s="6" t="str">
        <f>VLOOKUP(Tabla1[[#This Row],[Estado]],Tabla3[#All],2,0)</f>
        <v>Centro</v>
      </c>
    </row>
    <row r="536" spans="1:8" ht="15.75" customHeight="1" x14ac:dyDescent="0.25">
      <c r="A536" s="1">
        <v>200534</v>
      </c>
      <c r="B536" s="2">
        <v>45750</v>
      </c>
      <c r="C536" s="1">
        <v>24</v>
      </c>
      <c r="D536" s="1" t="s">
        <v>5</v>
      </c>
      <c r="E536" s="1">
        <v>1324</v>
      </c>
      <c r="F536" t="str">
        <f>VLOOKUP(Tabla1[[#This Row],[IDProducto]],producto!$A$1:$C$33,2,FALSE)</f>
        <v>Producto_24</v>
      </c>
      <c r="G536" t="str">
        <f>VLOOKUP(Tabla1[[#This Row],[IDProducto]],producto!$A$1:$C$33,3,FALSE)</f>
        <v>Ropa</v>
      </c>
      <c r="H536" s="6" t="str">
        <f>VLOOKUP(Tabla1[[#This Row],[Estado]],Tabla3[#All],2,0)</f>
        <v>Centro</v>
      </c>
    </row>
    <row r="537" spans="1:8" ht="15.75" customHeight="1" x14ac:dyDescent="0.25">
      <c r="A537" s="1">
        <v>200535</v>
      </c>
      <c r="B537" s="2">
        <v>45667</v>
      </c>
      <c r="C537" s="1">
        <v>6</v>
      </c>
      <c r="D537" s="1" t="s">
        <v>10</v>
      </c>
      <c r="E537" s="1">
        <v>467</v>
      </c>
      <c r="F537" t="str">
        <f>VLOOKUP(Tabla1[[#This Row],[IDProducto]],producto!$A$1:$C$33,2,FALSE)</f>
        <v>Producto_6</v>
      </c>
      <c r="G537" t="str">
        <f>VLOOKUP(Tabla1[[#This Row],[IDProducto]],producto!$A$1:$C$33,3,FALSE)</f>
        <v>Electrónica</v>
      </c>
      <c r="H537" s="6" t="str">
        <f>VLOOKUP(Tabla1[[#This Row],[Estado]],Tabla3[#All],2,0)</f>
        <v>Centro</v>
      </c>
    </row>
    <row r="538" spans="1:8" ht="15.75" customHeight="1" x14ac:dyDescent="0.25">
      <c r="A538" s="1">
        <v>200536</v>
      </c>
      <c r="B538" s="2">
        <v>45771</v>
      </c>
      <c r="C538" s="1">
        <v>1</v>
      </c>
      <c r="D538" s="1" t="s">
        <v>8</v>
      </c>
      <c r="E538" s="1">
        <v>1459</v>
      </c>
      <c r="F538" t="str">
        <f>VLOOKUP(Tabla1[[#This Row],[IDProducto]],producto!$A$1:$C$33,2,FALSE)</f>
        <v>Producto_1</v>
      </c>
      <c r="G538" t="str">
        <f>VLOOKUP(Tabla1[[#This Row],[IDProducto]],producto!$A$1:$C$33,3,FALSE)</f>
        <v>Hogar</v>
      </c>
      <c r="H538" s="6" t="str">
        <f>VLOOKUP(Tabla1[[#This Row],[Estado]],Tabla3[#All],2,0)</f>
        <v>Norte</v>
      </c>
    </row>
    <row r="539" spans="1:8" ht="15.75" customHeight="1" x14ac:dyDescent="0.25">
      <c r="A539" s="1">
        <v>200537</v>
      </c>
      <c r="B539" s="2">
        <v>45768</v>
      </c>
      <c r="C539" s="1">
        <v>28</v>
      </c>
      <c r="D539" s="1" t="s">
        <v>10</v>
      </c>
      <c r="E539" s="1">
        <v>1960</v>
      </c>
      <c r="F539" t="str">
        <f>VLOOKUP(Tabla1[[#This Row],[IDProducto]],producto!$A$1:$C$33,2,FALSE)</f>
        <v>Producto_28</v>
      </c>
      <c r="G539" t="str">
        <f>VLOOKUP(Tabla1[[#This Row],[IDProducto]],producto!$A$1:$C$33,3,FALSE)</f>
        <v>Hogar</v>
      </c>
      <c r="H539" s="6" t="str">
        <f>VLOOKUP(Tabla1[[#This Row],[Estado]],Tabla3[#All],2,0)</f>
        <v>Centro</v>
      </c>
    </row>
    <row r="540" spans="1:8" ht="15.75" customHeight="1" x14ac:dyDescent="0.25">
      <c r="A540" s="1">
        <v>200538</v>
      </c>
      <c r="B540" s="2">
        <v>45728</v>
      </c>
      <c r="C540" s="1">
        <v>12</v>
      </c>
      <c r="D540" s="1" t="s">
        <v>7</v>
      </c>
      <c r="E540" s="1">
        <v>1881</v>
      </c>
      <c r="F540" t="str">
        <f>VLOOKUP(Tabla1[[#This Row],[IDProducto]],producto!$A$1:$C$33,2,FALSE)</f>
        <v>Producto_12</v>
      </c>
      <c r="G540" t="str">
        <f>VLOOKUP(Tabla1[[#This Row],[IDProducto]],producto!$A$1:$C$33,3,FALSE)</f>
        <v>Hogar</v>
      </c>
      <c r="H540" s="6" t="str">
        <f>VLOOKUP(Tabla1[[#This Row],[Estado]],Tabla3[#All],2,0)</f>
        <v>Norte</v>
      </c>
    </row>
    <row r="541" spans="1:8" ht="15.75" customHeight="1" x14ac:dyDescent="0.25">
      <c r="A541" s="1">
        <v>200539</v>
      </c>
      <c r="B541" s="2">
        <v>45706</v>
      </c>
      <c r="C541" s="1">
        <v>19</v>
      </c>
      <c r="D541" s="1" t="s">
        <v>8</v>
      </c>
      <c r="E541" s="1">
        <v>899</v>
      </c>
      <c r="F541" t="str">
        <f>VLOOKUP(Tabla1[[#This Row],[IDProducto]],producto!$A$1:$C$33,2,FALSE)</f>
        <v>Producto_19</v>
      </c>
      <c r="G541" t="str">
        <f>VLOOKUP(Tabla1[[#This Row],[IDProducto]],producto!$A$1:$C$33,3,FALSE)</f>
        <v>Ropa</v>
      </c>
      <c r="H541" s="6" t="str">
        <f>VLOOKUP(Tabla1[[#This Row],[Estado]],Tabla3[#All],2,0)</f>
        <v>Norte</v>
      </c>
    </row>
    <row r="542" spans="1:8" ht="15.75" customHeight="1" x14ac:dyDescent="0.25">
      <c r="A542" s="1">
        <v>200540</v>
      </c>
      <c r="B542" s="2">
        <v>45671</v>
      </c>
      <c r="C542" s="1">
        <v>11</v>
      </c>
      <c r="D542" s="1" t="s">
        <v>11</v>
      </c>
      <c r="E542" s="1">
        <v>181</v>
      </c>
      <c r="F542" t="str">
        <f>VLOOKUP(Tabla1[[#This Row],[IDProducto]],producto!$A$1:$C$33,2,FALSE)</f>
        <v>Producto_11</v>
      </c>
      <c r="G542" t="str">
        <f>VLOOKUP(Tabla1[[#This Row],[IDProducto]],producto!$A$1:$C$33,3,FALSE)</f>
        <v>Ropa</v>
      </c>
      <c r="H542" s="6" t="str">
        <f>VLOOKUP(Tabla1[[#This Row],[Estado]],Tabla3[#All],2,0)</f>
        <v>Occidente</v>
      </c>
    </row>
    <row r="543" spans="1:8" ht="15.75" customHeight="1" x14ac:dyDescent="0.25">
      <c r="A543" s="1">
        <v>200541</v>
      </c>
      <c r="B543" s="2">
        <v>45767</v>
      </c>
      <c r="C543" s="1">
        <v>23</v>
      </c>
      <c r="D543" s="1" t="s">
        <v>5</v>
      </c>
      <c r="E543" s="1">
        <v>1183</v>
      </c>
      <c r="F543" t="str">
        <f>VLOOKUP(Tabla1[[#This Row],[IDProducto]],producto!$A$1:$C$33,2,FALSE)</f>
        <v>Producto_23</v>
      </c>
      <c r="G543" t="str">
        <f>VLOOKUP(Tabla1[[#This Row],[IDProducto]],producto!$A$1:$C$33,3,FALSE)</f>
        <v>Deportes</v>
      </c>
      <c r="H543" s="6" t="str">
        <f>VLOOKUP(Tabla1[[#This Row],[Estado]],Tabla3[#All],2,0)</f>
        <v>Centro</v>
      </c>
    </row>
    <row r="544" spans="1:8" ht="15.75" customHeight="1" x14ac:dyDescent="0.25">
      <c r="A544" s="1">
        <v>200542</v>
      </c>
      <c r="B544" s="2">
        <v>45732</v>
      </c>
      <c r="C544" s="1">
        <v>28</v>
      </c>
      <c r="D544" s="1" t="s">
        <v>5</v>
      </c>
      <c r="E544" s="1">
        <v>1365</v>
      </c>
      <c r="F544" t="str">
        <f>VLOOKUP(Tabla1[[#This Row],[IDProducto]],producto!$A$1:$C$33,2,FALSE)</f>
        <v>Producto_28</v>
      </c>
      <c r="G544" t="str">
        <f>VLOOKUP(Tabla1[[#This Row],[IDProducto]],producto!$A$1:$C$33,3,FALSE)</f>
        <v>Hogar</v>
      </c>
      <c r="H544" s="6" t="str">
        <f>VLOOKUP(Tabla1[[#This Row],[Estado]],Tabla3[#All],2,0)</f>
        <v>Centro</v>
      </c>
    </row>
    <row r="545" spans="1:8" ht="15.75" customHeight="1" x14ac:dyDescent="0.25">
      <c r="A545" s="1">
        <v>200543</v>
      </c>
      <c r="B545" s="2">
        <v>45697</v>
      </c>
      <c r="C545" s="1">
        <v>28</v>
      </c>
      <c r="D545" s="1" t="s">
        <v>11</v>
      </c>
      <c r="E545" s="1">
        <v>446</v>
      </c>
      <c r="F545" t="str">
        <f>VLOOKUP(Tabla1[[#This Row],[IDProducto]],producto!$A$1:$C$33,2,FALSE)</f>
        <v>Producto_28</v>
      </c>
      <c r="G545" t="str">
        <f>VLOOKUP(Tabla1[[#This Row],[IDProducto]],producto!$A$1:$C$33,3,FALSE)</f>
        <v>Hogar</v>
      </c>
      <c r="H545" s="6" t="str">
        <f>VLOOKUP(Tabla1[[#This Row],[Estado]],Tabla3[#All],2,0)</f>
        <v>Occidente</v>
      </c>
    </row>
    <row r="546" spans="1:8" ht="15.75" customHeight="1" x14ac:dyDescent="0.25">
      <c r="A546" s="1">
        <v>200544</v>
      </c>
      <c r="B546" s="2">
        <v>45832</v>
      </c>
      <c r="C546" s="1">
        <v>18</v>
      </c>
      <c r="D546" s="1" t="s">
        <v>7</v>
      </c>
      <c r="E546" s="1">
        <v>753</v>
      </c>
      <c r="F546" t="str">
        <f>VLOOKUP(Tabla1[[#This Row],[IDProducto]],producto!$A$1:$C$33,2,FALSE)</f>
        <v>Producto_18</v>
      </c>
      <c r="G546" t="str">
        <f>VLOOKUP(Tabla1[[#This Row],[IDProducto]],producto!$A$1:$C$33,3,FALSE)</f>
        <v>Ropa</v>
      </c>
      <c r="H546" s="6" t="str">
        <f>VLOOKUP(Tabla1[[#This Row],[Estado]],Tabla3[#All],2,0)</f>
        <v>Norte</v>
      </c>
    </row>
    <row r="547" spans="1:8" ht="15.75" customHeight="1" x14ac:dyDescent="0.25">
      <c r="A547" s="1">
        <v>200545</v>
      </c>
      <c r="B547" s="2">
        <v>45755</v>
      </c>
      <c r="C547" s="1">
        <v>6</v>
      </c>
      <c r="D547" s="1" t="s">
        <v>8</v>
      </c>
      <c r="E547" s="1">
        <v>478</v>
      </c>
      <c r="F547" t="str">
        <f>VLOOKUP(Tabla1[[#This Row],[IDProducto]],producto!$A$1:$C$33,2,FALSE)</f>
        <v>Producto_6</v>
      </c>
      <c r="G547" t="str">
        <f>VLOOKUP(Tabla1[[#This Row],[IDProducto]],producto!$A$1:$C$33,3,FALSE)</f>
        <v>Electrónica</v>
      </c>
      <c r="H547" s="6" t="str">
        <f>VLOOKUP(Tabla1[[#This Row],[Estado]],Tabla3[#All],2,0)</f>
        <v>Norte</v>
      </c>
    </row>
    <row r="548" spans="1:8" ht="15.75" customHeight="1" x14ac:dyDescent="0.25">
      <c r="A548" s="1">
        <v>200546</v>
      </c>
      <c r="B548" s="2">
        <v>45835</v>
      </c>
      <c r="C548" s="1">
        <v>8</v>
      </c>
      <c r="D548" s="1" t="s">
        <v>12</v>
      </c>
      <c r="E548" s="1">
        <v>349</v>
      </c>
      <c r="F548" t="str">
        <f>VLOOKUP(Tabla1[[#This Row],[IDProducto]],producto!$A$1:$C$33,2,FALSE)</f>
        <v>Producto_8</v>
      </c>
      <c r="G548" t="str">
        <f>VLOOKUP(Tabla1[[#This Row],[IDProducto]],producto!$A$1:$C$33,3,FALSE)</f>
        <v>Electrónica</v>
      </c>
      <c r="H548" s="6" t="str">
        <f>VLOOKUP(Tabla1[[#This Row],[Estado]],Tabla3[#All],2,0)</f>
        <v>Centro</v>
      </c>
    </row>
    <row r="549" spans="1:8" ht="15.75" customHeight="1" x14ac:dyDescent="0.25">
      <c r="A549" s="1">
        <v>200547</v>
      </c>
      <c r="B549" s="2">
        <v>45800</v>
      </c>
      <c r="C549" s="1">
        <v>20</v>
      </c>
      <c r="D549" s="1" t="s">
        <v>12</v>
      </c>
      <c r="E549" s="1">
        <v>1968</v>
      </c>
      <c r="F549" t="str">
        <f>VLOOKUP(Tabla1[[#This Row],[IDProducto]],producto!$A$1:$C$33,2,FALSE)</f>
        <v>Producto_20</v>
      </c>
      <c r="G549" t="str">
        <f>VLOOKUP(Tabla1[[#This Row],[IDProducto]],producto!$A$1:$C$33,3,FALSE)</f>
        <v>Deportes</v>
      </c>
      <c r="H549" s="6" t="str">
        <f>VLOOKUP(Tabla1[[#This Row],[Estado]],Tabla3[#All],2,0)</f>
        <v>Centro</v>
      </c>
    </row>
    <row r="550" spans="1:8" ht="15.75" customHeight="1" x14ac:dyDescent="0.25">
      <c r="A550" s="1">
        <v>200548</v>
      </c>
      <c r="B550" s="2">
        <v>45702</v>
      </c>
      <c r="C550" s="1">
        <v>24</v>
      </c>
      <c r="D550" s="1" t="s">
        <v>9</v>
      </c>
      <c r="E550" s="1">
        <v>1583</v>
      </c>
      <c r="F550" t="str">
        <f>VLOOKUP(Tabla1[[#This Row],[IDProducto]],producto!$A$1:$C$33,2,FALSE)</f>
        <v>Producto_24</v>
      </c>
      <c r="G550" t="str">
        <f>VLOOKUP(Tabla1[[#This Row],[IDProducto]],producto!$A$1:$C$33,3,FALSE)</f>
        <v>Ropa</v>
      </c>
      <c r="H550" s="6" t="str">
        <f>VLOOKUP(Tabla1[[#This Row],[Estado]],Tabla3[#All],2,0)</f>
        <v>Sur</v>
      </c>
    </row>
    <row r="551" spans="1:8" ht="15.75" customHeight="1" x14ac:dyDescent="0.25">
      <c r="A551" s="1">
        <v>200549</v>
      </c>
      <c r="B551" s="2">
        <v>45751</v>
      </c>
      <c r="C551" s="1">
        <v>23</v>
      </c>
      <c r="D551" s="1" t="s">
        <v>5</v>
      </c>
      <c r="E551" s="1">
        <v>229</v>
      </c>
      <c r="F551" t="str">
        <f>VLOOKUP(Tabla1[[#This Row],[IDProducto]],producto!$A$1:$C$33,2,FALSE)</f>
        <v>Producto_23</v>
      </c>
      <c r="G551" t="str">
        <f>VLOOKUP(Tabla1[[#This Row],[IDProducto]],producto!$A$1:$C$33,3,FALSE)</f>
        <v>Deportes</v>
      </c>
      <c r="H551" s="6" t="str">
        <f>VLOOKUP(Tabla1[[#This Row],[Estado]],Tabla3[#All],2,0)</f>
        <v>Centro</v>
      </c>
    </row>
    <row r="552" spans="1:8" ht="15.75" customHeight="1" x14ac:dyDescent="0.25">
      <c r="A552" s="1">
        <v>200550</v>
      </c>
      <c r="B552" s="2">
        <v>45728</v>
      </c>
      <c r="C552" s="1">
        <v>1</v>
      </c>
      <c r="D552" s="1" t="s">
        <v>5</v>
      </c>
      <c r="E552" s="1">
        <v>279</v>
      </c>
      <c r="F552" t="str">
        <f>VLOOKUP(Tabla1[[#This Row],[IDProducto]],producto!$A$1:$C$33,2,FALSE)</f>
        <v>Producto_1</v>
      </c>
      <c r="G552" t="str">
        <f>VLOOKUP(Tabla1[[#This Row],[IDProducto]],producto!$A$1:$C$33,3,FALSE)</f>
        <v>Hogar</v>
      </c>
      <c r="H552" s="6" t="str">
        <f>VLOOKUP(Tabla1[[#This Row],[Estado]],Tabla3[#All],2,0)</f>
        <v>Centro</v>
      </c>
    </row>
    <row r="553" spans="1:8" ht="15.75" customHeight="1" x14ac:dyDescent="0.25">
      <c r="A553" s="1">
        <v>200551</v>
      </c>
      <c r="B553" s="2">
        <v>45805</v>
      </c>
      <c r="C553" s="1">
        <v>12</v>
      </c>
      <c r="D553" s="1" t="s">
        <v>11</v>
      </c>
      <c r="E553" s="1">
        <v>1152</v>
      </c>
      <c r="F553" t="str">
        <f>VLOOKUP(Tabla1[[#This Row],[IDProducto]],producto!$A$1:$C$33,2,FALSE)</f>
        <v>Producto_12</v>
      </c>
      <c r="G553" t="str">
        <f>VLOOKUP(Tabla1[[#This Row],[IDProducto]],producto!$A$1:$C$33,3,FALSE)</f>
        <v>Hogar</v>
      </c>
      <c r="H553" s="6" t="str">
        <f>VLOOKUP(Tabla1[[#This Row],[Estado]],Tabla3[#All],2,0)</f>
        <v>Occidente</v>
      </c>
    </row>
    <row r="554" spans="1:8" ht="15.75" customHeight="1" x14ac:dyDescent="0.25">
      <c r="A554" s="1">
        <v>200552</v>
      </c>
      <c r="B554" s="2">
        <v>45693</v>
      </c>
      <c r="C554" s="1">
        <v>32</v>
      </c>
      <c r="D554" s="1" t="s">
        <v>8</v>
      </c>
      <c r="E554" s="1">
        <v>529</v>
      </c>
      <c r="F554" t="str">
        <f>VLOOKUP(Tabla1[[#This Row],[IDProducto]],producto!$A$1:$C$33,2,FALSE)</f>
        <v>Producto_32</v>
      </c>
      <c r="G554" t="str">
        <f>VLOOKUP(Tabla1[[#This Row],[IDProducto]],producto!$A$1:$C$33,3,FALSE)</f>
        <v>Hogar</v>
      </c>
      <c r="H554" s="6" t="str">
        <f>VLOOKUP(Tabla1[[#This Row],[Estado]],Tabla3[#All],2,0)</f>
        <v>Norte</v>
      </c>
    </row>
    <row r="555" spans="1:8" ht="15.75" customHeight="1" x14ac:dyDescent="0.25">
      <c r="A555" s="1">
        <v>200553</v>
      </c>
      <c r="B555" s="2">
        <v>45815</v>
      </c>
      <c r="C555" s="1">
        <v>22</v>
      </c>
      <c r="D555" s="1" t="s">
        <v>11</v>
      </c>
      <c r="E555" s="1">
        <v>1675</v>
      </c>
      <c r="F555" t="str">
        <f>VLOOKUP(Tabla1[[#This Row],[IDProducto]],producto!$A$1:$C$33,2,FALSE)</f>
        <v>Producto_22</v>
      </c>
      <c r="G555" t="str">
        <f>VLOOKUP(Tabla1[[#This Row],[IDProducto]],producto!$A$1:$C$33,3,FALSE)</f>
        <v>Hogar</v>
      </c>
      <c r="H555" s="6" t="str">
        <f>VLOOKUP(Tabla1[[#This Row],[Estado]],Tabla3[#All],2,0)</f>
        <v>Occidente</v>
      </c>
    </row>
    <row r="556" spans="1:8" ht="15.75" customHeight="1" x14ac:dyDescent="0.25">
      <c r="A556" s="1">
        <v>200554</v>
      </c>
      <c r="B556" s="2">
        <v>45771</v>
      </c>
      <c r="C556" s="1">
        <v>18</v>
      </c>
      <c r="D556" s="1" t="s">
        <v>11</v>
      </c>
      <c r="E556" s="1">
        <v>1818</v>
      </c>
      <c r="F556" t="str">
        <f>VLOOKUP(Tabla1[[#This Row],[IDProducto]],producto!$A$1:$C$33,2,FALSE)</f>
        <v>Producto_18</v>
      </c>
      <c r="G556" t="str">
        <f>VLOOKUP(Tabla1[[#This Row],[IDProducto]],producto!$A$1:$C$33,3,FALSE)</f>
        <v>Ropa</v>
      </c>
      <c r="H556" s="6" t="str">
        <f>VLOOKUP(Tabla1[[#This Row],[Estado]],Tabla3[#All],2,0)</f>
        <v>Occidente</v>
      </c>
    </row>
    <row r="557" spans="1:8" ht="15.75" customHeight="1" x14ac:dyDescent="0.25">
      <c r="A557" s="1">
        <v>200555</v>
      </c>
      <c r="B557" s="2">
        <v>45693</v>
      </c>
      <c r="C557" s="1">
        <v>27</v>
      </c>
      <c r="D557" s="1" t="s">
        <v>11</v>
      </c>
      <c r="E557" s="1">
        <v>1179</v>
      </c>
      <c r="F557" t="str">
        <f>VLOOKUP(Tabla1[[#This Row],[IDProducto]],producto!$A$1:$C$33,2,FALSE)</f>
        <v>Producto_27</v>
      </c>
      <c r="G557" t="str">
        <f>VLOOKUP(Tabla1[[#This Row],[IDProducto]],producto!$A$1:$C$33,3,FALSE)</f>
        <v>Electrónica</v>
      </c>
      <c r="H557" s="6" t="str">
        <f>VLOOKUP(Tabla1[[#This Row],[Estado]],Tabla3[#All],2,0)</f>
        <v>Occidente</v>
      </c>
    </row>
    <row r="558" spans="1:8" ht="15.75" customHeight="1" x14ac:dyDescent="0.25">
      <c r="A558" s="1">
        <v>200556</v>
      </c>
      <c r="B558" s="2">
        <v>45777</v>
      </c>
      <c r="C558" s="1">
        <v>25</v>
      </c>
      <c r="D558" s="1" t="s">
        <v>10</v>
      </c>
      <c r="E558" s="1">
        <v>1650</v>
      </c>
      <c r="F558" t="str">
        <f>VLOOKUP(Tabla1[[#This Row],[IDProducto]],producto!$A$1:$C$33,2,FALSE)</f>
        <v>Producto_25</v>
      </c>
      <c r="G558" t="str">
        <f>VLOOKUP(Tabla1[[#This Row],[IDProducto]],producto!$A$1:$C$33,3,FALSE)</f>
        <v>Electrónica</v>
      </c>
      <c r="H558" s="6" t="str">
        <f>VLOOKUP(Tabla1[[#This Row],[Estado]],Tabla3[#All],2,0)</f>
        <v>Centro</v>
      </c>
    </row>
    <row r="559" spans="1:8" ht="15.75" customHeight="1" x14ac:dyDescent="0.25">
      <c r="A559" s="1">
        <v>200557</v>
      </c>
      <c r="B559" s="2">
        <v>45783</v>
      </c>
      <c r="C559" s="1">
        <v>26</v>
      </c>
      <c r="D559" s="1" t="s">
        <v>10</v>
      </c>
      <c r="E559" s="1">
        <v>319</v>
      </c>
      <c r="F559" t="str">
        <f>VLOOKUP(Tabla1[[#This Row],[IDProducto]],producto!$A$1:$C$33,2,FALSE)</f>
        <v>Producto_26</v>
      </c>
      <c r="G559" t="str">
        <f>VLOOKUP(Tabla1[[#This Row],[IDProducto]],producto!$A$1:$C$33,3,FALSE)</f>
        <v>Hogar</v>
      </c>
      <c r="H559" s="6" t="str">
        <f>VLOOKUP(Tabla1[[#This Row],[Estado]],Tabla3[#All],2,0)</f>
        <v>Centro</v>
      </c>
    </row>
    <row r="560" spans="1:8" ht="15.75" customHeight="1" x14ac:dyDescent="0.25">
      <c r="A560" s="1">
        <v>200558</v>
      </c>
      <c r="B560" s="2">
        <v>45794</v>
      </c>
      <c r="C560" s="1">
        <v>8</v>
      </c>
      <c r="D560" s="1" t="s">
        <v>10</v>
      </c>
      <c r="E560" s="1">
        <v>1446</v>
      </c>
      <c r="F560" t="str">
        <f>VLOOKUP(Tabla1[[#This Row],[IDProducto]],producto!$A$1:$C$33,2,FALSE)</f>
        <v>Producto_8</v>
      </c>
      <c r="G560" t="str">
        <f>VLOOKUP(Tabla1[[#This Row],[IDProducto]],producto!$A$1:$C$33,3,FALSE)</f>
        <v>Electrónica</v>
      </c>
      <c r="H560" s="6" t="str">
        <f>VLOOKUP(Tabla1[[#This Row],[Estado]],Tabla3[#All],2,0)</f>
        <v>Centro</v>
      </c>
    </row>
    <row r="561" spans="1:8" ht="15.75" customHeight="1" x14ac:dyDescent="0.25">
      <c r="A561" s="1">
        <v>200559</v>
      </c>
      <c r="B561" s="2">
        <v>45728</v>
      </c>
      <c r="C561" s="1">
        <v>15</v>
      </c>
      <c r="D561" s="1" t="s">
        <v>11</v>
      </c>
      <c r="E561" s="1">
        <v>931</v>
      </c>
      <c r="F561" t="str">
        <f>VLOOKUP(Tabla1[[#This Row],[IDProducto]],producto!$A$1:$C$33,2,FALSE)</f>
        <v>Producto_15</v>
      </c>
      <c r="G561" t="str">
        <f>VLOOKUP(Tabla1[[#This Row],[IDProducto]],producto!$A$1:$C$33,3,FALSE)</f>
        <v>Hogar</v>
      </c>
      <c r="H561" s="6" t="str">
        <f>VLOOKUP(Tabla1[[#This Row],[Estado]],Tabla3[#All],2,0)</f>
        <v>Occidente</v>
      </c>
    </row>
    <row r="562" spans="1:8" ht="15.75" customHeight="1" x14ac:dyDescent="0.25">
      <c r="A562" s="1">
        <v>200560</v>
      </c>
      <c r="B562" s="2">
        <v>45798</v>
      </c>
      <c r="C562" s="1">
        <v>28</v>
      </c>
      <c r="D562" s="1" t="s">
        <v>10</v>
      </c>
      <c r="E562" s="1">
        <v>1383</v>
      </c>
      <c r="F562" t="str">
        <f>VLOOKUP(Tabla1[[#This Row],[IDProducto]],producto!$A$1:$C$33,2,FALSE)</f>
        <v>Producto_28</v>
      </c>
      <c r="G562" t="str">
        <f>VLOOKUP(Tabla1[[#This Row],[IDProducto]],producto!$A$1:$C$33,3,FALSE)</f>
        <v>Hogar</v>
      </c>
      <c r="H562" s="6" t="str">
        <f>VLOOKUP(Tabla1[[#This Row],[Estado]],Tabla3[#All],2,0)</f>
        <v>Centro</v>
      </c>
    </row>
    <row r="563" spans="1:8" ht="15.75" customHeight="1" x14ac:dyDescent="0.25">
      <c r="A563" s="1">
        <v>200561</v>
      </c>
      <c r="B563" s="2">
        <v>45668</v>
      </c>
      <c r="C563" s="1">
        <v>14</v>
      </c>
      <c r="D563" s="1" t="s">
        <v>7</v>
      </c>
      <c r="E563" s="1">
        <v>1524</v>
      </c>
      <c r="F563" t="str">
        <f>VLOOKUP(Tabla1[[#This Row],[IDProducto]],producto!$A$1:$C$33,2,FALSE)</f>
        <v>Producto_14</v>
      </c>
      <c r="G563" t="str">
        <f>VLOOKUP(Tabla1[[#This Row],[IDProducto]],producto!$A$1:$C$33,3,FALSE)</f>
        <v>Hogar</v>
      </c>
      <c r="H563" s="6" t="str">
        <f>VLOOKUP(Tabla1[[#This Row],[Estado]],Tabla3[#All],2,0)</f>
        <v>Norte</v>
      </c>
    </row>
    <row r="564" spans="1:8" ht="15.75" customHeight="1" x14ac:dyDescent="0.25">
      <c r="A564" s="1">
        <v>200562</v>
      </c>
      <c r="B564" s="2">
        <v>45830</v>
      </c>
      <c r="C564" s="1">
        <v>23</v>
      </c>
      <c r="D564" s="1" t="s">
        <v>12</v>
      </c>
      <c r="E564" s="1">
        <v>129</v>
      </c>
      <c r="F564" t="str">
        <f>VLOOKUP(Tabla1[[#This Row],[IDProducto]],producto!$A$1:$C$33,2,FALSE)</f>
        <v>Producto_23</v>
      </c>
      <c r="G564" t="str">
        <f>VLOOKUP(Tabla1[[#This Row],[IDProducto]],producto!$A$1:$C$33,3,FALSE)</f>
        <v>Deportes</v>
      </c>
      <c r="H564" s="6" t="str">
        <f>VLOOKUP(Tabla1[[#This Row],[Estado]],Tabla3[#All],2,0)</f>
        <v>Centro</v>
      </c>
    </row>
    <row r="565" spans="1:8" ht="15.75" customHeight="1" x14ac:dyDescent="0.25">
      <c r="A565" s="1">
        <v>200563</v>
      </c>
      <c r="B565" s="2">
        <v>45820</v>
      </c>
      <c r="C565" s="1">
        <v>24</v>
      </c>
      <c r="D565" s="1" t="s">
        <v>9</v>
      </c>
      <c r="E565" s="1">
        <v>123</v>
      </c>
      <c r="F565" t="str">
        <f>VLOOKUP(Tabla1[[#This Row],[IDProducto]],producto!$A$1:$C$33,2,FALSE)</f>
        <v>Producto_24</v>
      </c>
      <c r="G565" t="str">
        <f>VLOOKUP(Tabla1[[#This Row],[IDProducto]],producto!$A$1:$C$33,3,FALSE)</f>
        <v>Ropa</v>
      </c>
      <c r="H565" s="6" t="str">
        <f>VLOOKUP(Tabla1[[#This Row],[Estado]],Tabla3[#All],2,0)</f>
        <v>Sur</v>
      </c>
    </row>
    <row r="566" spans="1:8" ht="15.75" customHeight="1" x14ac:dyDescent="0.25">
      <c r="A566" s="1">
        <v>200564</v>
      </c>
      <c r="B566" s="2">
        <v>45771</v>
      </c>
      <c r="C566" s="1">
        <v>9</v>
      </c>
      <c r="D566" s="1" t="s">
        <v>8</v>
      </c>
      <c r="E566" s="1">
        <v>235</v>
      </c>
      <c r="F566" t="str">
        <f>VLOOKUP(Tabla1[[#This Row],[IDProducto]],producto!$A$1:$C$33,2,FALSE)</f>
        <v>Producto_9</v>
      </c>
      <c r="G566" t="str">
        <f>VLOOKUP(Tabla1[[#This Row],[IDProducto]],producto!$A$1:$C$33,3,FALSE)</f>
        <v>Electrónica</v>
      </c>
      <c r="H566" s="6" t="str">
        <f>VLOOKUP(Tabla1[[#This Row],[Estado]],Tabla3[#All],2,0)</f>
        <v>Norte</v>
      </c>
    </row>
    <row r="567" spans="1:8" ht="15.75" customHeight="1" x14ac:dyDescent="0.25">
      <c r="A567" s="1">
        <v>200565</v>
      </c>
      <c r="B567" s="2">
        <v>45800</v>
      </c>
      <c r="C567" s="1">
        <v>4</v>
      </c>
      <c r="D567" s="1" t="s">
        <v>8</v>
      </c>
      <c r="E567" s="1">
        <v>1103</v>
      </c>
      <c r="F567" t="str">
        <f>VLOOKUP(Tabla1[[#This Row],[IDProducto]],producto!$A$1:$C$33,2,FALSE)</f>
        <v>Producto_4</v>
      </c>
      <c r="G567" t="str">
        <f>VLOOKUP(Tabla1[[#This Row],[IDProducto]],producto!$A$1:$C$33,3,FALSE)</f>
        <v>Deportes</v>
      </c>
      <c r="H567" s="6" t="str">
        <f>VLOOKUP(Tabla1[[#This Row],[Estado]],Tabla3[#All],2,0)</f>
        <v>Norte</v>
      </c>
    </row>
    <row r="568" spans="1:8" ht="15.75" customHeight="1" x14ac:dyDescent="0.25">
      <c r="A568" s="1">
        <v>200566</v>
      </c>
      <c r="B568" s="2">
        <v>45743</v>
      </c>
      <c r="C568" s="1">
        <v>19</v>
      </c>
      <c r="D568" s="1" t="s">
        <v>9</v>
      </c>
      <c r="E568" s="1">
        <v>119</v>
      </c>
      <c r="F568" t="str">
        <f>VLOOKUP(Tabla1[[#This Row],[IDProducto]],producto!$A$1:$C$33,2,FALSE)</f>
        <v>Producto_19</v>
      </c>
      <c r="G568" t="str">
        <f>VLOOKUP(Tabla1[[#This Row],[IDProducto]],producto!$A$1:$C$33,3,FALSE)</f>
        <v>Ropa</v>
      </c>
      <c r="H568" s="6" t="str">
        <f>VLOOKUP(Tabla1[[#This Row],[Estado]],Tabla3[#All],2,0)</f>
        <v>Sur</v>
      </c>
    </row>
    <row r="569" spans="1:8" ht="15.75" customHeight="1" x14ac:dyDescent="0.25">
      <c r="A569" s="1">
        <v>200567</v>
      </c>
      <c r="B569" s="2">
        <v>45786</v>
      </c>
      <c r="C569" s="1">
        <v>32</v>
      </c>
      <c r="D569" s="1" t="s">
        <v>5</v>
      </c>
      <c r="E569" s="1">
        <v>1182</v>
      </c>
      <c r="F569" t="str">
        <f>VLOOKUP(Tabla1[[#This Row],[IDProducto]],producto!$A$1:$C$33,2,FALSE)</f>
        <v>Producto_32</v>
      </c>
      <c r="G569" t="str">
        <f>VLOOKUP(Tabla1[[#This Row],[IDProducto]],producto!$A$1:$C$33,3,FALSE)</f>
        <v>Hogar</v>
      </c>
      <c r="H569" s="6" t="str">
        <f>VLOOKUP(Tabla1[[#This Row],[Estado]],Tabla3[#All],2,0)</f>
        <v>Centro</v>
      </c>
    </row>
    <row r="570" spans="1:8" ht="15.75" customHeight="1" x14ac:dyDescent="0.25">
      <c r="A570" s="1">
        <v>200568</v>
      </c>
      <c r="B570" s="2">
        <v>45696</v>
      </c>
      <c r="C570" s="1">
        <v>1</v>
      </c>
      <c r="D570" s="1" t="s">
        <v>12</v>
      </c>
      <c r="E570" s="1">
        <v>1940</v>
      </c>
      <c r="F570" t="str">
        <f>VLOOKUP(Tabla1[[#This Row],[IDProducto]],producto!$A$1:$C$33,2,FALSE)</f>
        <v>Producto_1</v>
      </c>
      <c r="G570" t="str">
        <f>VLOOKUP(Tabla1[[#This Row],[IDProducto]],producto!$A$1:$C$33,3,FALSE)</f>
        <v>Hogar</v>
      </c>
      <c r="H570" s="6" t="str">
        <f>VLOOKUP(Tabla1[[#This Row],[Estado]],Tabla3[#All],2,0)</f>
        <v>Centro</v>
      </c>
    </row>
    <row r="571" spans="1:8" ht="15.75" customHeight="1" x14ac:dyDescent="0.25">
      <c r="A571" s="1">
        <v>200569</v>
      </c>
      <c r="B571" s="2">
        <v>45701</v>
      </c>
      <c r="C571" s="1">
        <v>32</v>
      </c>
      <c r="D571" s="1" t="s">
        <v>5</v>
      </c>
      <c r="E571" s="1">
        <v>1107</v>
      </c>
      <c r="F571" t="str">
        <f>VLOOKUP(Tabla1[[#This Row],[IDProducto]],producto!$A$1:$C$33,2,FALSE)</f>
        <v>Producto_32</v>
      </c>
      <c r="G571" t="str">
        <f>VLOOKUP(Tabla1[[#This Row],[IDProducto]],producto!$A$1:$C$33,3,FALSE)</f>
        <v>Hogar</v>
      </c>
      <c r="H571" s="6" t="str">
        <f>VLOOKUP(Tabla1[[#This Row],[Estado]],Tabla3[#All],2,0)</f>
        <v>Centro</v>
      </c>
    </row>
    <row r="572" spans="1:8" ht="15.75" customHeight="1" x14ac:dyDescent="0.25">
      <c r="A572" s="1">
        <v>200570</v>
      </c>
      <c r="B572" s="2">
        <v>45789</v>
      </c>
      <c r="C572" s="1">
        <v>32</v>
      </c>
      <c r="D572" s="1" t="s">
        <v>7</v>
      </c>
      <c r="E572" s="1">
        <v>1075</v>
      </c>
      <c r="F572" t="str">
        <f>VLOOKUP(Tabla1[[#This Row],[IDProducto]],producto!$A$1:$C$33,2,FALSE)</f>
        <v>Producto_32</v>
      </c>
      <c r="G572" t="str">
        <f>VLOOKUP(Tabla1[[#This Row],[IDProducto]],producto!$A$1:$C$33,3,FALSE)</f>
        <v>Hogar</v>
      </c>
      <c r="H572" s="6" t="str">
        <f>VLOOKUP(Tabla1[[#This Row],[Estado]],Tabla3[#All],2,0)</f>
        <v>Norte</v>
      </c>
    </row>
    <row r="573" spans="1:8" ht="15.75" customHeight="1" x14ac:dyDescent="0.25">
      <c r="A573" s="1">
        <v>200571</v>
      </c>
      <c r="B573" s="2">
        <v>45669</v>
      </c>
      <c r="C573" s="1">
        <v>28</v>
      </c>
      <c r="D573" s="1" t="s">
        <v>7</v>
      </c>
      <c r="E573" s="1">
        <v>1093</v>
      </c>
      <c r="F573" t="str">
        <f>VLOOKUP(Tabla1[[#This Row],[IDProducto]],producto!$A$1:$C$33,2,FALSE)</f>
        <v>Producto_28</v>
      </c>
      <c r="G573" t="str">
        <f>VLOOKUP(Tabla1[[#This Row],[IDProducto]],producto!$A$1:$C$33,3,FALSE)</f>
        <v>Hogar</v>
      </c>
      <c r="H573" s="6" t="str">
        <f>VLOOKUP(Tabla1[[#This Row],[Estado]],Tabla3[#All],2,0)</f>
        <v>Norte</v>
      </c>
    </row>
    <row r="574" spans="1:8" ht="15.75" customHeight="1" x14ac:dyDescent="0.25">
      <c r="A574" s="1">
        <v>200572</v>
      </c>
      <c r="B574" s="2">
        <v>45820</v>
      </c>
      <c r="C574" s="1">
        <v>6</v>
      </c>
      <c r="D574" s="1" t="s">
        <v>10</v>
      </c>
      <c r="E574" s="1">
        <v>767</v>
      </c>
      <c r="F574" t="str">
        <f>VLOOKUP(Tabla1[[#This Row],[IDProducto]],producto!$A$1:$C$33,2,FALSE)</f>
        <v>Producto_6</v>
      </c>
      <c r="G574" t="str">
        <f>VLOOKUP(Tabla1[[#This Row],[IDProducto]],producto!$A$1:$C$33,3,FALSE)</f>
        <v>Electrónica</v>
      </c>
      <c r="H574" s="6" t="str">
        <f>VLOOKUP(Tabla1[[#This Row],[Estado]],Tabla3[#All],2,0)</f>
        <v>Centro</v>
      </c>
    </row>
    <row r="575" spans="1:8" ht="15.75" customHeight="1" x14ac:dyDescent="0.25">
      <c r="A575" s="1">
        <v>200573</v>
      </c>
      <c r="B575" s="2">
        <v>45742</v>
      </c>
      <c r="C575" s="1">
        <v>12</v>
      </c>
      <c r="D575" s="1" t="s">
        <v>11</v>
      </c>
      <c r="E575" s="1">
        <v>1122</v>
      </c>
      <c r="F575" t="str">
        <f>VLOOKUP(Tabla1[[#This Row],[IDProducto]],producto!$A$1:$C$33,2,FALSE)</f>
        <v>Producto_12</v>
      </c>
      <c r="G575" t="str">
        <f>VLOOKUP(Tabla1[[#This Row],[IDProducto]],producto!$A$1:$C$33,3,FALSE)</f>
        <v>Hogar</v>
      </c>
      <c r="H575" s="6" t="str">
        <f>VLOOKUP(Tabla1[[#This Row],[Estado]],Tabla3[#All],2,0)</f>
        <v>Occidente</v>
      </c>
    </row>
    <row r="576" spans="1:8" ht="15.75" customHeight="1" x14ac:dyDescent="0.25">
      <c r="A576" s="1">
        <v>200574</v>
      </c>
      <c r="B576" s="2">
        <v>45776</v>
      </c>
      <c r="C576" s="1">
        <v>31</v>
      </c>
      <c r="D576" s="1" t="s">
        <v>5</v>
      </c>
      <c r="E576" s="1">
        <v>130</v>
      </c>
      <c r="F576" t="str">
        <f>VLOOKUP(Tabla1[[#This Row],[IDProducto]],producto!$A$1:$C$33,2,FALSE)</f>
        <v>Producto_31</v>
      </c>
      <c r="G576" t="str">
        <f>VLOOKUP(Tabla1[[#This Row],[IDProducto]],producto!$A$1:$C$33,3,FALSE)</f>
        <v>Deportes</v>
      </c>
      <c r="H576" s="6" t="str">
        <f>VLOOKUP(Tabla1[[#This Row],[Estado]],Tabla3[#All],2,0)</f>
        <v>Centro</v>
      </c>
    </row>
    <row r="577" spans="1:8" ht="15.75" customHeight="1" x14ac:dyDescent="0.25">
      <c r="A577" s="1">
        <v>200575</v>
      </c>
      <c r="B577" s="2">
        <v>45795</v>
      </c>
      <c r="C577" s="1">
        <v>3</v>
      </c>
      <c r="D577" s="1" t="s">
        <v>11</v>
      </c>
      <c r="E577" s="1">
        <v>283</v>
      </c>
      <c r="F577" t="str">
        <f>VLOOKUP(Tabla1[[#This Row],[IDProducto]],producto!$A$1:$C$33,2,FALSE)</f>
        <v>Producto_3</v>
      </c>
      <c r="G577" t="str">
        <f>VLOOKUP(Tabla1[[#This Row],[IDProducto]],producto!$A$1:$C$33,3,FALSE)</f>
        <v>Deportes</v>
      </c>
      <c r="H577" s="6" t="str">
        <f>VLOOKUP(Tabla1[[#This Row],[Estado]],Tabla3[#All],2,0)</f>
        <v>Occidente</v>
      </c>
    </row>
    <row r="578" spans="1:8" ht="15.75" customHeight="1" x14ac:dyDescent="0.25">
      <c r="A578" s="1">
        <v>200576</v>
      </c>
      <c r="B578" s="2">
        <v>45793</v>
      </c>
      <c r="C578" s="1">
        <v>2</v>
      </c>
      <c r="D578" s="1" t="s">
        <v>10</v>
      </c>
      <c r="E578" s="1">
        <v>653</v>
      </c>
      <c r="F578" t="str">
        <f>VLOOKUP(Tabla1[[#This Row],[IDProducto]],producto!$A$1:$C$33,2,FALSE)</f>
        <v>Producto_2</v>
      </c>
      <c r="G578" t="str">
        <f>VLOOKUP(Tabla1[[#This Row],[IDProducto]],producto!$A$1:$C$33,3,FALSE)</f>
        <v>Deportes</v>
      </c>
      <c r="H578" s="6" t="str">
        <f>VLOOKUP(Tabla1[[#This Row],[Estado]],Tabla3[#All],2,0)</f>
        <v>Centro</v>
      </c>
    </row>
    <row r="579" spans="1:8" ht="15.75" customHeight="1" x14ac:dyDescent="0.25">
      <c r="A579" s="1">
        <v>200577</v>
      </c>
      <c r="B579" s="2">
        <v>45714</v>
      </c>
      <c r="C579" s="1">
        <v>13</v>
      </c>
      <c r="D579" s="1" t="s">
        <v>7</v>
      </c>
      <c r="E579" s="1">
        <v>1852</v>
      </c>
      <c r="F579" t="str">
        <f>VLOOKUP(Tabla1[[#This Row],[IDProducto]],producto!$A$1:$C$33,2,FALSE)</f>
        <v>Producto_13</v>
      </c>
      <c r="G579" t="str">
        <f>VLOOKUP(Tabla1[[#This Row],[IDProducto]],producto!$A$1:$C$33,3,FALSE)</f>
        <v>Deportes</v>
      </c>
      <c r="H579" s="6" t="str">
        <f>VLOOKUP(Tabla1[[#This Row],[Estado]],Tabla3[#All],2,0)</f>
        <v>Norte</v>
      </c>
    </row>
    <row r="580" spans="1:8" ht="15.75" customHeight="1" x14ac:dyDescent="0.25">
      <c r="A580" s="1">
        <v>200578</v>
      </c>
      <c r="B580" s="2">
        <v>45756</v>
      </c>
      <c r="C580" s="1">
        <v>24</v>
      </c>
      <c r="D580" s="1" t="s">
        <v>12</v>
      </c>
      <c r="E580" s="1">
        <v>820</v>
      </c>
      <c r="F580" t="str">
        <f>VLOOKUP(Tabla1[[#This Row],[IDProducto]],producto!$A$1:$C$33,2,FALSE)</f>
        <v>Producto_24</v>
      </c>
      <c r="G580" t="str">
        <f>VLOOKUP(Tabla1[[#This Row],[IDProducto]],producto!$A$1:$C$33,3,FALSE)</f>
        <v>Ropa</v>
      </c>
      <c r="H580" s="6" t="str">
        <f>VLOOKUP(Tabla1[[#This Row],[Estado]],Tabla3[#All],2,0)</f>
        <v>Centro</v>
      </c>
    </row>
    <row r="581" spans="1:8" ht="15.75" customHeight="1" x14ac:dyDescent="0.25">
      <c r="A581" s="1">
        <v>200579</v>
      </c>
      <c r="B581" s="2">
        <v>45822</v>
      </c>
      <c r="C581" s="1">
        <v>7</v>
      </c>
      <c r="D581" s="1" t="s">
        <v>11</v>
      </c>
      <c r="E581" s="1">
        <v>457</v>
      </c>
      <c r="F581" t="str">
        <f>VLOOKUP(Tabla1[[#This Row],[IDProducto]],producto!$A$1:$C$33,2,FALSE)</f>
        <v>Producto_7</v>
      </c>
      <c r="G581" t="str">
        <f>VLOOKUP(Tabla1[[#This Row],[IDProducto]],producto!$A$1:$C$33,3,FALSE)</f>
        <v>Ropa</v>
      </c>
      <c r="H581" s="6" t="str">
        <f>VLOOKUP(Tabla1[[#This Row],[Estado]],Tabla3[#All],2,0)</f>
        <v>Occidente</v>
      </c>
    </row>
    <row r="582" spans="1:8" ht="15.75" customHeight="1" x14ac:dyDescent="0.25">
      <c r="A582" s="1">
        <v>200580</v>
      </c>
      <c r="B582" s="2">
        <v>45761</v>
      </c>
      <c r="C582" s="1">
        <v>15</v>
      </c>
      <c r="D582" s="1" t="s">
        <v>6</v>
      </c>
      <c r="E582" s="1">
        <v>170</v>
      </c>
      <c r="F582" t="str">
        <f>VLOOKUP(Tabla1[[#This Row],[IDProducto]],producto!$A$1:$C$33,2,FALSE)</f>
        <v>Producto_15</v>
      </c>
      <c r="G582" t="str">
        <f>VLOOKUP(Tabla1[[#This Row],[IDProducto]],producto!$A$1:$C$33,3,FALSE)</f>
        <v>Hogar</v>
      </c>
      <c r="H582" s="6" t="str">
        <f>VLOOKUP(Tabla1[[#This Row],[Estado]],Tabla3[#All],2,0)</f>
        <v>Occidente</v>
      </c>
    </row>
    <row r="583" spans="1:8" ht="15.75" customHeight="1" x14ac:dyDescent="0.25">
      <c r="A583" s="1">
        <v>200581</v>
      </c>
      <c r="B583" s="2">
        <v>45832</v>
      </c>
      <c r="C583" s="1">
        <v>14</v>
      </c>
      <c r="D583" s="1" t="s">
        <v>8</v>
      </c>
      <c r="E583" s="1">
        <v>1136</v>
      </c>
      <c r="F583" t="str">
        <f>VLOOKUP(Tabla1[[#This Row],[IDProducto]],producto!$A$1:$C$33,2,FALSE)</f>
        <v>Producto_14</v>
      </c>
      <c r="G583" t="str">
        <f>VLOOKUP(Tabla1[[#This Row],[IDProducto]],producto!$A$1:$C$33,3,FALSE)</f>
        <v>Hogar</v>
      </c>
      <c r="H583" s="6" t="str">
        <f>VLOOKUP(Tabla1[[#This Row],[Estado]],Tabla3[#All],2,0)</f>
        <v>Norte</v>
      </c>
    </row>
    <row r="584" spans="1:8" ht="15.75" customHeight="1" x14ac:dyDescent="0.25">
      <c r="A584" s="1">
        <v>200582</v>
      </c>
      <c r="B584" s="2">
        <v>45755</v>
      </c>
      <c r="C584" s="1">
        <v>8</v>
      </c>
      <c r="D584" s="1" t="s">
        <v>10</v>
      </c>
      <c r="E584" s="1">
        <v>1262</v>
      </c>
      <c r="F584" t="str">
        <f>VLOOKUP(Tabla1[[#This Row],[IDProducto]],producto!$A$1:$C$33,2,FALSE)</f>
        <v>Producto_8</v>
      </c>
      <c r="G584" t="str">
        <f>VLOOKUP(Tabla1[[#This Row],[IDProducto]],producto!$A$1:$C$33,3,FALSE)</f>
        <v>Electrónica</v>
      </c>
      <c r="H584" s="6" t="str">
        <f>VLOOKUP(Tabla1[[#This Row],[Estado]],Tabla3[#All],2,0)</f>
        <v>Centro</v>
      </c>
    </row>
    <row r="585" spans="1:8" ht="15.75" customHeight="1" x14ac:dyDescent="0.25">
      <c r="A585" s="1">
        <v>200583</v>
      </c>
      <c r="B585" s="2">
        <v>45690</v>
      </c>
      <c r="C585" s="1">
        <v>14</v>
      </c>
      <c r="D585" s="1" t="s">
        <v>9</v>
      </c>
      <c r="E585" s="1">
        <v>1450</v>
      </c>
      <c r="F585" t="str">
        <f>VLOOKUP(Tabla1[[#This Row],[IDProducto]],producto!$A$1:$C$33,2,FALSE)</f>
        <v>Producto_14</v>
      </c>
      <c r="G585" t="str">
        <f>VLOOKUP(Tabla1[[#This Row],[IDProducto]],producto!$A$1:$C$33,3,FALSE)</f>
        <v>Hogar</v>
      </c>
      <c r="H585" s="6" t="str">
        <f>VLOOKUP(Tabla1[[#This Row],[Estado]],Tabla3[#All],2,0)</f>
        <v>Sur</v>
      </c>
    </row>
    <row r="586" spans="1:8" ht="15.75" customHeight="1" x14ac:dyDescent="0.25">
      <c r="A586" s="1">
        <v>200584</v>
      </c>
      <c r="B586" s="2">
        <v>45719</v>
      </c>
      <c r="C586" s="1">
        <v>9</v>
      </c>
      <c r="D586" s="1" t="s">
        <v>5</v>
      </c>
      <c r="E586" s="1">
        <v>1661</v>
      </c>
      <c r="F586" t="str">
        <f>VLOOKUP(Tabla1[[#This Row],[IDProducto]],producto!$A$1:$C$33,2,FALSE)</f>
        <v>Producto_9</v>
      </c>
      <c r="G586" t="str">
        <f>VLOOKUP(Tabla1[[#This Row],[IDProducto]],producto!$A$1:$C$33,3,FALSE)</f>
        <v>Electrónica</v>
      </c>
      <c r="H586" s="6" t="str">
        <f>VLOOKUP(Tabla1[[#This Row],[Estado]],Tabla3[#All],2,0)</f>
        <v>Centro</v>
      </c>
    </row>
    <row r="587" spans="1:8" ht="15.75" customHeight="1" x14ac:dyDescent="0.25">
      <c r="A587" s="1">
        <v>200585</v>
      </c>
      <c r="B587" s="2">
        <v>45679</v>
      </c>
      <c r="C587" s="1">
        <v>13</v>
      </c>
      <c r="D587" s="1" t="s">
        <v>8</v>
      </c>
      <c r="E587" s="1">
        <v>751</v>
      </c>
      <c r="F587" t="str">
        <f>VLOOKUP(Tabla1[[#This Row],[IDProducto]],producto!$A$1:$C$33,2,FALSE)</f>
        <v>Producto_13</v>
      </c>
      <c r="G587" t="str">
        <f>VLOOKUP(Tabla1[[#This Row],[IDProducto]],producto!$A$1:$C$33,3,FALSE)</f>
        <v>Deportes</v>
      </c>
      <c r="H587" s="6" t="str">
        <f>VLOOKUP(Tabla1[[#This Row],[Estado]],Tabla3[#All],2,0)</f>
        <v>Norte</v>
      </c>
    </row>
    <row r="588" spans="1:8" ht="15.75" customHeight="1" x14ac:dyDescent="0.25">
      <c r="A588" s="1">
        <v>200586</v>
      </c>
      <c r="B588" s="2">
        <v>45665</v>
      </c>
      <c r="C588" s="1">
        <v>9</v>
      </c>
      <c r="D588" s="1" t="s">
        <v>7</v>
      </c>
      <c r="E588" s="1">
        <v>785</v>
      </c>
      <c r="F588" t="str">
        <f>VLOOKUP(Tabla1[[#This Row],[IDProducto]],producto!$A$1:$C$33,2,FALSE)</f>
        <v>Producto_9</v>
      </c>
      <c r="G588" t="str">
        <f>VLOOKUP(Tabla1[[#This Row],[IDProducto]],producto!$A$1:$C$33,3,FALSE)</f>
        <v>Electrónica</v>
      </c>
      <c r="H588" s="6" t="str">
        <f>VLOOKUP(Tabla1[[#This Row],[Estado]],Tabla3[#All],2,0)</f>
        <v>Norte</v>
      </c>
    </row>
    <row r="589" spans="1:8" ht="15.75" customHeight="1" x14ac:dyDescent="0.25">
      <c r="A589" s="1">
        <v>200587</v>
      </c>
      <c r="B589" s="2">
        <v>45701</v>
      </c>
      <c r="C589" s="1">
        <v>25</v>
      </c>
      <c r="D589" s="1" t="s">
        <v>9</v>
      </c>
      <c r="E589" s="1">
        <v>1333</v>
      </c>
      <c r="F589" t="str">
        <f>VLOOKUP(Tabla1[[#This Row],[IDProducto]],producto!$A$1:$C$33,2,FALSE)</f>
        <v>Producto_25</v>
      </c>
      <c r="G589" t="str">
        <f>VLOOKUP(Tabla1[[#This Row],[IDProducto]],producto!$A$1:$C$33,3,FALSE)</f>
        <v>Electrónica</v>
      </c>
      <c r="H589" s="6" t="str">
        <f>VLOOKUP(Tabla1[[#This Row],[Estado]],Tabla3[#All],2,0)</f>
        <v>Sur</v>
      </c>
    </row>
    <row r="590" spans="1:8" ht="15.75" customHeight="1" x14ac:dyDescent="0.25">
      <c r="A590" s="1">
        <v>200588</v>
      </c>
      <c r="B590" s="2">
        <v>45819</v>
      </c>
      <c r="C590" s="1">
        <v>2</v>
      </c>
      <c r="D590" s="1" t="s">
        <v>6</v>
      </c>
      <c r="E590" s="1">
        <v>825</v>
      </c>
      <c r="F590" t="str">
        <f>VLOOKUP(Tabla1[[#This Row],[IDProducto]],producto!$A$1:$C$33,2,FALSE)</f>
        <v>Producto_2</v>
      </c>
      <c r="G590" t="str">
        <f>VLOOKUP(Tabla1[[#This Row],[IDProducto]],producto!$A$1:$C$33,3,FALSE)</f>
        <v>Deportes</v>
      </c>
      <c r="H590" s="6" t="str">
        <f>VLOOKUP(Tabla1[[#This Row],[Estado]],Tabla3[#All],2,0)</f>
        <v>Occidente</v>
      </c>
    </row>
    <row r="591" spans="1:8" ht="15.75" customHeight="1" x14ac:dyDescent="0.25">
      <c r="A591" s="1">
        <v>200589</v>
      </c>
      <c r="B591" s="2">
        <v>45757</v>
      </c>
      <c r="C591" s="1">
        <v>5</v>
      </c>
      <c r="D591" s="1" t="s">
        <v>12</v>
      </c>
      <c r="E591" s="1">
        <v>910</v>
      </c>
      <c r="F591" t="str">
        <f>VLOOKUP(Tabla1[[#This Row],[IDProducto]],producto!$A$1:$C$33,2,FALSE)</f>
        <v>Producto_5</v>
      </c>
      <c r="G591" t="str">
        <f>VLOOKUP(Tabla1[[#This Row],[IDProducto]],producto!$A$1:$C$33,3,FALSE)</f>
        <v>Hogar</v>
      </c>
      <c r="H591" s="6" t="str">
        <f>VLOOKUP(Tabla1[[#This Row],[Estado]],Tabla3[#All],2,0)</f>
        <v>Centro</v>
      </c>
    </row>
    <row r="592" spans="1:8" ht="15.75" customHeight="1" x14ac:dyDescent="0.25">
      <c r="A592" s="1">
        <v>200590</v>
      </c>
      <c r="B592" s="2">
        <v>45707</v>
      </c>
      <c r="C592" s="1">
        <v>26</v>
      </c>
      <c r="D592" s="1" t="s">
        <v>12</v>
      </c>
      <c r="E592" s="1">
        <v>130</v>
      </c>
      <c r="F592" t="str">
        <f>VLOOKUP(Tabla1[[#This Row],[IDProducto]],producto!$A$1:$C$33,2,FALSE)</f>
        <v>Producto_26</v>
      </c>
      <c r="G592" t="str">
        <f>VLOOKUP(Tabla1[[#This Row],[IDProducto]],producto!$A$1:$C$33,3,FALSE)</f>
        <v>Hogar</v>
      </c>
      <c r="H592" s="6" t="str">
        <f>VLOOKUP(Tabla1[[#This Row],[Estado]],Tabla3[#All],2,0)</f>
        <v>Centro</v>
      </c>
    </row>
    <row r="593" spans="1:8" ht="15.75" customHeight="1" x14ac:dyDescent="0.25">
      <c r="A593" s="1">
        <v>200591</v>
      </c>
      <c r="B593" s="2">
        <v>45814</v>
      </c>
      <c r="C593" s="1">
        <v>23</v>
      </c>
      <c r="D593" s="1" t="s">
        <v>5</v>
      </c>
      <c r="E593" s="1">
        <v>243</v>
      </c>
      <c r="F593" t="str">
        <f>VLOOKUP(Tabla1[[#This Row],[IDProducto]],producto!$A$1:$C$33,2,FALSE)</f>
        <v>Producto_23</v>
      </c>
      <c r="G593" t="str">
        <f>VLOOKUP(Tabla1[[#This Row],[IDProducto]],producto!$A$1:$C$33,3,FALSE)</f>
        <v>Deportes</v>
      </c>
      <c r="H593" s="6" t="str">
        <f>VLOOKUP(Tabla1[[#This Row],[Estado]],Tabla3[#All],2,0)</f>
        <v>Centro</v>
      </c>
    </row>
    <row r="594" spans="1:8" ht="15.75" customHeight="1" x14ac:dyDescent="0.25">
      <c r="A594" s="1">
        <v>200592</v>
      </c>
      <c r="B594" s="2">
        <v>45712</v>
      </c>
      <c r="C594" s="1">
        <v>7</v>
      </c>
      <c r="D594" s="1" t="s">
        <v>9</v>
      </c>
      <c r="E594" s="1">
        <v>1596</v>
      </c>
      <c r="F594" t="str">
        <f>VLOOKUP(Tabla1[[#This Row],[IDProducto]],producto!$A$1:$C$33,2,FALSE)</f>
        <v>Producto_7</v>
      </c>
      <c r="G594" t="str">
        <f>VLOOKUP(Tabla1[[#This Row],[IDProducto]],producto!$A$1:$C$33,3,FALSE)</f>
        <v>Ropa</v>
      </c>
      <c r="H594" s="6" t="str">
        <f>VLOOKUP(Tabla1[[#This Row],[Estado]],Tabla3[#All],2,0)</f>
        <v>Sur</v>
      </c>
    </row>
    <row r="595" spans="1:8" ht="15.75" customHeight="1" x14ac:dyDescent="0.25">
      <c r="A595" s="1">
        <v>200593</v>
      </c>
      <c r="B595" s="2">
        <v>45754</v>
      </c>
      <c r="C595" s="1">
        <v>11</v>
      </c>
      <c r="D595" s="1" t="s">
        <v>12</v>
      </c>
      <c r="E595" s="1">
        <v>529</v>
      </c>
      <c r="F595" t="str">
        <f>VLOOKUP(Tabla1[[#This Row],[IDProducto]],producto!$A$1:$C$33,2,FALSE)</f>
        <v>Producto_11</v>
      </c>
      <c r="G595" t="str">
        <f>VLOOKUP(Tabla1[[#This Row],[IDProducto]],producto!$A$1:$C$33,3,FALSE)</f>
        <v>Ropa</v>
      </c>
      <c r="H595" s="6" t="str">
        <f>VLOOKUP(Tabla1[[#This Row],[Estado]],Tabla3[#All],2,0)</f>
        <v>Centro</v>
      </c>
    </row>
    <row r="596" spans="1:8" ht="15.75" customHeight="1" x14ac:dyDescent="0.25">
      <c r="A596" s="1">
        <v>200594</v>
      </c>
      <c r="B596" s="2">
        <v>45819</v>
      </c>
      <c r="C596" s="1">
        <v>4</v>
      </c>
      <c r="D596" s="1" t="s">
        <v>11</v>
      </c>
      <c r="E596" s="1">
        <v>658</v>
      </c>
      <c r="F596" t="str">
        <f>VLOOKUP(Tabla1[[#This Row],[IDProducto]],producto!$A$1:$C$33,2,FALSE)</f>
        <v>Producto_4</v>
      </c>
      <c r="G596" t="str">
        <f>VLOOKUP(Tabla1[[#This Row],[IDProducto]],producto!$A$1:$C$33,3,FALSE)</f>
        <v>Deportes</v>
      </c>
      <c r="H596" s="6" t="str">
        <f>VLOOKUP(Tabla1[[#This Row],[Estado]],Tabla3[#All],2,0)</f>
        <v>Occidente</v>
      </c>
    </row>
    <row r="597" spans="1:8" ht="15.75" customHeight="1" x14ac:dyDescent="0.25">
      <c r="A597" s="1">
        <v>200595</v>
      </c>
      <c r="B597" s="2">
        <v>45825</v>
      </c>
      <c r="C597" s="1">
        <v>22</v>
      </c>
      <c r="D597" s="1" t="s">
        <v>9</v>
      </c>
      <c r="E597" s="1">
        <v>669</v>
      </c>
      <c r="F597" t="str">
        <f>VLOOKUP(Tabla1[[#This Row],[IDProducto]],producto!$A$1:$C$33,2,FALSE)</f>
        <v>Producto_22</v>
      </c>
      <c r="G597" t="str">
        <f>VLOOKUP(Tabla1[[#This Row],[IDProducto]],producto!$A$1:$C$33,3,FALSE)</f>
        <v>Hogar</v>
      </c>
      <c r="H597" s="6" t="str">
        <f>VLOOKUP(Tabla1[[#This Row],[Estado]],Tabla3[#All],2,0)</f>
        <v>Sur</v>
      </c>
    </row>
    <row r="598" spans="1:8" ht="15.75" customHeight="1" x14ac:dyDescent="0.25">
      <c r="A598" s="1">
        <v>200596</v>
      </c>
      <c r="B598" s="2">
        <v>45782</v>
      </c>
      <c r="C598" s="1">
        <v>8</v>
      </c>
      <c r="D598" s="1" t="s">
        <v>5</v>
      </c>
      <c r="E598" s="1">
        <v>1240</v>
      </c>
      <c r="F598" t="str">
        <f>VLOOKUP(Tabla1[[#This Row],[IDProducto]],producto!$A$1:$C$33,2,FALSE)</f>
        <v>Producto_8</v>
      </c>
      <c r="G598" t="str">
        <f>VLOOKUP(Tabla1[[#This Row],[IDProducto]],producto!$A$1:$C$33,3,FALSE)</f>
        <v>Electrónica</v>
      </c>
      <c r="H598" s="6" t="str">
        <f>VLOOKUP(Tabla1[[#This Row],[Estado]],Tabla3[#All],2,0)</f>
        <v>Centro</v>
      </c>
    </row>
    <row r="599" spans="1:8" ht="15.75" customHeight="1" x14ac:dyDescent="0.25">
      <c r="A599" s="1">
        <v>200597</v>
      </c>
      <c r="B599" s="2">
        <v>45809</v>
      </c>
      <c r="C599" s="1">
        <v>21</v>
      </c>
      <c r="D599" s="1" t="s">
        <v>7</v>
      </c>
      <c r="E599" s="1">
        <v>1862</v>
      </c>
      <c r="F599" t="str">
        <f>VLOOKUP(Tabla1[[#This Row],[IDProducto]],producto!$A$1:$C$33,2,FALSE)</f>
        <v>Producto_21</v>
      </c>
      <c r="G599" t="str">
        <f>VLOOKUP(Tabla1[[#This Row],[IDProducto]],producto!$A$1:$C$33,3,FALSE)</f>
        <v>Electrónica</v>
      </c>
      <c r="H599" s="6" t="str">
        <f>VLOOKUP(Tabla1[[#This Row],[Estado]],Tabla3[#All],2,0)</f>
        <v>Norte</v>
      </c>
    </row>
    <row r="600" spans="1:8" ht="15.75" customHeight="1" x14ac:dyDescent="0.25">
      <c r="A600" s="1">
        <v>200598</v>
      </c>
      <c r="B600" s="2">
        <v>45712</v>
      </c>
      <c r="C600" s="1">
        <v>23</v>
      </c>
      <c r="D600" s="1" t="s">
        <v>10</v>
      </c>
      <c r="E600" s="1">
        <v>846</v>
      </c>
      <c r="F600" t="str">
        <f>VLOOKUP(Tabla1[[#This Row],[IDProducto]],producto!$A$1:$C$33,2,FALSE)</f>
        <v>Producto_23</v>
      </c>
      <c r="G600" t="str">
        <f>VLOOKUP(Tabla1[[#This Row],[IDProducto]],producto!$A$1:$C$33,3,FALSE)</f>
        <v>Deportes</v>
      </c>
      <c r="H600" s="6" t="str">
        <f>VLOOKUP(Tabla1[[#This Row],[Estado]],Tabla3[#All],2,0)</f>
        <v>Centro</v>
      </c>
    </row>
    <row r="601" spans="1:8" ht="15.75" customHeight="1" x14ac:dyDescent="0.25">
      <c r="A601" s="1">
        <v>200599</v>
      </c>
      <c r="B601" s="2">
        <v>45690</v>
      </c>
      <c r="C601" s="1">
        <v>10</v>
      </c>
      <c r="D601" s="1" t="s">
        <v>12</v>
      </c>
      <c r="E601" s="1">
        <v>251</v>
      </c>
      <c r="F601" t="str">
        <f>VLOOKUP(Tabla1[[#This Row],[IDProducto]],producto!$A$1:$C$33,2,FALSE)</f>
        <v>Producto_10</v>
      </c>
      <c r="G601" t="str">
        <f>VLOOKUP(Tabla1[[#This Row],[IDProducto]],producto!$A$1:$C$33,3,FALSE)</f>
        <v>Ropa</v>
      </c>
      <c r="H601" s="6" t="str">
        <f>VLOOKUP(Tabla1[[#This Row],[Estado]],Tabla3[#All],2,0)</f>
        <v>Centro</v>
      </c>
    </row>
    <row r="602" spans="1:8" ht="15.75" customHeight="1" x14ac:dyDescent="0.25">
      <c r="A602" s="1">
        <v>200600</v>
      </c>
      <c r="B602" s="2">
        <v>45719</v>
      </c>
      <c r="C602" s="1">
        <v>22</v>
      </c>
      <c r="D602" s="1" t="s">
        <v>5</v>
      </c>
      <c r="E602" s="1">
        <v>201</v>
      </c>
      <c r="F602" t="str">
        <f>VLOOKUP(Tabla1[[#This Row],[IDProducto]],producto!$A$1:$C$33,2,FALSE)</f>
        <v>Producto_22</v>
      </c>
      <c r="G602" t="str">
        <f>VLOOKUP(Tabla1[[#This Row],[IDProducto]],producto!$A$1:$C$33,3,FALSE)</f>
        <v>Hogar</v>
      </c>
      <c r="H602" s="6" t="str">
        <f>VLOOKUP(Tabla1[[#This Row],[Estado]],Tabla3[#All],2,0)</f>
        <v>Centro</v>
      </c>
    </row>
    <row r="603" spans="1:8" ht="15.75" customHeight="1" x14ac:dyDescent="0.25">
      <c r="A603" s="1">
        <v>200601</v>
      </c>
      <c r="B603" s="2">
        <v>45693</v>
      </c>
      <c r="C603" s="1">
        <v>6</v>
      </c>
      <c r="D603" s="1" t="s">
        <v>11</v>
      </c>
      <c r="E603" s="1">
        <v>1816</v>
      </c>
      <c r="F603" t="str">
        <f>VLOOKUP(Tabla1[[#This Row],[IDProducto]],producto!$A$1:$C$33,2,FALSE)</f>
        <v>Producto_6</v>
      </c>
      <c r="G603" t="str">
        <f>VLOOKUP(Tabla1[[#This Row],[IDProducto]],producto!$A$1:$C$33,3,FALSE)</f>
        <v>Electrónica</v>
      </c>
      <c r="H603" s="6" t="str">
        <f>VLOOKUP(Tabla1[[#This Row],[Estado]],Tabla3[#All],2,0)</f>
        <v>Occidente</v>
      </c>
    </row>
    <row r="604" spans="1:8" ht="15.75" customHeight="1" x14ac:dyDescent="0.25">
      <c r="A604" s="1">
        <v>200602</v>
      </c>
      <c r="B604" s="2">
        <v>45693</v>
      </c>
      <c r="C604" s="1">
        <v>19</v>
      </c>
      <c r="D604" s="1" t="s">
        <v>5</v>
      </c>
      <c r="E604" s="1">
        <v>1459</v>
      </c>
      <c r="F604" t="str">
        <f>VLOOKUP(Tabla1[[#This Row],[IDProducto]],producto!$A$1:$C$33,2,FALSE)</f>
        <v>Producto_19</v>
      </c>
      <c r="G604" t="str">
        <f>VLOOKUP(Tabla1[[#This Row],[IDProducto]],producto!$A$1:$C$33,3,FALSE)</f>
        <v>Ropa</v>
      </c>
      <c r="H604" s="6" t="str">
        <f>VLOOKUP(Tabla1[[#This Row],[Estado]],Tabla3[#All],2,0)</f>
        <v>Centro</v>
      </c>
    </row>
    <row r="605" spans="1:8" ht="15.75" customHeight="1" x14ac:dyDescent="0.25">
      <c r="A605" s="1">
        <v>200603</v>
      </c>
      <c r="B605" s="2">
        <v>45822</v>
      </c>
      <c r="C605" s="1">
        <v>23</v>
      </c>
      <c r="D605" s="1" t="s">
        <v>12</v>
      </c>
      <c r="E605" s="1">
        <v>205</v>
      </c>
      <c r="F605" t="str">
        <f>VLOOKUP(Tabla1[[#This Row],[IDProducto]],producto!$A$1:$C$33,2,FALSE)</f>
        <v>Producto_23</v>
      </c>
      <c r="G605" t="str">
        <f>VLOOKUP(Tabla1[[#This Row],[IDProducto]],producto!$A$1:$C$33,3,FALSE)</f>
        <v>Deportes</v>
      </c>
      <c r="H605" s="6" t="str">
        <f>VLOOKUP(Tabla1[[#This Row],[Estado]],Tabla3[#All],2,0)</f>
        <v>Centro</v>
      </c>
    </row>
    <row r="606" spans="1:8" ht="15.75" customHeight="1" x14ac:dyDescent="0.25">
      <c r="A606" s="1">
        <v>200604</v>
      </c>
      <c r="B606" s="2">
        <v>45812</v>
      </c>
      <c r="C606" s="1">
        <v>27</v>
      </c>
      <c r="D606" s="1" t="s">
        <v>6</v>
      </c>
      <c r="E606" s="1">
        <v>361</v>
      </c>
      <c r="F606" t="str">
        <f>VLOOKUP(Tabla1[[#This Row],[IDProducto]],producto!$A$1:$C$33,2,FALSE)</f>
        <v>Producto_27</v>
      </c>
      <c r="G606" t="str">
        <f>VLOOKUP(Tabla1[[#This Row],[IDProducto]],producto!$A$1:$C$33,3,FALSE)</f>
        <v>Electrónica</v>
      </c>
      <c r="H606" s="6" t="str">
        <f>VLOOKUP(Tabla1[[#This Row],[Estado]],Tabla3[#All],2,0)</f>
        <v>Occidente</v>
      </c>
    </row>
    <row r="607" spans="1:8" ht="15.75" customHeight="1" x14ac:dyDescent="0.25">
      <c r="A607" s="1">
        <v>200605</v>
      </c>
      <c r="B607" s="2">
        <v>45750</v>
      </c>
      <c r="C607" s="1">
        <v>25</v>
      </c>
      <c r="D607" s="1" t="s">
        <v>5</v>
      </c>
      <c r="E607" s="1">
        <v>143</v>
      </c>
      <c r="F607" t="str">
        <f>VLOOKUP(Tabla1[[#This Row],[IDProducto]],producto!$A$1:$C$33,2,FALSE)</f>
        <v>Producto_25</v>
      </c>
      <c r="G607" t="str">
        <f>VLOOKUP(Tabla1[[#This Row],[IDProducto]],producto!$A$1:$C$33,3,FALSE)</f>
        <v>Electrónica</v>
      </c>
      <c r="H607" s="6" t="str">
        <f>VLOOKUP(Tabla1[[#This Row],[Estado]],Tabla3[#All],2,0)</f>
        <v>Centro</v>
      </c>
    </row>
    <row r="608" spans="1:8" ht="15.75" customHeight="1" x14ac:dyDescent="0.25">
      <c r="A608" s="1">
        <v>200606</v>
      </c>
      <c r="B608" s="2">
        <v>45714</v>
      </c>
      <c r="C608" s="1">
        <v>24</v>
      </c>
      <c r="D608" s="1" t="s">
        <v>7</v>
      </c>
      <c r="E608" s="1">
        <v>1039</v>
      </c>
      <c r="F608" t="str">
        <f>VLOOKUP(Tabla1[[#This Row],[IDProducto]],producto!$A$1:$C$33,2,FALSE)</f>
        <v>Producto_24</v>
      </c>
      <c r="G608" t="str">
        <f>VLOOKUP(Tabla1[[#This Row],[IDProducto]],producto!$A$1:$C$33,3,FALSE)</f>
        <v>Ropa</v>
      </c>
      <c r="H608" s="6" t="str">
        <f>VLOOKUP(Tabla1[[#This Row],[Estado]],Tabla3[#All],2,0)</f>
        <v>Norte</v>
      </c>
    </row>
    <row r="609" spans="1:8" ht="15.75" customHeight="1" x14ac:dyDescent="0.25">
      <c r="A609" s="1">
        <v>200607</v>
      </c>
      <c r="B609" s="2">
        <v>45835</v>
      </c>
      <c r="C609" s="1">
        <v>25</v>
      </c>
      <c r="D609" s="1" t="s">
        <v>9</v>
      </c>
      <c r="E609" s="1">
        <v>1238</v>
      </c>
      <c r="F609" t="str">
        <f>VLOOKUP(Tabla1[[#This Row],[IDProducto]],producto!$A$1:$C$33,2,FALSE)</f>
        <v>Producto_25</v>
      </c>
      <c r="G609" t="str">
        <f>VLOOKUP(Tabla1[[#This Row],[IDProducto]],producto!$A$1:$C$33,3,FALSE)</f>
        <v>Electrónica</v>
      </c>
      <c r="H609" s="6" t="str">
        <f>VLOOKUP(Tabla1[[#This Row],[Estado]],Tabla3[#All],2,0)</f>
        <v>Sur</v>
      </c>
    </row>
    <row r="610" spans="1:8" ht="15.75" customHeight="1" x14ac:dyDescent="0.25">
      <c r="A610" s="1">
        <v>200608</v>
      </c>
      <c r="B610" s="2">
        <v>45785</v>
      </c>
      <c r="C610" s="1">
        <v>8</v>
      </c>
      <c r="D610" s="1" t="s">
        <v>7</v>
      </c>
      <c r="E610" s="1">
        <v>721</v>
      </c>
      <c r="F610" t="str">
        <f>VLOOKUP(Tabla1[[#This Row],[IDProducto]],producto!$A$1:$C$33,2,FALSE)</f>
        <v>Producto_8</v>
      </c>
      <c r="G610" t="str">
        <f>VLOOKUP(Tabla1[[#This Row],[IDProducto]],producto!$A$1:$C$33,3,FALSE)</f>
        <v>Electrónica</v>
      </c>
      <c r="H610" s="6" t="str">
        <f>VLOOKUP(Tabla1[[#This Row],[Estado]],Tabla3[#All],2,0)</f>
        <v>Norte</v>
      </c>
    </row>
    <row r="611" spans="1:8" ht="15.75" customHeight="1" x14ac:dyDescent="0.25">
      <c r="A611" s="1">
        <v>200609</v>
      </c>
      <c r="B611" s="2">
        <v>45834</v>
      </c>
      <c r="C611" s="1">
        <v>10</v>
      </c>
      <c r="D611" s="1" t="s">
        <v>5</v>
      </c>
      <c r="E611" s="1">
        <v>320</v>
      </c>
      <c r="F611" t="str">
        <f>VLOOKUP(Tabla1[[#This Row],[IDProducto]],producto!$A$1:$C$33,2,FALSE)</f>
        <v>Producto_10</v>
      </c>
      <c r="G611" t="str">
        <f>VLOOKUP(Tabla1[[#This Row],[IDProducto]],producto!$A$1:$C$33,3,FALSE)</f>
        <v>Ropa</v>
      </c>
      <c r="H611" s="6" t="str">
        <f>VLOOKUP(Tabla1[[#This Row],[Estado]],Tabla3[#All],2,0)</f>
        <v>Centro</v>
      </c>
    </row>
    <row r="612" spans="1:8" ht="15.75" customHeight="1" x14ac:dyDescent="0.25">
      <c r="A612" s="1">
        <v>200610</v>
      </c>
      <c r="B612" s="2">
        <v>45682</v>
      </c>
      <c r="C612" s="1">
        <v>14</v>
      </c>
      <c r="D612" s="1" t="s">
        <v>8</v>
      </c>
      <c r="E612" s="1">
        <v>629</v>
      </c>
      <c r="F612" t="str">
        <f>VLOOKUP(Tabla1[[#This Row],[IDProducto]],producto!$A$1:$C$33,2,FALSE)</f>
        <v>Producto_14</v>
      </c>
      <c r="G612" t="str">
        <f>VLOOKUP(Tabla1[[#This Row],[IDProducto]],producto!$A$1:$C$33,3,FALSE)</f>
        <v>Hogar</v>
      </c>
      <c r="H612" s="6" t="str">
        <f>VLOOKUP(Tabla1[[#This Row],[Estado]],Tabla3[#All],2,0)</f>
        <v>Norte</v>
      </c>
    </row>
    <row r="613" spans="1:8" ht="15.75" customHeight="1" x14ac:dyDescent="0.25">
      <c r="A613" s="1">
        <v>200611</v>
      </c>
      <c r="B613" s="2">
        <v>45747</v>
      </c>
      <c r="C613" s="1">
        <v>10</v>
      </c>
      <c r="D613" s="1" t="s">
        <v>9</v>
      </c>
      <c r="E613" s="1">
        <v>1842</v>
      </c>
      <c r="F613" t="str">
        <f>VLOOKUP(Tabla1[[#This Row],[IDProducto]],producto!$A$1:$C$33,2,FALSE)</f>
        <v>Producto_10</v>
      </c>
      <c r="G613" t="str">
        <f>VLOOKUP(Tabla1[[#This Row],[IDProducto]],producto!$A$1:$C$33,3,FALSE)</f>
        <v>Ropa</v>
      </c>
      <c r="H613" s="6" t="str">
        <f>VLOOKUP(Tabla1[[#This Row],[Estado]],Tabla3[#All],2,0)</f>
        <v>Sur</v>
      </c>
    </row>
    <row r="614" spans="1:8" ht="15.75" customHeight="1" x14ac:dyDescent="0.25">
      <c r="A614" s="1">
        <v>200612</v>
      </c>
      <c r="B614" s="2">
        <v>45708</v>
      </c>
      <c r="C614" s="1">
        <v>7</v>
      </c>
      <c r="D614" s="1" t="s">
        <v>11</v>
      </c>
      <c r="E614" s="1">
        <v>854</v>
      </c>
      <c r="F614" t="str">
        <f>VLOOKUP(Tabla1[[#This Row],[IDProducto]],producto!$A$1:$C$33,2,FALSE)</f>
        <v>Producto_7</v>
      </c>
      <c r="G614" t="str">
        <f>VLOOKUP(Tabla1[[#This Row],[IDProducto]],producto!$A$1:$C$33,3,FALSE)</f>
        <v>Ropa</v>
      </c>
      <c r="H614" s="6" t="str">
        <f>VLOOKUP(Tabla1[[#This Row],[Estado]],Tabla3[#All],2,0)</f>
        <v>Occidente</v>
      </c>
    </row>
    <row r="615" spans="1:8" ht="15.75" customHeight="1" x14ac:dyDescent="0.25">
      <c r="A615" s="1">
        <v>200613</v>
      </c>
      <c r="B615" s="2">
        <v>45789</v>
      </c>
      <c r="C615" s="1">
        <v>5</v>
      </c>
      <c r="D615" s="1" t="s">
        <v>5</v>
      </c>
      <c r="E615" s="1">
        <v>732</v>
      </c>
      <c r="F615" t="str">
        <f>VLOOKUP(Tabla1[[#This Row],[IDProducto]],producto!$A$1:$C$33,2,FALSE)</f>
        <v>Producto_5</v>
      </c>
      <c r="G615" t="str">
        <f>VLOOKUP(Tabla1[[#This Row],[IDProducto]],producto!$A$1:$C$33,3,FALSE)</f>
        <v>Hogar</v>
      </c>
      <c r="H615" s="6" t="str">
        <f>VLOOKUP(Tabla1[[#This Row],[Estado]],Tabla3[#All],2,0)</f>
        <v>Centro</v>
      </c>
    </row>
    <row r="616" spans="1:8" ht="15.75" customHeight="1" x14ac:dyDescent="0.25">
      <c r="A616" s="1">
        <v>200614</v>
      </c>
      <c r="B616" s="2">
        <v>45711</v>
      </c>
      <c r="C616" s="1">
        <v>4</v>
      </c>
      <c r="D616" s="1" t="s">
        <v>8</v>
      </c>
      <c r="E616" s="1">
        <v>436</v>
      </c>
      <c r="F616" t="str">
        <f>VLOOKUP(Tabla1[[#This Row],[IDProducto]],producto!$A$1:$C$33,2,FALSE)</f>
        <v>Producto_4</v>
      </c>
      <c r="G616" t="str">
        <f>VLOOKUP(Tabla1[[#This Row],[IDProducto]],producto!$A$1:$C$33,3,FALSE)</f>
        <v>Deportes</v>
      </c>
      <c r="H616" s="6" t="str">
        <f>VLOOKUP(Tabla1[[#This Row],[Estado]],Tabla3[#All],2,0)</f>
        <v>Norte</v>
      </c>
    </row>
    <row r="617" spans="1:8" ht="15.75" customHeight="1" x14ac:dyDescent="0.25">
      <c r="A617" s="1">
        <v>200615</v>
      </c>
      <c r="B617" s="2">
        <v>45689</v>
      </c>
      <c r="C617" s="1">
        <v>11</v>
      </c>
      <c r="D617" s="1" t="s">
        <v>5</v>
      </c>
      <c r="E617" s="1">
        <v>343</v>
      </c>
      <c r="F617" t="str">
        <f>VLOOKUP(Tabla1[[#This Row],[IDProducto]],producto!$A$1:$C$33,2,FALSE)</f>
        <v>Producto_11</v>
      </c>
      <c r="G617" t="str">
        <f>VLOOKUP(Tabla1[[#This Row],[IDProducto]],producto!$A$1:$C$33,3,FALSE)</f>
        <v>Ropa</v>
      </c>
      <c r="H617" s="6" t="str">
        <f>VLOOKUP(Tabla1[[#This Row],[Estado]],Tabla3[#All],2,0)</f>
        <v>Centro</v>
      </c>
    </row>
    <row r="618" spans="1:8" ht="15.75" customHeight="1" x14ac:dyDescent="0.25">
      <c r="A618" s="1">
        <v>200616</v>
      </c>
      <c r="B618" s="2">
        <v>45822</v>
      </c>
      <c r="C618" s="1">
        <v>24</v>
      </c>
      <c r="D618" s="1" t="s">
        <v>6</v>
      </c>
      <c r="E618" s="1">
        <v>1430</v>
      </c>
      <c r="F618" t="str">
        <f>VLOOKUP(Tabla1[[#This Row],[IDProducto]],producto!$A$1:$C$33,2,FALSE)</f>
        <v>Producto_24</v>
      </c>
      <c r="G618" t="str">
        <f>VLOOKUP(Tabla1[[#This Row],[IDProducto]],producto!$A$1:$C$33,3,FALSE)</f>
        <v>Ropa</v>
      </c>
      <c r="H618" s="6" t="str">
        <f>VLOOKUP(Tabla1[[#This Row],[Estado]],Tabla3[#All],2,0)</f>
        <v>Occidente</v>
      </c>
    </row>
    <row r="619" spans="1:8" ht="15.75" customHeight="1" x14ac:dyDescent="0.25">
      <c r="A619" s="1">
        <v>200617</v>
      </c>
      <c r="B619" s="2">
        <v>45818</v>
      </c>
      <c r="C619" s="1">
        <v>5</v>
      </c>
      <c r="D619" s="1" t="s">
        <v>6</v>
      </c>
      <c r="E619" s="1">
        <v>155</v>
      </c>
      <c r="F619" t="str">
        <f>VLOOKUP(Tabla1[[#This Row],[IDProducto]],producto!$A$1:$C$33,2,FALSE)</f>
        <v>Producto_5</v>
      </c>
      <c r="G619" t="str">
        <f>VLOOKUP(Tabla1[[#This Row],[IDProducto]],producto!$A$1:$C$33,3,FALSE)</f>
        <v>Hogar</v>
      </c>
      <c r="H619" s="6" t="str">
        <f>VLOOKUP(Tabla1[[#This Row],[Estado]],Tabla3[#All],2,0)</f>
        <v>Occidente</v>
      </c>
    </row>
    <row r="620" spans="1:8" ht="15.75" customHeight="1" x14ac:dyDescent="0.25">
      <c r="A620" s="1">
        <v>200618</v>
      </c>
      <c r="B620" s="2">
        <v>45746</v>
      </c>
      <c r="C620" s="1">
        <v>28</v>
      </c>
      <c r="D620" s="1" t="s">
        <v>11</v>
      </c>
      <c r="E620" s="1">
        <v>352</v>
      </c>
      <c r="F620" t="str">
        <f>VLOOKUP(Tabla1[[#This Row],[IDProducto]],producto!$A$1:$C$33,2,FALSE)</f>
        <v>Producto_28</v>
      </c>
      <c r="G620" t="str">
        <f>VLOOKUP(Tabla1[[#This Row],[IDProducto]],producto!$A$1:$C$33,3,FALSE)</f>
        <v>Hogar</v>
      </c>
      <c r="H620" s="6" t="str">
        <f>VLOOKUP(Tabla1[[#This Row],[Estado]],Tabla3[#All],2,0)</f>
        <v>Occidente</v>
      </c>
    </row>
    <row r="621" spans="1:8" ht="15.75" customHeight="1" x14ac:dyDescent="0.25">
      <c r="A621" s="1">
        <v>200619</v>
      </c>
      <c r="B621" s="2">
        <v>45815</v>
      </c>
      <c r="C621" s="1">
        <v>32</v>
      </c>
      <c r="D621" s="1" t="s">
        <v>8</v>
      </c>
      <c r="E621" s="1">
        <v>1412</v>
      </c>
      <c r="F621" t="str">
        <f>VLOOKUP(Tabla1[[#This Row],[IDProducto]],producto!$A$1:$C$33,2,FALSE)</f>
        <v>Producto_32</v>
      </c>
      <c r="G621" t="str">
        <f>VLOOKUP(Tabla1[[#This Row],[IDProducto]],producto!$A$1:$C$33,3,FALSE)</f>
        <v>Hogar</v>
      </c>
      <c r="H621" s="6" t="str">
        <f>VLOOKUP(Tabla1[[#This Row],[Estado]],Tabla3[#All],2,0)</f>
        <v>Norte</v>
      </c>
    </row>
    <row r="622" spans="1:8" ht="15.75" customHeight="1" x14ac:dyDescent="0.25">
      <c r="A622" s="1">
        <v>200620</v>
      </c>
      <c r="B622" s="2">
        <v>45739</v>
      </c>
      <c r="C622" s="1">
        <v>23</v>
      </c>
      <c r="D622" s="1" t="s">
        <v>7</v>
      </c>
      <c r="E622" s="1">
        <v>381</v>
      </c>
      <c r="F622" t="str">
        <f>VLOOKUP(Tabla1[[#This Row],[IDProducto]],producto!$A$1:$C$33,2,FALSE)</f>
        <v>Producto_23</v>
      </c>
      <c r="G622" t="str">
        <f>VLOOKUP(Tabla1[[#This Row],[IDProducto]],producto!$A$1:$C$33,3,FALSE)</f>
        <v>Deportes</v>
      </c>
      <c r="H622" s="6" t="str">
        <f>VLOOKUP(Tabla1[[#This Row],[Estado]],Tabla3[#All],2,0)</f>
        <v>Norte</v>
      </c>
    </row>
    <row r="623" spans="1:8" ht="15.75" customHeight="1" x14ac:dyDescent="0.25">
      <c r="A623" s="1">
        <v>200621</v>
      </c>
      <c r="B623" s="2">
        <v>45739</v>
      </c>
      <c r="C623" s="1">
        <v>27</v>
      </c>
      <c r="D623" s="1" t="s">
        <v>7</v>
      </c>
      <c r="E623" s="1">
        <v>730</v>
      </c>
      <c r="F623" t="str">
        <f>VLOOKUP(Tabla1[[#This Row],[IDProducto]],producto!$A$1:$C$33,2,FALSE)</f>
        <v>Producto_27</v>
      </c>
      <c r="G623" t="str">
        <f>VLOOKUP(Tabla1[[#This Row],[IDProducto]],producto!$A$1:$C$33,3,FALSE)</f>
        <v>Electrónica</v>
      </c>
      <c r="H623" s="6" t="str">
        <f>VLOOKUP(Tabla1[[#This Row],[Estado]],Tabla3[#All],2,0)</f>
        <v>Norte</v>
      </c>
    </row>
    <row r="624" spans="1:8" ht="15.75" customHeight="1" x14ac:dyDescent="0.25">
      <c r="A624" s="1">
        <v>200622</v>
      </c>
      <c r="B624" s="2">
        <v>45716</v>
      </c>
      <c r="C624" s="1">
        <v>25</v>
      </c>
      <c r="D624" s="1" t="s">
        <v>8</v>
      </c>
      <c r="E624" s="1">
        <v>1328</v>
      </c>
      <c r="F624" t="str">
        <f>VLOOKUP(Tabla1[[#This Row],[IDProducto]],producto!$A$1:$C$33,2,FALSE)</f>
        <v>Producto_25</v>
      </c>
      <c r="G624" t="str">
        <f>VLOOKUP(Tabla1[[#This Row],[IDProducto]],producto!$A$1:$C$33,3,FALSE)</f>
        <v>Electrónica</v>
      </c>
      <c r="H624" s="6" t="str">
        <f>VLOOKUP(Tabla1[[#This Row],[Estado]],Tabla3[#All],2,0)</f>
        <v>Norte</v>
      </c>
    </row>
    <row r="625" spans="1:8" ht="15.75" customHeight="1" x14ac:dyDescent="0.25">
      <c r="A625" s="1">
        <v>200623</v>
      </c>
      <c r="B625" s="2">
        <v>45760</v>
      </c>
      <c r="C625" s="1">
        <v>19</v>
      </c>
      <c r="D625" s="1" t="s">
        <v>12</v>
      </c>
      <c r="E625" s="1">
        <v>936</v>
      </c>
      <c r="F625" t="str">
        <f>VLOOKUP(Tabla1[[#This Row],[IDProducto]],producto!$A$1:$C$33,2,FALSE)</f>
        <v>Producto_19</v>
      </c>
      <c r="G625" t="str">
        <f>VLOOKUP(Tabla1[[#This Row],[IDProducto]],producto!$A$1:$C$33,3,FALSE)</f>
        <v>Ropa</v>
      </c>
      <c r="H625" s="6" t="str">
        <f>VLOOKUP(Tabla1[[#This Row],[Estado]],Tabla3[#All],2,0)</f>
        <v>Centro</v>
      </c>
    </row>
    <row r="626" spans="1:8" ht="15.75" customHeight="1" x14ac:dyDescent="0.25">
      <c r="A626" s="1">
        <v>200624</v>
      </c>
      <c r="B626" s="2">
        <v>45785</v>
      </c>
      <c r="C626" s="1">
        <v>30</v>
      </c>
      <c r="D626" s="1" t="s">
        <v>6</v>
      </c>
      <c r="E626" s="1">
        <v>1074</v>
      </c>
      <c r="F626" t="str">
        <f>VLOOKUP(Tabla1[[#This Row],[IDProducto]],producto!$A$1:$C$33,2,FALSE)</f>
        <v>Producto_30</v>
      </c>
      <c r="G626" t="str">
        <f>VLOOKUP(Tabla1[[#This Row],[IDProducto]],producto!$A$1:$C$33,3,FALSE)</f>
        <v>Hogar</v>
      </c>
      <c r="H626" s="6" t="str">
        <f>VLOOKUP(Tabla1[[#This Row],[Estado]],Tabla3[#All],2,0)</f>
        <v>Occidente</v>
      </c>
    </row>
    <row r="627" spans="1:8" ht="15.75" customHeight="1" x14ac:dyDescent="0.25">
      <c r="A627" s="1">
        <v>200625</v>
      </c>
      <c r="B627" s="2">
        <v>45740</v>
      </c>
      <c r="C627" s="1">
        <v>24</v>
      </c>
      <c r="D627" s="1" t="s">
        <v>7</v>
      </c>
      <c r="E627" s="1">
        <v>1398</v>
      </c>
      <c r="F627" t="str">
        <f>VLOOKUP(Tabla1[[#This Row],[IDProducto]],producto!$A$1:$C$33,2,FALSE)</f>
        <v>Producto_24</v>
      </c>
      <c r="G627" t="str">
        <f>VLOOKUP(Tabla1[[#This Row],[IDProducto]],producto!$A$1:$C$33,3,FALSE)</f>
        <v>Ropa</v>
      </c>
      <c r="H627" s="6" t="str">
        <f>VLOOKUP(Tabla1[[#This Row],[Estado]],Tabla3[#All],2,0)</f>
        <v>Norte</v>
      </c>
    </row>
    <row r="628" spans="1:8" ht="15.75" customHeight="1" x14ac:dyDescent="0.25">
      <c r="A628" s="1">
        <v>200626</v>
      </c>
      <c r="B628" s="2">
        <v>45708</v>
      </c>
      <c r="C628" s="1">
        <v>18</v>
      </c>
      <c r="D628" s="1" t="s">
        <v>9</v>
      </c>
      <c r="E628" s="1">
        <v>1126</v>
      </c>
      <c r="F628" t="str">
        <f>VLOOKUP(Tabla1[[#This Row],[IDProducto]],producto!$A$1:$C$33,2,FALSE)</f>
        <v>Producto_18</v>
      </c>
      <c r="G628" t="str">
        <f>VLOOKUP(Tabla1[[#This Row],[IDProducto]],producto!$A$1:$C$33,3,FALSE)</f>
        <v>Ropa</v>
      </c>
      <c r="H628" s="6" t="str">
        <f>VLOOKUP(Tabla1[[#This Row],[Estado]],Tabla3[#All],2,0)</f>
        <v>Sur</v>
      </c>
    </row>
    <row r="629" spans="1:8" ht="15.75" customHeight="1" x14ac:dyDescent="0.25">
      <c r="A629" s="1">
        <v>200627</v>
      </c>
      <c r="B629" s="2">
        <v>45767</v>
      </c>
      <c r="C629" s="1">
        <v>9</v>
      </c>
      <c r="D629" s="1" t="s">
        <v>5</v>
      </c>
      <c r="E629" s="1">
        <v>641</v>
      </c>
      <c r="F629" t="str">
        <f>VLOOKUP(Tabla1[[#This Row],[IDProducto]],producto!$A$1:$C$33,2,FALSE)</f>
        <v>Producto_9</v>
      </c>
      <c r="G629" t="str">
        <f>VLOOKUP(Tabla1[[#This Row],[IDProducto]],producto!$A$1:$C$33,3,FALSE)</f>
        <v>Electrónica</v>
      </c>
      <c r="H629" s="6" t="str">
        <f>VLOOKUP(Tabla1[[#This Row],[Estado]],Tabla3[#All],2,0)</f>
        <v>Centro</v>
      </c>
    </row>
    <row r="630" spans="1:8" ht="15.75" customHeight="1" x14ac:dyDescent="0.25">
      <c r="A630" s="1">
        <v>200628</v>
      </c>
      <c r="B630" s="2">
        <v>45742</v>
      </c>
      <c r="C630" s="1">
        <v>21</v>
      </c>
      <c r="D630" s="1" t="s">
        <v>12</v>
      </c>
      <c r="E630" s="1">
        <v>1049</v>
      </c>
      <c r="F630" t="str">
        <f>VLOOKUP(Tabla1[[#This Row],[IDProducto]],producto!$A$1:$C$33,2,FALSE)</f>
        <v>Producto_21</v>
      </c>
      <c r="G630" t="str">
        <f>VLOOKUP(Tabla1[[#This Row],[IDProducto]],producto!$A$1:$C$33,3,FALSE)</f>
        <v>Electrónica</v>
      </c>
      <c r="H630" s="6" t="str">
        <f>VLOOKUP(Tabla1[[#This Row],[Estado]],Tabla3[#All],2,0)</f>
        <v>Centro</v>
      </c>
    </row>
    <row r="631" spans="1:8" ht="15.75" customHeight="1" x14ac:dyDescent="0.25">
      <c r="A631" s="1">
        <v>200629</v>
      </c>
      <c r="B631" s="2">
        <v>45795</v>
      </c>
      <c r="C631" s="1">
        <v>20</v>
      </c>
      <c r="D631" s="1" t="s">
        <v>9</v>
      </c>
      <c r="E631" s="1">
        <v>1087</v>
      </c>
      <c r="F631" t="str">
        <f>VLOOKUP(Tabla1[[#This Row],[IDProducto]],producto!$A$1:$C$33,2,FALSE)</f>
        <v>Producto_20</v>
      </c>
      <c r="G631" t="str">
        <f>VLOOKUP(Tabla1[[#This Row],[IDProducto]],producto!$A$1:$C$33,3,FALSE)</f>
        <v>Deportes</v>
      </c>
      <c r="H631" s="6" t="str">
        <f>VLOOKUP(Tabla1[[#This Row],[Estado]],Tabla3[#All],2,0)</f>
        <v>Sur</v>
      </c>
    </row>
    <row r="632" spans="1:8" ht="15.75" customHeight="1" x14ac:dyDescent="0.25">
      <c r="A632" s="1">
        <v>200630</v>
      </c>
      <c r="B632" s="2">
        <v>45831</v>
      </c>
      <c r="C632" s="1">
        <v>12</v>
      </c>
      <c r="D632" s="1" t="s">
        <v>5</v>
      </c>
      <c r="E632" s="1">
        <v>255</v>
      </c>
      <c r="F632" t="str">
        <f>VLOOKUP(Tabla1[[#This Row],[IDProducto]],producto!$A$1:$C$33,2,FALSE)</f>
        <v>Producto_12</v>
      </c>
      <c r="G632" t="str">
        <f>VLOOKUP(Tabla1[[#This Row],[IDProducto]],producto!$A$1:$C$33,3,FALSE)</f>
        <v>Hogar</v>
      </c>
      <c r="H632" s="6" t="str">
        <f>VLOOKUP(Tabla1[[#This Row],[Estado]],Tabla3[#All],2,0)</f>
        <v>Centro</v>
      </c>
    </row>
    <row r="633" spans="1:8" ht="15.75" customHeight="1" x14ac:dyDescent="0.25">
      <c r="A633" s="1">
        <v>200631</v>
      </c>
      <c r="B633" s="2">
        <v>45804</v>
      </c>
      <c r="C633" s="1">
        <v>7</v>
      </c>
      <c r="D633" s="1" t="s">
        <v>12</v>
      </c>
      <c r="E633" s="1">
        <v>1546</v>
      </c>
      <c r="F633" t="str">
        <f>VLOOKUP(Tabla1[[#This Row],[IDProducto]],producto!$A$1:$C$33,2,FALSE)</f>
        <v>Producto_7</v>
      </c>
      <c r="G633" t="str">
        <f>VLOOKUP(Tabla1[[#This Row],[IDProducto]],producto!$A$1:$C$33,3,FALSE)</f>
        <v>Ropa</v>
      </c>
      <c r="H633" s="6" t="str">
        <f>VLOOKUP(Tabla1[[#This Row],[Estado]],Tabla3[#All],2,0)</f>
        <v>Centro</v>
      </c>
    </row>
    <row r="634" spans="1:8" ht="15.75" customHeight="1" x14ac:dyDescent="0.25">
      <c r="A634" s="1">
        <v>200632</v>
      </c>
      <c r="B634" s="2">
        <v>45752</v>
      </c>
      <c r="C634" s="1">
        <v>29</v>
      </c>
      <c r="D634" s="1" t="s">
        <v>6</v>
      </c>
      <c r="E634" s="1">
        <v>1607</v>
      </c>
      <c r="F634" t="str">
        <f>VLOOKUP(Tabla1[[#This Row],[IDProducto]],producto!$A$1:$C$33,2,FALSE)</f>
        <v>Producto_29</v>
      </c>
      <c r="G634" t="str">
        <f>VLOOKUP(Tabla1[[#This Row],[IDProducto]],producto!$A$1:$C$33,3,FALSE)</f>
        <v>Electrónica</v>
      </c>
      <c r="H634" s="6" t="str">
        <f>VLOOKUP(Tabla1[[#This Row],[Estado]],Tabla3[#All],2,0)</f>
        <v>Occidente</v>
      </c>
    </row>
    <row r="635" spans="1:8" ht="15.75" customHeight="1" x14ac:dyDescent="0.25">
      <c r="A635" s="1">
        <v>200633</v>
      </c>
      <c r="B635" s="2">
        <v>45808</v>
      </c>
      <c r="C635" s="1">
        <v>17</v>
      </c>
      <c r="D635" s="1" t="s">
        <v>11</v>
      </c>
      <c r="E635" s="1">
        <v>473</v>
      </c>
      <c r="F635" t="str">
        <f>VLOOKUP(Tabla1[[#This Row],[IDProducto]],producto!$A$1:$C$33,2,FALSE)</f>
        <v>Producto_17</v>
      </c>
      <c r="G635" t="str">
        <f>VLOOKUP(Tabla1[[#This Row],[IDProducto]],producto!$A$1:$C$33,3,FALSE)</f>
        <v>Ropa</v>
      </c>
      <c r="H635" s="6" t="str">
        <f>VLOOKUP(Tabla1[[#This Row],[Estado]],Tabla3[#All],2,0)</f>
        <v>Occidente</v>
      </c>
    </row>
    <row r="636" spans="1:8" ht="15.75" customHeight="1" x14ac:dyDescent="0.25">
      <c r="A636" s="1">
        <v>200634</v>
      </c>
      <c r="B636" s="2">
        <v>45725</v>
      </c>
      <c r="C636" s="1">
        <v>16</v>
      </c>
      <c r="D636" s="1" t="s">
        <v>11</v>
      </c>
      <c r="E636" s="1">
        <v>860</v>
      </c>
      <c r="F636" t="str">
        <f>VLOOKUP(Tabla1[[#This Row],[IDProducto]],producto!$A$1:$C$33,2,FALSE)</f>
        <v>Producto_16</v>
      </c>
      <c r="G636" t="str">
        <f>VLOOKUP(Tabla1[[#This Row],[IDProducto]],producto!$A$1:$C$33,3,FALSE)</f>
        <v>Ropa</v>
      </c>
      <c r="H636" s="6" t="str">
        <f>VLOOKUP(Tabla1[[#This Row],[Estado]],Tabla3[#All],2,0)</f>
        <v>Occidente</v>
      </c>
    </row>
    <row r="637" spans="1:8" ht="15.75" customHeight="1" x14ac:dyDescent="0.25">
      <c r="A637" s="1">
        <v>200635</v>
      </c>
      <c r="B637" s="2">
        <v>45730</v>
      </c>
      <c r="C637" s="1">
        <v>1</v>
      </c>
      <c r="D637" s="1" t="s">
        <v>7</v>
      </c>
      <c r="E637" s="1">
        <v>1203</v>
      </c>
      <c r="F637" t="str">
        <f>VLOOKUP(Tabla1[[#This Row],[IDProducto]],producto!$A$1:$C$33,2,FALSE)</f>
        <v>Producto_1</v>
      </c>
      <c r="G637" t="str">
        <f>VLOOKUP(Tabla1[[#This Row],[IDProducto]],producto!$A$1:$C$33,3,FALSE)</f>
        <v>Hogar</v>
      </c>
      <c r="H637" s="6" t="str">
        <f>VLOOKUP(Tabla1[[#This Row],[Estado]],Tabla3[#All],2,0)</f>
        <v>Norte</v>
      </c>
    </row>
    <row r="638" spans="1:8" ht="15.75" customHeight="1" x14ac:dyDescent="0.25">
      <c r="A638" s="1">
        <v>200636</v>
      </c>
      <c r="B638" s="2">
        <v>45691</v>
      </c>
      <c r="C638" s="1">
        <v>29</v>
      </c>
      <c r="D638" s="1" t="s">
        <v>10</v>
      </c>
      <c r="E638" s="1">
        <v>1576</v>
      </c>
      <c r="F638" t="str">
        <f>VLOOKUP(Tabla1[[#This Row],[IDProducto]],producto!$A$1:$C$33,2,FALSE)</f>
        <v>Producto_29</v>
      </c>
      <c r="G638" t="str">
        <f>VLOOKUP(Tabla1[[#This Row],[IDProducto]],producto!$A$1:$C$33,3,FALSE)</f>
        <v>Electrónica</v>
      </c>
      <c r="H638" s="6" t="str">
        <f>VLOOKUP(Tabla1[[#This Row],[Estado]],Tabla3[#All],2,0)</f>
        <v>Centro</v>
      </c>
    </row>
    <row r="639" spans="1:8" ht="15.75" customHeight="1" x14ac:dyDescent="0.25">
      <c r="A639" s="1">
        <v>200637</v>
      </c>
      <c r="B639" s="2">
        <v>45826</v>
      </c>
      <c r="C639" s="1">
        <v>2</v>
      </c>
      <c r="D639" s="1" t="s">
        <v>9</v>
      </c>
      <c r="E639" s="1">
        <v>743</v>
      </c>
      <c r="F639" t="str">
        <f>VLOOKUP(Tabla1[[#This Row],[IDProducto]],producto!$A$1:$C$33,2,FALSE)</f>
        <v>Producto_2</v>
      </c>
      <c r="G639" t="str">
        <f>VLOOKUP(Tabla1[[#This Row],[IDProducto]],producto!$A$1:$C$33,3,FALSE)</f>
        <v>Deportes</v>
      </c>
      <c r="H639" s="6" t="str">
        <f>VLOOKUP(Tabla1[[#This Row],[Estado]],Tabla3[#All],2,0)</f>
        <v>Sur</v>
      </c>
    </row>
    <row r="640" spans="1:8" ht="15.75" customHeight="1" x14ac:dyDescent="0.25">
      <c r="A640" s="1">
        <v>200638</v>
      </c>
      <c r="B640" s="2">
        <v>45741</v>
      </c>
      <c r="C640" s="1">
        <v>19</v>
      </c>
      <c r="D640" s="1" t="s">
        <v>6</v>
      </c>
      <c r="E640" s="1">
        <v>567</v>
      </c>
      <c r="F640" t="str">
        <f>VLOOKUP(Tabla1[[#This Row],[IDProducto]],producto!$A$1:$C$33,2,FALSE)</f>
        <v>Producto_19</v>
      </c>
      <c r="G640" t="str">
        <f>VLOOKUP(Tabla1[[#This Row],[IDProducto]],producto!$A$1:$C$33,3,FALSE)</f>
        <v>Ropa</v>
      </c>
      <c r="H640" s="6" t="str">
        <f>VLOOKUP(Tabla1[[#This Row],[Estado]],Tabla3[#All],2,0)</f>
        <v>Occidente</v>
      </c>
    </row>
    <row r="641" spans="1:8" ht="15.75" customHeight="1" x14ac:dyDescent="0.25">
      <c r="A641" s="1">
        <v>200639</v>
      </c>
      <c r="B641" s="2">
        <v>45699</v>
      </c>
      <c r="C641" s="1">
        <v>19</v>
      </c>
      <c r="D641" s="1" t="s">
        <v>9</v>
      </c>
      <c r="E641" s="1">
        <v>1613</v>
      </c>
      <c r="F641" t="str">
        <f>VLOOKUP(Tabla1[[#This Row],[IDProducto]],producto!$A$1:$C$33,2,FALSE)</f>
        <v>Producto_19</v>
      </c>
      <c r="G641" t="str">
        <f>VLOOKUP(Tabla1[[#This Row],[IDProducto]],producto!$A$1:$C$33,3,FALSE)</f>
        <v>Ropa</v>
      </c>
      <c r="H641" s="6" t="str">
        <f>VLOOKUP(Tabla1[[#This Row],[Estado]],Tabla3[#All],2,0)</f>
        <v>Sur</v>
      </c>
    </row>
    <row r="642" spans="1:8" ht="15.75" customHeight="1" x14ac:dyDescent="0.25">
      <c r="A642" s="1">
        <v>200640</v>
      </c>
      <c r="B642" s="2">
        <v>45727</v>
      </c>
      <c r="C642" s="1">
        <v>6</v>
      </c>
      <c r="D642" s="1" t="s">
        <v>5</v>
      </c>
      <c r="E642" s="1">
        <v>1125</v>
      </c>
      <c r="F642" t="str">
        <f>VLOOKUP(Tabla1[[#This Row],[IDProducto]],producto!$A$1:$C$33,2,FALSE)</f>
        <v>Producto_6</v>
      </c>
      <c r="G642" t="str">
        <f>VLOOKUP(Tabla1[[#This Row],[IDProducto]],producto!$A$1:$C$33,3,FALSE)</f>
        <v>Electrónica</v>
      </c>
      <c r="H642" s="6" t="str">
        <f>VLOOKUP(Tabla1[[#This Row],[Estado]],Tabla3[#All],2,0)</f>
        <v>Centro</v>
      </c>
    </row>
    <row r="643" spans="1:8" ht="15.75" customHeight="1" x14ac:dyDescent="0.25">
      <c r="A643" s="1">
        <v>200641</v>
      </c>
      <c r="B643" s="2">
        <v>45680</v>
      </c>
      <c r="C643" s="1">
        <v>22</v>
      </c>
      <c r="D643" s="1" t="s">
        <v>8</v>
      </c>
      <c r="E643" s="1">
        <v>1963</v>
      </c>
      <c r="F643" t="str">
        <f>VLOOKUP(Tabla1[[#This Row],[IDProducto]],producto!$A$1:$C$33,2,FALSE)</f>
        <v>Producto_22</v>
      </c>
      <c r="G643" t="str">
        <f>VLOOKUP(Tabla1[[#This Row],[IDProducto]],producto!$A$1:$C$33,3,FALSE)</f>
        <v>Hogar</v>
      </c>
      <c r="H643" s="6" t="str">
        <f>VLOOKUP(Tabla1[[#This Row],[Estado]],Tabla3[#All],2,0)</f>
        <v>Norte</v>
      </c>
    </row>
    <row r="644" spans="1:8" ht="15.75" customHeight="1" x14ac:dyDescent="0.25">
      <c r="A644" s="1">
        <v>200642</v>
      </c>
      <c r="B644" s="2">
        <v>45829</v>
      </c>
      <c r="C644" s="1">
        <v>28</v>
      </c>
      <c r="D644" s="1" t="s">
        <v>7</v>
      </c>
      <c r="E644" s="1">
        <v>735</v>
      </c>
      <c r="F644" t="str">
        <f>VLOOKUP(Tabla1[[#This Row],[IDProducto]],producto!$A$1:$C$33,2,FALSE)</f>
        <v>Producto_28</v>
      </c>
      <c r="G644" t="str">
        <f>VLOOKUP(Tabla1[[#This Row],[IDProducto]],producto!$A$1:$C$33,3,FALSE)</f>
        <v>Hogar</v>
      </c>
      <c r="H644" s="6" t="str">
        <f>VLOOKUP(Tabla1[[#This Row],[Estado]],Tabla3[#All],2,0)</f>
        <v>Norte</v>
      </c>
    </row>
    <row r="645" spans="1:8" ht="15.75" customHeight="1" x14ac:dyDescent="0.25">
      <c r="A645" s="1">
        <v>200643</v>
      </c>
      <c r="B645" s="2">
        <v>45752</v>
      </c>
      <c r="C645" s="1">
        <v>30</v>
      </c>
      <c r="D645" s="1" t="s">
        <v>7</v>
      </c>
      <c r="E645" s="1">
        <v>1981</v>
      </c>
      <c r="F645" t="str">
        <f>VLOOKUP(Tabla1[[#This Row],[IDProducto]],producto!$A$1:$C$33,2,FALSE)</f>
        <v>Producto_30</v>
      </c>
      <c r="G645" t="str">
        <f>VLOOKUP(Tabla1[[#This Row],[IDProducto]],producto!$A$1:$C$33,3,FALSE)</f>
        <v>Hogar</v>
      </c>
      <c r="H645" s="6" t="str">
        <f>VLOOKUP(Tabla1[[#This Row],[Estado]],Tabla3[#All],2,0)</f>
        <v>Norte</v>
      </c>
    </row>
    <row r="646" spans="1:8" ht="15.75" customHeight="1" x14ac:dyDescent="0.25">
      <c r="A646" s="1">
        <v>200644</v>
      </c>
      <c r="B646" s="2">
        <v>45675</v>
      </c>
      <c r="C646" s="1">
        <v>16</v>
      </c>
      <c r="D646" s="1" t="s">
        <v>7</v>
      </c>
      <c r="E646" s="1">
        <v>321</v>
      </c>
      <c r="F646" t="str">
        <f>VLOOKUP(Tabla1[[#This Row],[IDProducto]],producto!$A$1:$C$33,2,FALSE)</f>
        <v>Producto_16</v>
      </c>
      <c r="G646" t="str">
        <f>VLOOKUP(Tabla1[[#This Row],[IDProducto]],producto!$A$1:$C$33,3,FALSE)</f>
        <v>Ropa</v>
      </c>
      <c r="H646" s="6" t="str">
        <f>VLOOKUP(Tabla1[[#This Row],[Estado]],Tabla3[#All],2,0)</f>
        <v>Norte</v>
      </c>
    </row>
    <row r="647" spans="1:8" ht="15.75" customHeight="1" x14ac:dyDescent="0.25">
      <c r="A647" s="1">
        <v>200645</v>
      </c>
      <c r="B647" s="2">
        <v>45705</v>
      </c>
      <c r="C647" s="1">
        <v>16</v>
      </c>
      <c r="D647" s="1" t="s">
        <v>6</v>
      </c>
      <c r="E647" s="1">
        <v>616</v>
      </c>
      <c r="F647" t="str">
        <f>VLOOKUP(Tabla1[[#This Row],[IDProducto]],producto!$A$1:$C$33,2,FALSE)</f>
        <v>Producto_16</v>
      </c>
      <c r="G647" t="str">
        <f>VLOOKUP(Tabla1[[#This Row],[IDProducto]],producto!$A$1:$C$33,3,FALSE)</f>
        <v>Ropa</v>
      </c>
      <c r="H647" s="6" t="str">
        <f>VLOOKUP(Tabla1[[#This Row],[Estado]],Tabla3[#All],2,0)</f>
        <v>Occidente</v>
      </c>
    </row>
    <row r="648" spans="1:8" ht="15.75" customHeight="1" x14ac:dyDescent="0.25">
      <c r="A648" s="1">
        <v>200646</v>
      </c>
      <c r="B648" s="2">
        <v>45809</v>
      </c>
      <c r="C648" s="1">
        <v>30</v>
      </c>
      <c r="D648" s="1" t="s">
        <v>6</v>
      </c>
      <c r="E648" s="1">
        <v>694</v>
      </c>
      <c r="F648" t="str">
        <f>VLOOKUP(Tabla1[[#This Row],[IDProducto]],producto!$A$1:$C$33,2,FALSE)</f>
        <v>Producto_30</v>
      </c>
      <c r="G648" t="str">
        <f>VLOOKUP(Tabla1[[#This Row],[IDProducto]],producto!$A$1:$C$33,3,FALSE)</f>
        <v>Hogar</v>
      </c>
      <c r="H648" s="6" t="str">
        <f>VLOOKUP(Tabla1[[#This Row],[Estado]],Tabla3[#All],2,0)</f>
        <v>Occidente</v>
      </c>
    </row>
    <row r="649" spans="1:8" ht="15.75" customHeight="1" x14ac:dyDescent="0.25">
      <c r="A649" s="1">
        <v>200647</v>
      </c>
      <c r="B649" s="2">
        <v>45798</v>
      </c>
      <c r="C649" s="1">
        <v>4</v>
      </c>
      <c r="D649" s="1" t="s">
        <v>7</v>
      </c>
      <c r="E649" s="1">
        <v>1474</v>
      </c>
      <c r="F649" t="str">
        <f>VLOOKUP(Tabla1[[#This Row],[IDProducto]],producto!$A$1:$C$33,2,FALSE)</f>
        <v>Producto_4</v>
      </c>
      <c r="G649" t="str">
        <f>VLOOKUP(Tabla1[[#This Row],[IDProducto]],producto!$A$1:$C$33,3,FALSE)</f>
        <v>Deportes</v>
      </c>
      <c r="H649" s="6" t="str">
        <f>VLOOKUP(Tabla1[[#This Row],[Estado]],Tabla3[#All],2,0)</f>
        <v>Norte</v>
      </c>
    </row>
    <row r="650" spans="1:8" ht="15.75" customHeight="1" x14ac:dyDescent="0.25">
      <c r="A650" s="1">
        <v>200648</v>
      </c>
      <c r="B650" s="2">
        <v>45780</v>
      </c>
      <c r="C650" s="1">
        <v>31</v>
      </c>
      <c r="D650" s="1" t="s">
        <v>9</v>
      </c>
      <c r="E650" s="1">
        <v>178</v>
      </c>
      <c r="F650" t="str">
        <f>VLOOKUP(Tabla1[[#This Row],[IDProducto]],producto!$A$1:$C$33,2,FALSE)</f>
        <v>Producto_31</v>
      </c>
      <c r="G650" t="str">
        <f>VLOOKUP(Tabla1[[#This Row],[IDProducto]],producto!$A$1:$C$33,3,FALSE)</f>
        <v>Deportes</v>
      </c>
      <c r="H650" s="6" t="str">
        <f>VLOOKUP(Tabla1[[#This Row],[Estado]],Tabla3[#All],2,0)</f>
        <v>Sur</v>
      </c>
    </row>
    <row r="651" spans="1:8" ht="15.75" customHeight="1" x14ac:dyDescent="0.25">
      <c r="A651" s="1">
        <v>200649</v>
      </c>
      <c r="B651" s="2">
        <v>45724</v>
      </c>
      <c r="C651" s="1">
        <v>21</v>
      </c>
      <c r="D651" s="1" t="s">
        <v>6</v>
      </c>
      <c r="E651" s="1">
        <v>1693</v>
      </c>
      <c r="F651" t="str">
        <f>VLOOKUP(Tabla1[[#This Row],[IDProducto]],producto!$A$1:$C$33,2,FALSE)</f>
        <v>Producto_21</v>
      </c>
      <c r="G651" t="str">
        <f>VLOOKUP(Tabla1[[#This Row],[IDProducto]],producto!$A$1:$C$33,3,FALSE)</f>
        <v>Electrónica</v>
      </c>
      <c r="H651" s="6" t="str">
        <f>VLOOKUP(Tabla1[[#This Row],[Estado]],Tabla3[#All],2,0)</f>
        <v>Occidente</v>
      </c>
    </row>
    <row r="652" spans="1:8" ht="15.75" customHeight="1" x14ac:dyDescent="0.25">
      <c r="A652" s="1">
        <v>200650</v>
      </c>
      <c r="B652" s="2">
        <v>45811</v>
      </c>
      <c r="C652" s="1">
        <v>2</v>
      </c>
      <c r="D652" s="1" t="s">
        <v>10</v>
      </c>
      <c r="E652" s="1">
        <v>740</v>
      </c>
      <c r="F652" t="str">
        <f>VLOOKUP(Tabla1[[#This Row],[IDProducto]],producto!$A$1:$C$33,2,FALSE)</f>
        <v>Producto_2</v>
      </c>
      <c r="G652" t="str">
        <f>VLOOKUP(Tabla1[[#This Row],[IDProducto]],producto!$A$1:$C$33,3,FALSE)</f>
        <v>Deportes</v>
      </c>
      <c r="H652" s="6" t="str">
        <f>VLOOKUP(Tabla1[[#This Row],[Estado]],Tabla3[#All],2,0)</f>
        <v>Centro</v>
      </c>
    </row>
    <row r="653" spans="1:8" ht="15.75" customHeight="1" x14ac:dyDescent="0.25">
      <c r="A653" s="1">
        <v>200651</v>
      </c>
      <c r="B653" s="2">
        <v>45798</v>
      </c>
      <c r="C653" s="1">
        <v>21</v>
      </c>
      <c r="D653" s="1" t="s">
        <v>7</v>
      </c>
      <c r="E653" s="1">
        <v>1765</v>
      </c>
      <c r="F653" t="str">
        <f>VLOOKUP(Tabla1[[#This Row],[IDProducto]],producto!$A$1:$C$33,2,FALSE)</f>
        <v>Producto_21</v>
      </c>
      <c r="G653" t="str">
        <f>VLOOKUP(Tabla1[[#This Row],[IDProducto]],producto!$A$1:$C$33,3,FALSE)</f>
        <v>Electrónica</v>
      </c>
      <c r="H653" s="6" t="str">
        <f>VLOOKUP(Tabla1[[#This Row],[Estado]],Tabla3[#All],2,0)</f>
        <v>Norte</v>
      </c>
    </row>
    <row r="654" spans="1:8" ht="15.75" customHeight="1" x14ac:dyDescent="0.25">
      <c r="A654" s="1">
        <v>200652</v>
      </c>
      <c r="B654" s="2">
        <v>45700</v>
      </c>
      <c r="C654" s="1">
        <v>23</v>
      </c>
      <c r="D654" s="1" t="s">
        <v>9</v>
      </c>
      <c r="E654" s="1">
        <v>1363</v>
      </c>
      <c r="F654" t="str">
        <f>VLOOKUP(Tabla1[[#This Row],[IDProducto]],producto!$A$1:$C$33,2,FALSE)</f>
        <v>Producto_23</v>
      </c>
      <c r="G654" t="str">
        <f>VLOOKUP(Tabla1[[#This Row],[IDProducto]],producto!$A$1:$C$33,3,FALSE)</f>
        <v>Deportes</v>
      </c>
      <c r="H654" s="6" t="str">
        <f>VLOOKUP(Tabla1[[#This Row],[Estado]],Tabla3[#All],2,0)</f>
        <v>Sur</v>
      </c>
    </row>
    <row r="655" spans="1:8" ht="15.75" customHeight="1" x14ac:dyDescent="0.25">
      <c r="A655" s="1">
        <v>200653</v>
      </c>
      <c r="B655" s="2">
        <v>45754</v>
      </c>
      <c r="C655" s="1">
        <v>31</v>
      </c>
      <c r="D655" s="1" t="s">
        <v>12</v>
      </c>
      <c r="E655" s="1">
        <v>1501</v>
      </c>
      <c r="F655" t="str">
        <f>VLOOKUP(Tabla1[[#This Row],[IDProducto]],producto!$A$1:$C$33,2,FALSE)</f>
        <v>Producto_31</v>
      </c>
      <c r="G655" t="str">
        <f>VLOOKUP(Tabla1[[#This Row],[IDProducto]],producto!$A$1:$C$33,3,FALSE)</f>
        <v>Deportes</v>
      </c>
      <c r="H655" s="6" t="str">
        <f>VLOOKUP(Tabla1[[#This Row],[Estado]],Tabla3[#All],2,0)</f>
        <v>Centro</v>
      </c>
    </row>
    <row r="656" spans="1:8" ht="15.75" customHeight="1" x14ac:dyDescent="0.25">
      <c r="A656" s="1">
        <v>200654</v>
      </c>
      <c r="B656" s="2">
        <v>45698</v>
      </c>
      <c r="C656" s="1">
        <v>3</v>
      </c>
      <c r="D656" s="1" t="s">
        <v>8</v>
      </c>
      <c r="E656" s="1">
        <v>1189</v>
      </c>
      <c r="F656" t="str">
        <f>VLOOKUP(Tabla1[[#This Row],[IDProducto]],producto!$A$1:$C$33,2,FALSE)</f>
        <v>Producto_3</v>
      </c>
      <c r="G656" t="str">
        <f>VLOOKUP(Tabla1[[#This Row],[IDProducto]],producto!$A$1:$C$33,3,FALSE)</f>
        <v>Deportes</v>
      </c>
      <c r="H656" s="6" t="str">
        <f>VLOOKUP(Tabla1[[#This Row],[Estado]],Tabla3[#All],2,0)</f>
        <v>Norte</v>
      </c>
    </row>
    <row r="657" spans="1:8" ht="15.75" customHeight="1" x14ac:dyDescent="0.25">
      <c r="A657" s="1">
        <v>200655</v>
      </c>
      <c r="B657" s="2">
        <v>45772</v>
      </c>
      <c r="C657" s="1">
        <v>1</v>
      </c>
      <c r="D657" s="1" t="s">
        <v>8</v>
      </c>
      <c r="E657" s="1">
        <v>1216</v>
      </c>
      <c r="F657" t="str">
        <f>VLOOKUP(Tabla1[[#This Row],[IDProducto]],producto!$A$1:$C$33,2,FALSE)</f>
        <v>Producto_1</v>
      </c>
      <c r="G657" t="str">
        <f>VLOOKUP(Tabla1[[#This Row],[IDProducto]],producto!$A$1:$C$33,3,FALSE)</f>
        <v>Hogar</v>
      </c>
      <c r="H657" s="6" t="str">
        <f>VLOOKUP(Tabla1[[#This Row],[Estado]],Tabla3[#All],2,0)</f>
        <v>Norte</v>
      </c>
    </row>
    <row r="658" spans="1:8" ht="15.75" customHeight="1" x14ac:dyDescent="0.25">
      <c r="A658" s="1">
        <v>200656</v>
      </c>
      <c r="B658" s="2">
        <v>45751</v>
      </c>
      <c r="C658" s="1">
        <v>30</v>
      </c>
      <c r="D658" s="1" t="s">
        <v>7</v>
      </c>
      <c r="E658" s="1">
        <v>951</v>
      </c>
      <c r="F658" t="str">
        <f>VLOOKUP(Tabla1[[#This Row],[IDProducto]],producto!$A$1:$C$33,2,FALSE)</f>
        <v>Producto_30</v>
      </c>
      <c r="G658" t="str">
        <f>VLOOKUP(Tabla1[[#This Row],[IDProducto]],producto!$A$1:$C$33,3,FALSE)</f>
        <v>Hogar</v>
      </c>
      <c r="H658" s="6" t="str">
        <f>VLOOKUP(Tabla1[[#This Row],[Estado]],Tabla3[#All],2,0)</f>
        <v>Norte</v>
      </c>
    </row>
    <row r="659" spans="1:8" ht="15.75" customHeight="1" x14ac:dyDescent="0.25">
      <c r="A659" s="1">
        <v>200657</v>
      </c>
      <c r="B659" s="2">
        <v>45692</v>
      </c>
      <c r="C659" s="1">
        <v>7</v>
      </c>
      <c r="D659" s="1" t="s">
        <v>8</v>
      </c>
      <c r="E659" s="1">
        <v>351</v>
      </c>
      <c r="F659" t="str">
        <f>VLOOKUP(Tabla1[[#This Row],[IDProducto]],producto!$A$1:$C$33,2,FALSE)</f>
        <v>Producto_7</v>
      </c>
      <c r="G659" t="str">
        <f>VLOOKUP(Tabla1[[#This Row],[IDProducto]],producto!$A$1:$C$33,3,FALSE)</f>
        <v>Ropa</v>
      </c>
      <c r="H659" s="6" t="str">
        <f>VLOOKUP(Tabla1[[#This Row],[Estado]],Tabla3[#All],2,0)</f>
        <v>Norte</v>
      </c>
    </row>
    <row r="660" spans="1:8" ht="15.75" customHeight="1" x14ac:dyDescent="0.25">
      <c r="A660" s="1">
        <v>200658</v>
      </c>
      <c r="B660" s="2">
        <v>45834</v>
      </c>
      <c r="C660" s="1">
        <v>9</v>
      </c>
      <c r="D660" s="1" t="s">
        <v>7</v>
      </c>
      <c r="E660" s="1">
        <v>127</v>
      </c>
      <c r="F660" t="str">
        <f>VLOOKUP(Tabla1[[#This Row],[IDProducto]],producto!$A$1:$C$33,2,FALSE)</f>
        <v>Producto_9</v>
      </c>
      <c r="G660" t="str">
        <f>VLOOKUP(Tabla1[[#This Row],[IDProducto]],producto!$A$1:$C$33,3,FALSE)</f>
        <v>Electrónica</v>
      </c>
      <c r="H660" s="6" t="str">
        <f>VLOOKUP(Tabla1[[#This Row],[Estado]],Tabla3[#All],2,0)</f>
        <v>Norte</v>
      </c>
    </row>
    <row r="661" spans="1:8" ht="15.75" customHeight="1" x14ac:dyDescent="0.25">
      <c r="A661" s="1">
        <v>200659</v>
      </c>
      <c r="B661" s="2">
        <v>45781</v>
      </c>
      <c r="C661" s="1">
        <v>20</v>
      </c>
      <c r="D661" s="1" t="s">
        <v>11</v>
      </c>
      <c r="E661" s="1">
        <v>820</v>
      </c>
      <c r="F661" t="str">
        <f>VLOOKUP(Tabla1[[#This Row],[IDProducto]],producto!$A$1:$C$33,2,FALSE)</f>
        <v>Producto_20</v>
      </c>
      <c r="G661" t="str">
        <f>VLOOKUP(Tabla1[[#This Row],[IDProducto]],producto!$A$1:$C$33,3,FALSE)</f>
        <v>Deportes</v>
      </c>
      <c r="H661" s="6" t="str">
        <f>VLOOKUP(Tabla1[[#This Row],[Estado]],Tabla3[#All],2,0)</f>
        <v>Occidente</v>
      </c>
    </row>
    <row r="662" spans="1:8" ht="15.75" customHeight="1" x14ac:dyDescent="0.25">
      <c r="A662" s="1">
        <v>200660</v>
      </c>
      <c r="B662" s="2">
        <v>45690</v>
      </c>
      <c r="C662" s="1">
        <v>24</v>
      </c>
      <c r="D662" s="1" t="s">
        <v>9</v>
      </c>
      <c r="E662" s="1">
        <v>1511</v>
      </c>
      <c r="F662" t="str">
        <f>VLOOKUP(Tabla1[[#This Row],[IDProducto]],producto!$A$1:$C$33,2,FALSE)</f>
        <v>Producto_24</v>
      </c>
      <c r="G662" t="str">
        <f>VLOOKUP(Tabla1[[#This Row],[IDProducto]],producto!$A$1:$C$33,3,FALSE)</f>
        <v>Ropa</v>
      </c>
      <c r="H662" s="6" t="str">
        <f>VLOOKUP(Tabla1[[#This Row],[Estado]],Tabla3[#All],2,0)</f>
        <v>Sur</v>
      </c>
    </row>
    <row r="663" spans="1:8" ht="15.75" customHeight="1" x14ac:dyDescent="0.25">
      <c r="A663" s="1">
        <v>200661</v>
      </c>
      <c r="B663" s="2">
        <v>45827</v>
      </c>
      <c r="C663" s="1">
        <v>6</v>
      </c>
      <c r="D663" s="1" t="s">
        <v>12</v>
      </c>
      <c r="E663" s="1">
        <v>1581</v>
      </c>
      <c r="F663" t="str">
        <f>VLOOKUP(Tabla1[[#This Row],[IDProducto]],producto!$A$1:$C$33,2,FALSE)</f>
        <v>Producto_6</v>
      </c>
      <c r="G663" t="str">
        <f>VLOOKUP(Tabla1[[#This Row],[IDProducto]],producto!$A$1:$C$33,3,FALSE)</f>
        <v>Electrónica</v>
      </c>
      <c r="H663" s="6" t="str">
        <f>VLOOKUP(Tabla1[[#This Row],[Estado]],Tabla3[#All],2,0)</f>
        <v>Centro</v>
      </c>
    </row>
    <row r="664" spans="1:8" ht="15.75" customHeight="1" x14ac:dyDescent="0.25">
      <c r="A664" s="1">
        <v>200662</v>
      </c>
      <c r="B664" s="2">
        <v>45762</v>
      </c>
      <c r="C664" s="1">
        <v>27</v>
      </c>
      <c r="D664" s="1" t="s">
        <v>10</v>
      </c>
      <c r="E664" s="1">
        <v>691</v>
      </c>
      <c r="F664" t="str">
        <f>VLOOKUP(Tabla1[[#This Row],[IDProducto]],producto!$A$1:$C$33,2,FALSE)</f>
        <v>Producto_27</v>
      </c>
      <c r="G664" t="str">
        <f>VLOOKUP(Tabla1[[#This Row],[IDProducto]],producto!$A$1:$C$33,3,FALSE)</f>
        <v>Electrónica</v>
      </c>
      <c r="H664" s="6" t="str">
        <f>VLOOKUP(Tabla1[[#This Row],[Estado]],Tabla3[#All],2,0)</f>
        <v>Centro</v>
      </c>
    </row>
    <row r="665" spans="1:8" ht="15.75" customHeight="1" x14ac:dyDescent="0.25">
      <c r="A665" s="1">
        <v>200663</v>
      </c>
      <c r="B665" s="2">
        <v>45738</v>
      </c>
      <c r="C665" s="1">
        <v>4</v>
      </c>
      <c r="D665" s="1" t="s">
        <v>10</v>
      </c>
      <c r="E665" s="1">
        <v>343</v>
      </c>
      <c r="F665" t="str">
        <f>VLOOKUP(Tabla1[[#This Row],[IDProducto]],producto!$A$1:$C$33,2,FALSE)</f>
        <v>Producto_4</v>
      </c>
      <c r="G665" t="str">
        <f>VLOOKUP(Tabla1[[#This Row],[IDProducto]],producto!$A$1:$C$33,3,FALSE)</f>
        <v>Deportes</v>
      </c>
      <c r="H665" s="6" t="str">
        <f>VLOOKUP(Tabla1[[#This Row],[Estado]],Tabla3[#All],2,0)</f>
        <v>Centro</v>
      </c>
    </row>
    <row r="666" spans="1:8" ht="15.75" customHeight="1" x14ac:dyDescent="0.25">
      <c r="A666" s="1">
        <v>200664</v>
      </c>
      <c r="B666" s="2">
        <v>45762</v>
      </c>
      <c r="C666" s="1">
        <v>19</v>
      </c>
      <c r="D666" s="1" t="s">
        <v>12</v>
      </c>
      <c r="E666" s="1">
        <v>1266</v>
      </c>
      <c r="F666" t="str">
        <f>VLOOKUP(Tabla1[[#This Row],[IDProducto]],producto!$A$1:$C$33,2,FALSE)</f>
        <v>Producto_19</v>
      </c>
      <c r="G666" t="str">
        <f>VLOOKUP(Tabla1[[#This Row],[IDProducto]],producto!$A$1:$C$33,3,FALSE)</f>
        <v>Ropa</v>
      </c>
      <c r="H666" s="6" t="str">
        <f>VLOOKUP(Tabla1[[#This Row],[Estado]],Tabla3[#All],2,0)</f>
        <v>Centro</v>
      </c>
    </row>
    <row r="667" spans="1:8" ht="15.75" customHeight="1" x14ac:dyDescent="0.25">
      <c r="A667" s="1">
        <v>200665</v>
      </c>
      <c r="B667" s="2">
        <v>45673</v>
      </c>
      <c r="C667" s="1">
        <v>25</v>
      </c>
      <c r="D667" s="1" t="s">
        <v>8</v>
      </c>
      <c r="E667" s="1">
        <v>1737</v>
      </c>
      <c r="F667" t="str">
        <f>VLOOKUP(Tabla1[[#This Row],[IDProducto]],producto!$A$1:$C$33,2,FALSE)</f>
        <v>Producto_25</v>
      </c>
      <c r="G667" t="str">
        <f>VLOOKUP(Tabla1[[#This Row],[IDProducto]],producto!$A$1:$C$33,3,FALSE)</f>
        <v>Electrónica</v>
      </c>
      <c r="H667" s="6" t="str">
        <f>VLOOKUP(Tabla1[[#This Row],[Estado]],Tabla3[#All],2,0)</f>
        <v>Norte</v>
      </c>
    </row>
    <row r="668" spans="1:8" ht="15.75" customHeight="1" x14ac:dyDescent="0.25">
      <c r="A668" s="1">
        <v>200666</v>
      </c>
      <c r="B668" s="2">
        <v>45732</v>
      </c>
      <c r="C668" s="1">
        <v>27</v>
      </c>
      <c r="D668" s="1" t="s">
        <v>7</v>
      </c>
      <c r="E668" s="1">
        <v>146</v>
      </c>
      <c r="F668" t="str">
        <f>VLOOKUP(Tabla1[[#This Row],[IDProducto]],producto!$A$1:$C$33,2,FALSE)</f>
        <v>Producto_27</v>
      </c>
      <c r="G668" t="str">
        <f>VLOOKUP(Tabla1[[#This Row],[IDProducto]],producto!$A$1:$C$33,3,FALSE)</f>
        <v>Electrónica</v>
      </c>
      <c r="H668" s="6" t="str">
        <f>VLOOKUP(Tabla1[[#This Row],[Estado]],Tabla3[#All],2,0)</f>
        <v>Norte</v>
      </c>
    </row>
    <row r="669" spans="1:8" ht="15.75" customHeight="1" x14ac:dyDescent="0.25">
      <c r="A669" s="1">
        <v>200667</v>
      </c>
      <c r="B669" s="2">
        <v>45720</v>
      </c>
      <c r="C669" s="1">
        <v>17</v>
      </c>
      <c r="D669" s="1" t="s">
        <v>5</v>
      </c>
      <c r="E669" s="1">
        <v>989</v>
      </c>
      <c r="F669" t="str">
        <f>VLOOKUP(Tabla1[[#This Row],[IDProducto]],producto!$A$1:$C$33,2,FALSE)</f>
        <v>Producto_17</v>
      </c>
      <c r="G669" t="str">
        <f>VLOOKUP(Tabla1[[#This Row],[IDProducto]],producto!$A$1:$C$33,3,FALSE)</f>
        <v>Ropa</v>
      </c>
      <c r="H669" s="6" t="str">
        <f>VLOOKUP(Tabla1[[#This Row],[Estado]],Tabla3[#All],2,0)</f>
        <v>Centro</v>
      </c>
    </row>
    <row r="670" spans="1:8" ht="15.75" customHeight="1" x14ac:dyDescent="0.25">
      <c r="A670" s="1">
        <v>200668</v>
      </c>
      <c r="B670" s="2">
        <v>45827</v>
      </c>
      <c r="C670" s="1">
        <v>17</v>
      </c>
      <c r="D670" s="1" t="s">
        <v>9</v>
      </c>
      <c r="E670" s="1">
        <v>214</v>
      </c>
      <c r="F670" t="str">
        <f>VLOOKUP(Tabla1[[#This Row],[IDProducto]],producto!$A$1:$C$33,2,FALSE)</f>
        <v>Producto_17</v>
      </c>
      <c r="G670" t="str">
        <f>VLOOKUP(Tabla1[[#This Row],[IDProducto]],producto!$A$1:$C$33,3,FALSE)</f>
        <v>Ropa</v>
      </c>
      <c r="H670" s="6" t="str">
        <f>VLOOKUP(Tabla1[[#This Row],[Estado]],Tabla3[#All],2,0)</f>
        <v>Sur</v>
      </c>
    </row>
    <row r="671" spans="1:8" ht="15.75" customHeight="1" x14ac:dyDescent="0.25">
      <c r="A671" s="1">
        <v>200669</v>
      </c>
      <c r="B671" s="2">
        <v>45709</v>
      </c>
      <c r="C671" s="1">
        <v>26</v>
      </c>
      <c r="D671" s="1" t="s">
        <v>10</v>
      </c>
      <c r="E671" s="1">
        <v>665</v>
      </c>
      <c r="F671" t="str">
        <f>VLOOKUP(Tabla1[[#This Row],[IDProducto]],producto!$A$1:$C$33,2,FALSE)</f>
        <v>Producto_26</v>
      </c>
      <c r="G671" t="str">
        <f>VLOOKUP(Tabla1[[#This Row],[IDProducto]],producto!$A$1:$C$33,3,FALSE)</f>
        <v>Hogar</v>
      </c>
      <c r="H671" s="6" t="str">
        <f>VLOOKUP(Tabla1[[#This Row],[Estado]],Tabla3[#All],2,0)</f>
        <v>Centro</v>
      </c>
    </row>
    <row r="672" spans="1:8" ht="15.75" customHeight="1" x14ac:dyDescent="0.25">
      <c r="A672" s="1">
        <v>200670</v>
      </c>
      <c r="B672" s="2">
        <v>45765</v>
      </c>
      <c r="C672" s="1">
        <v>13</v>
      </c>
      <c r="D672" s="1" t="s">
        <v>9</v>
      </c>
      <c r="E672" s="1">
        <v>267</v>
      </c>
      <c r="F672" t="str">
        <f>VLOOKUP(Tabla1[[#This Row],[IDProducto]],producto!$A$1:$C$33,2,FALSE)</f>
        <v>Producto_13</v>
      </c>
      <c r="G672" t="str">
        <f>VLOOKUP(Tabla1[[#This Row],[IDProducto]],producto!$A$1:$C$33,3,FALSE)</f>
        <v>Deportes</v>
      </c>
      <c r="H672" s="6" t="str">
        <f>VLOOKUP(Tabla1[[#This Row],[Estado]],Tabla3[#All],2,0)</f>
        <v>Sur</v>
      </c>
    </row>
    <row r="673" spans="1:8" ht="15.75" customHeight="1" x14ac:dyDescent="0.25">
      <c r="A673" s="1">
        <v>200671</v>
      </c>
      <c r="B673" s="2">
        <v>45800</v>
      </c>
      <c r="C673" s="1">
        <v>3</v>
      </c>
      <c r="D673" s="1" t="s">
        <v>9</v>
      </c>
      <c r="E673" s="1">
        <v>990</v>
      </c>
      <c r="F673" t="str">
        <f>VLOOKUP(Tabla1[[#This Row],[IDProducto]],producto!$A$1:$C$33,2,FALSE)</f>
        <v>Producto_3</v>
      </c>
      <c r="G673" t="str">
        <f>VLOOKUP(Tabla1[[#This Row],[IDProducto]],producto!$A$1:$C$33,3,FALSE)</f>
        <v>Deportes</v>
      </c>
      <c r="H673" s="6" t="str">
        <f>VLOOKUP(Tabla1[[#This Row],[Estado]],Tabla3[#All],2,0)</f>
        <v>Sur</v>
      </c>
    </row>
    <row r="674" spans="1:8" ht="15.75" customHeight="1" x14ac:dyDescent="0.25">
      <c r="A674" s="1">
        <v>200672</v>
      </c>
      <c r="B674" s="2">
        <v>45776</v>
      </c>
      <c r="C674" s="1">
        <v>12</v>
      </c>
      <c r="D674" s="1" t="s">
        <v>7</v>
      </c>
      <c r="E674" s="1">
        <v>1959</v>
      </c>
      <c r="F674" t="str">
        <f>VLOOKUP(Tabla1[[#This Row],[IDProducto]],producto!$A$1:$C$33,2,FALSE)</f>
        <v>Producto_12</v>
      </c>
      <c r="G674" t="str">
        <f>VLOOKUP(Tabla1[[#This Row],[IDProducto]],producto!$A$1:$C$33,3,FALSE)</f>
        <v>Hogar</v>
      </c>
      <c r="H674" s="6" t="str">
        <f>VLOOKUP(Tabla1[[#This Row],[Estado]],Tabla3[#All],2,0)</f>
        <v>Norte</v>
      </c>
    </row>
    <row r="675" spans="1:8" ht="15.75" customHeight="1" x14ac:dyDescent="0.25">
      <c r="A675" s="1">
        <v>200673</v>
      </c>
      <c r="B675" s="2">
        <v>45795</v>
      </c>
      <c r="C675" s="1">
        <v>32</v>
      </c>
      <c r="D675" s="1" t="s">
        <v>9</v>
      </c>
      <c r="E675" s="1">
        <v>175</v>
      </c>
      <c r="F675" t="str">
        <f>VLOOKUP(Tabla1[[#This Row],[IDProducto]],producto!$A$1:$C$33,2,FALSE)</f>
        <v>Producto_32</v>
      </c>
      <c r="G675" t="str">
        <f>VLOOKUP(Tabla1[[#This Row],[IDProducto]],producto!$A$1:$C$33,3,FALSE)</f>
        <v>Hogar</v>
      </c>
      <c r="H675" s="6" t="str">
        <f>VLOOKUP(Tabla1[[#This Row],[Estado]],Tabla3[#All],2,0)</f>
        <v>Sur</v>
      </c>
    </row>
    <row r="676" spans="1:8" ht="15.75" customHeight="1" x14ac:dyDescent="0.25">
      <c r="A676" s="1">
        <v>200674</v>
      </c>
      <c r="B676" s="2">
        <v>45750</v>
      </c>
      <c r="C676" s="1">
        <v>17</v>
      </c>
      <c r="D676" s="1" t="s">
        <v>6</v>
      </c>
      <c r="E676" s="1">
        <v>1704</v>
      </c>
      <c r="F676" t="str">
        <f>VLOOKUP(Tabla1[[#This Row],[IDProducto]],producto!$A$1:$C$33,2,FALSE)</f>
        <v>Producto_17</v>
      </c>
      <c r="G676" t="str">
        <f>VLOOKUP(Tabla1[[#This Row],[IDProducto]],producto!$A$1:$C$33,3,FALSE)</f>
        <v>Ropa</v>
      </c>
      <c r="H676" s="6" t="str">
        <f>VLOOKUP(Tabla1[[#This Row],[Estado]],Tabla3[#All],2,0)</f>
        <v>Occidente</v>
      </c>
    </row>
    <row r="677" spans="1:8" ht="15.75" customHeight="1" x14ac:dyDescent="0.25">
      <c r="A677" s="1">
        <v>200675</v>
      </c>
      <c r="B677" s="2">
        <v>45733</v>
      </c>
      <c r="C677" s="1">
        <v>11</v>
      </c>
      <c r="D677" s="1" t="s">
        <v>8</v>
      </c>
      <c r="E677" s="1">
        <v>629</v>
      </c>
      <c r="F677" t="str">
        <f>VLOOKUP(Tabla1[[#This Row],[IDProducto]],producto!$A$1:$C$33,2,FALSE)</f>
        <v>Producto_11</v>
      </c>
      <c r="G677" t="str">
        <f>VLOOKUP(Tabla1[[#This Row],[IDProducto]],producto!$A$1:$C$33,3,FALSE)</f>
        <v>Ropa</v>
      </c>
      <c r="H677" s="6" t="str">
        <f>VLOOKUP(Tabla1[[#This Row],[Estado]],Tabla3[#All],2,0)</f>
        <v>Norte</v>
      </c>
    </row>
    <row r="678" spans="1:8" ht="15.75" customHeight="1" x14ac:dyDescent="0.25">
      <c r="A678" s="1">
        <v>200676</v>
      </c>
      <c r="B678" s="2">
        <v>45684</v>
      </c>
      <c r="C678" s="1">
        <v>26</v>
      </c>
      <c r="D678" s="1" t="s">
        <v>9</v>
      </c>
      <c r="E678" s="1">
        <v>409</v>
      </c>
      <c r="F678" t="str">
        <f>VLOOKUP(Tabla1[[#This Row],[IDProducto]],producto!$A$1:$C$33,2,FALSE)</f>
        <v>Producto_26</v>
      </c>
      <c r="G678" t="str">
        <f>VLOOKUP(Tabla1[[#This Row],[IDProducto]],producto!$A$1:$C$33,3,FALSE)</f>
        <v>Hogar</v>
      </c>
      <c r="H678" s="6" t="str">
        <f>VLOOKUP(Tabla1[[#This Row],[Estado]],Tabla3[#All],2,0)</f>
        <v>Sur</v>
      </c>
    </row>
    <row r="679" spans="1:8" ht="15.75" customHeight="1" x14ac:dyDescent="0.25">
      <c r="A679" s="1">
        <v>200677</v>
      </c>
      <c r="B679" s="2">
        <v>45808</v>
      </c>
      <c r="C679" s="1">
        <v>15</v>
      </c>
      <c r="D679" s="1" t="s">
        <v>8</v>
      </c>
      <c r="E679" s="1">
        <v>1714</v>
      </c>
      <c r="F679" t="str">
        <f>VLOOKUP(Tabla1[[#This Row],[IDProducto]],producto!$A$1:$C$33,2,FALSE)</f>
        <v>Producto_15</v>
      </c>
      <c r="G679" t="str">
        <f>VLOOKUP(Tabla1[[#This Row],[IDProducto]],producto!$A$1:$C$33,3,FALSE)</f>
        <v>Hogar</v>
      </c>
      <c r="H679" s="6" t="str">
        <f>VLOOKUP(Tabla1[[#This Row],[Estado]],Tabla3[#All],2,0)</f>
        <v>Norte</v>
      </c>
    </row>
    <row r="680" spans="1:8" ht="15.75" customHeight="1" x14ac:dyDescent="0.25">
      <c r="A680" s="1">
        <v>200678</v>
      </c>
      <c r="B680" s="2">
        <v>45832</v>
      </c>
      <c r="C680" s="1">
        <v>26</v>
      </c>
      <c r="D680" s="1" t="s">
        <v>9</v>
      </c>
      <c r="E680" s="1">
        <v>388</v>
      </c>
      <c r="F680" t="str">
        <f>VLOOKUP(Tabla1[[#This Row],[IDProducto]],producto!$A$1:$C$33,2,FALSE)</f>
        <v>Producto_26</v>
      </c>
      <c r="G680" t="str">
        <f>VLOOKUP(Tabla1[[#This Row],[IDProducto]],producto!$A$1:$C$33,3,FALSE)</f>
        <v>Hogar</v>
      </c>
      <c r="H680" s="6" t="str">
        <f>VLOOKUP(Tabla1[[#This Row],[Estado]],Tabla3[#All],2,0)</f>
        <v>Sur</v>
      </c>
    </row>
    <row r="681" spans="1:8" ht="15.75" customHeight="1" x14ac:dyDescent="0.25">
      <c r="A681" s="1">
        <v>200679</v>
      </c>
      <c r="B681" s="2">
        <v>45690</v>
      </c>
      <c r="C681" s="1">
        <v>30</v>
      </c>
      <c r="D681" s="1" t="s">
        <v>11</v>
      </c>
      <c r="E681" s="1">
        <v>1172</v>
      </c>
      <c r="F681" t="str">
        <f>VLOOKUP(Tabla1[[#This Row],[IDProducto]],producto!$A$1:$C$33,2,FALSE)</f>
        <v>Producto_30</v>
      </c>
      <c r="G681" t="str">
        <f>VLOOKUP(Tabla1[[#This Row],[IDProducto]],producto!$A$1:$C$33,3,FALSE)</f>
        <v>Hogar</v>
      </c>
      <c r="H681" s="6" t="str">
        <f>VLOOKUP(Tabla1[[#This Row],[Estado]],Tabla3[#All],2,0)</f>
        <v>Occidente</v>
      </c>
    </row>
    <row r="682" spans="1:8" ht="15.75" customHeight="1" x14ac:dyDescent="0.25">
      <c r="A682" s="1">
        <v>200680</v>
      </c>
      <c r="B682" s="2">
        <v>45761</v>
      </c>
      <c r="C682" s="1">
        <v>23</v>
      </c>
      <c r="D682" s="1" t="s">
        <v>12</v>
      </c>
      <c r="E682" s="1">
        <v>1061</v>
      </c>
      <c r="F682" t="str">
        <f>VLOOKUP(Tabla1[[#This Row],[IDProducto]],producto!$A$1:$C$33,2,FALSE)</f>
        <v>Producto_23</v>
      </c>
      <c r="G682" t="str">
        <f>VLOOKUP(Tabla1[[#This Row],[IDProducto]],producto!$A$1:$C$33,3,FALSE)</f>
        <v>Deportes</v>
      </c>
      <c r="H682" s="6" t="str">
        <f>VLOOKUP(Tabla1[[#This Row],[Estado]],Tabla3[#All],2,0)</f>
        <v>Centro</v>
      </c>
    </row>
    <row r="683" spans="1:8" ht="15.75" customHeight="1" x14ac:dyDescent="0.25">
      <c r="A683" s="1">
        <v>200681</v>
      </c>
      <c r="B683" s="2">
        <v>45722</v>
      </c>
      <c r="C683" s="1">
        <v>1</v>
      </c>
      <c r="D683" s="1" t="s">
        <v>5</v>
      </c>
      <c r="E683" s="1">
        <v>462</v>
      </c>
      <c r="F683" t="str">
        <f>VLOOKUP(Tabla1[[#This Row],[IDProducto]],producto!$A$1:$C$33,2,FALSE)</f>
        <v>Producto_1</v>
      </c>
      <c r="G683" t="str">
        <f>VLOOKUP(Tabla1[[#This Row],[IDProducto]],producto!$A$1:$C$33,3,FALSE)</f>
        <v>Hogar</v>
      </c>
      <c r="H683" s="6" t="str">
        <f>VLOOKUP(Tabla1[[#This Row],[Estado]],Tabla3[#All],2,0)</f>
        <v>Centro</v>
      </c>
    </row>
    <row r="684" spans="1:8" ht="15.75" customHeight="1" x14ac:dyDescent="0.25">
      <c r="A684" s="1">
        <v>200682</v>
      </c>
      <c r="B684" s="2">
        <v>45765</v>
      </c>
      <c r="C684" s="1">
        <v>28</v>
      </c>
      <c r="D684" s="1" t="s">
        <v>12</v>
      </c>
      <c r="E684" s="1">
        <v>571</v>
      </c>
      <c r="F684" t="str">
        <f>VLOOKUP(Tabla1[[#This Row],[IDProducto]],producto!$A$1:$C$33,2,FALSE)</f>
        <v>Producto_28</v>
      </c>
      <c r="G684" t="str">
        <f>VLOOKUP(Tabla1[[#This Row],[IDProducto]],producto!$A$1:$C$33,3,FALSE)</f>
        <v>Hogar</v>
      </c>
      <c r="H684" s="6" t="str">
        <f>VLOOKUP(Tabla1[[#This Row],[Estado]],Tabla3[#All],2,0)</f>
        <v>Centro</v>
      </c>
    </row>
    <row r="685" spans="1:8" ht="15.75" customHeight="1" x14ac:dyDescent="0.25">
      <c r="A685" s="1">
        <v>200683</v>
      </c>
      <c r="B685" s="2">
        <v>45729</v>
      </c>
      <c r="C685" s="1">
        <v>20</v>
      </c>
      <c r="D685" s="1" t="s">
        <v>5</v>
      </c>
      <c r="E685" s="1">
        <v>627</v>
      </c>
      <c r="F685" t="str">
        <f>VLOOKUP(Tabla1[[#This Row],[IDProducto]],producto!$A$1:$C$33,2,FALSE)</f>
        <v>Producto_20</v>
      </c>
      <c r="G685" t="str">
        <f>VLOOKUP(Tabla1[[#This Row],[IDProducto]],producto!$A$1:$C$33,3,FALSE)</f>
        <v>Deportes</v>
      </c>
      <c r="H685" s="6" t="str">
        <f>VLOOKUP(Tabla1[[#This Row],[Estado]],Tabla3[#All],2,0)</f>
        <v>Centro</v>
      </c>
    </row>
    <row r="686" spans="1:8" ht="15.75" customHeight="1" x14ac:dyDescent="0.25">
      <c r="A686" s="1">
        <v>200684</v>
      </c>
      <c r="B686" s="2">
        <v>45777</v>
      </c>
      <c r="C686" s="1">
        <v>30</v>
      </c>
      <c r="D686" s="1" t="s">
        <v>12</v>
      </c>
      <c r="E686" s="1">
        <v>1226</v>
      </c>
      <c r="F686" t="str">
        <f>VLOOKUP(Tabla1[[#This Row],[IDProducto]],producto!$A$1:$C$33,2,FALSE)</f>
        <v>Producto_30</v>
      </c>
      <c r="G686" t="str">
        <f>VLOOKUP(Tabla1[[#This Row],[IDProducto]],producto!$A$1:$C$33,3,FALSE)</f>
        <v>Hogar</v>
      </c>
      <c r="H686" s="6" t="str">
        <f>VLOOKUP(Tabla1[[#This Row],[Estado]],Tabla3[#All],2,0)</f>
        <v>Centro</v>
      </c>
    </row>
    <row r="687" spans="1:8" ht="15.75" customHeight="1" x14ac:dyDescent="0.25">
      <c r="A687" s="1">
        <v>200685</v>
      </c>
      <c r="B687" s="2">
        <v>45761</v>
      </c>
      <c r="C687" s="1">
        <v>10</v>
      </c>
      <c r="D687" s="1" t="s">
        <v>12</v>
      </c>
      <c r="E687" s="1">
        <v>284</v>
      </c>
      <c r="F687" t="str">
        <f>VLOOKUP(Tabla1[[#This Row],[IDProducto]],producto!$A$1:$C$33,2,FALSE)</f>
        <v>Producto_10</v>
      </c>
      <c r="G687" t="str">
        <f>VLOOKUP(Tabla1[[#This Row],[IDProducto]],producto!$A$1:$C$33,3,FALSE)</f>
        <v>Ropa</v>
      </c>
      <c r="H687" s="6" t="str">
        <f>VLOOKUP(Tabla1[[#This Row],[Estado]],Tabla3[#All],2,0)</f>
        <v>Centro</v>
      </c>
    </row>
    <row r="688" spans="1:8" ht="15.75" customHeight="1" x14ac:dyDescent="0.25">
      <c r="A688" s="1">
        <v>200686</v>
      </c>
      <c r="B688" s="2">
        <v>45714</v>
      </c>
      <c r="C688" s="1">
        <v>31</v>
      </c>
      <c r="D688" s="1" t="s">
        <v>8</v>
      </c>
      <c r="E688" s="1">
        <v>594</v>
      </c>
      <c r="F688" t="str">
        <f>VLOOKUP(Tabla1[[#This Row],[IDProducto]],producto!$A$1:$C$33,2,FALSE)</f>
        <v>Producto_31</v>
      </c>
      <c r="G688" t="str">
        <f>VLOOKUP(Tabla1[[#This Row],[IDProducto]],producto!$A$1:$C$33,3,FALSE)</f>
        <v>Deportes</v>
      </c>
      <c r="H688" s="6" t="str">
        <f>VLOOKUP(Tabla1[[#This Row],[Estado]],Tabla3[#All],2,0)</f>
        <v>Norte</v>
      </c>
    </row>
    <row r="689" spans="1:8" ht="15.75" customHeight="1" x14ac:dyDescent="0.25">
      <c r="A689" s="1">
        <v>200687</v>
      </c>
      <c r="B689" s="2">
        <v>45698</v>
      </c>
      <c r="C689" s="1">
        <v>2</v>
      </c>
      <c r="D689" s="1" t="s">
        <v>6</v>
      </c>
      <c r="E689" s="1">
        <v>605</v>
      </c>
      <c r="F689" t="str">
        <f>VLOOKUP(Tabla1[[#This Row],[IDProducto]],producto!$A$1:$C$33,2,FALSE)</f>
        <v>Producto_2</v>
      </c>
      <c r="G689" t="str">
        <f>VLOOKUP(Tabla1[[#This Row],[IDProducto]],producto!$A$1:$C$33,3,FALSE)</f>
        <v>Deportes</v>
      </c>
      <c r="H689" s="6" t="str">
        <f>VLOOKUP(Tabla1[[#This Row],[Estado]],Tabla3[#All],2,0)</f>
        <v>Occidente</v>
      </c>
    </row>
    <row r="690" spans="1:8" ht="15.75" customHeight="1" x14ac:dyDescent="0.25">
      <c r="A690" s="1">
        <v>200688</v>
      </c>
      <c r="B690" s="2">
        <v>45812</v>
      </c>
      <c r="C690" s="1">
        <v>6</v>
      </c>
      <c r="D690" s="1" t="s">
        <v>11</v>
      </c>
      <c r="E690" s="1">
        <v>389</v>
      </c>
      <c r="F690" t="str">
        <f>VLOOKUP(Tabla1[[#This Row],[IDProducto]],producto!$A$1:$C$33,2,FALSE)</f>
        <v>Producto_6</v>
      </c>
      <c r="G690" t="str">
        <f>VLOOKUP(Tabla1[[#This Row],[IDProducto]],producto!$A$1:$C$33,3,FALSE)</f>
        <v>Electrónica</v>
      </c>
      <c r="H690" s="6" t="str">
        <f>VLOOKUP(Tabla1[[#This Row],[Estado]],Tabla3[#All],2,0)</f>
        <v>Occidente</v>
      </c>
    </row>
    <row r="691" spans="1:8" ht="15.75" customHeight="1" x14ac:dyDescent="0.25">
      <c r="A691" s="1">
        <v>200689</v>
      </c>
      <c r="B691" s="2">
        <v>45700</v>
      </c>
      <c r="C691" s="1">
        <v>9</v>
      </c>
      <c r="D691" s="1" t="s">
        <v>8</v>
      </c>
      <c r="E691" s="1">
        <v>298</v>
      </c>
      <c r="F691" t="str">
        <f>VLOOKUP(Tabla1[[#This Row],[IDProducto]],producto!$A$1:$C$33,2,FALSE)</f>
        <v>Producto_9</v>
      </c>
      <c r="G691" t="str">
        <f>VLOOKUP(Tabla1[[#This Row],[IDProducto]],producto!$A$1:$C$33,3,FALSE)</f>
        <v>Electrónica</v>
      </c>
      <c r="H691" s="6" t="str">
        <f>VLOOKUP(Tabla1[[#This Row],[Estado]],Tabla3[#All],2,0)</f>
        <v>Norte</v>
      </c>
    </row>
    <row r="692" spans="1:8" ht="15.75" customHeight="1" x14ac:dyDescent="0.25">
      <c r="A692" s="1">
        <v>200690</v>
      </c>
      <c r="B692" s="2">
        <v>45684</v>
      </c>
      <c r="C692" s="1">
        <v>7</v>
      </c>
      <c r="D692" s="1" t="s">
        <v>10</v>
      </c>
      <c r="E692" s="1">
        <v>1419</v>
      </c>
      <c r="F692" t="str">
        <f>VLOOKUP(Tabla1[[#This Row],[IDProducto]],producto!$A$1:$C$33,2,FALSE)</f>
        <v>Producto_7</v>
      </c>
      <c r="G692" t="str">
        <f>VLOOKUP(Tabla1[[#This Row],[IDProducto]],producto!$A$1:$C$33,3,FALSE)</f>
        <v>Ropa</v>
      </c>
      <c r="H692" s="6" t="str">
        <f>VLOOKUP(Tabla1[[#This Row],[Estado]],Tabla3[#All],2,0)</f>
        <v>Centro</v>
      </c>
    </row>
    <row r="693" spans="1:8" ht="15.75" customHeight="1" x14ac:dyDescent="0.25">
      <c r="A693" s="1">
        <v>200691</v>
      </c>
      <c r="B693" s="2">
        <v>45820</v>
      </c>
      <c r="C693" s="1">
        <v>11</v>
      </c>
      <c r="D693" s="1" t="s">
        <v>5</v>
      </c>
      <c r="E693" s="1">
        <v>574</v>
      </c>
      <c r="F693" t="str">
        <f>VLOOKUP(Tabla1[[#This Row],[IDProducto]],producto!$A$1:$C$33,2,FALSE)</f>
        <v>Producto_11</v>
      </c>
      <c r="G693" t="str">
        <f>VLOOKUP(Tabla1[[#This Row],[IDProducto]],producto!$A$1:$C$33,3,FALSE)</f>
        <v>Ropa</v>
      </c>
      <c r="H693" s="6" t="str">
        <f>VLOOKUP(Tabla1[[#This Row],[Estado]],Tabla3[#All],2,0)</f>
        <v>Centro</v>
      </c>
    </row>
    <row r="694" spans="1:8" ht="15.75" customHeight="1" x14ac:dyDescent="0.25">
      <c r="A694" s="1">
        <v>200692</v>
      </c>
      <c r="B694" s="2">
        <v>45759</v>
      </c>
      <c r="C694" s="1">
        <v>13</v>
      </c>
      <c r="D694" s="1" t="s">
        <v>7</v>
      </c>
      <c r="E694" s="1">
        <v>1446</v>
      </c>
      <c r="F694" t="str">
        <f>VLOOKUP(Tabla1[[#This Row],[IDProducto]],producto!$A$1:$C$33,2,FALSE)</f>
        <v>Producto_13</v>
      </c>
      <c r="G694" t="str">
        <f>VLOOKUP(Tabla1[[#This Row],[IDProducto]],producto!$A$1:$C$33,3,FALSE)</f>
        <v>Deportes</v>
      </c>
      <c r="H694" s="6" t="str">
        <f>VLOOKUP(Tabla1[[#This Row],[Estado]],Tabla3[#All],2,0)</f>
        <v>Norte</v>
      </c>
    </row>
    <row r="695" spans="1:8" ht="15.75" customHeight="1" x14ac:dyDescent="0.25">
      <c r="A695" s="1">
        <v>200693</v>
      </c>
      <c r="B695" s="2">
        <v>45756</v>
      </c>
      <c r="C695" s="1">
        <v>17</v>
      </c>
      <c r="D695" s="1" t="s">
        <v>5</v>
      </c>
      <c r="E695" s="1">
        <v>183</v>
      </c>
      <c r="F695" t="str">
        <f>VLOOKUP(Tabla1[[#This Row],[IDProducto]],producto!$A$1:$C$33,2,FALSE)</f>
        <v>Producto_17</v>
      </c>
      <c r="G695" t="str">
        <f>VLOOKUP(Tabla1[[#This Row],[IDProducto]],producto!$A$1:$C$33,3,FALSE)</f>
        <v>Ropa</v>
      </c>
      <c r="H695" s="6" t="str">
        <f>VLOOKUP(Tabla1[[#This Row],[Estado]],Tabla3[#All],2,0)</f>
        <v>Centro</v>
      </c>
    </row>
    <row r="696" spans="1:8" ht="15.75" customHeight="1" x14ac:dyDescent="0.25">
      <c r="A696" s="1">
        <v>200694</v>
      </c>
      <c r="B696" s="2">
        <v>45699</v>
      </c>
      <c r="C696" s="1">
        <v>12</v>
      </c>
      <c r="D696" s="1" t="s">
        <v>5</v>
      </c>
      <c r="E696" s="1">
        <v>1433</v>
      </c>
      <c r="F696" t="str">
        <f>VLOOKUP(Tabla1[[#This Row],[IDProducto]],producto!$A$1:$C$33,2,FALSE)</f>
        <v>Producto_12</v>
      </c>
      <c r="G696" t="str">
        <f>VLOOKUP(Tabla1[[#This Row],[IDProducto]],producto!$A$1:$C$33,3,FALSE)</f>
        <v>Hogar</v>
      </c>
      <c r="H696" s="6" t="str">
        <f>VLOOKUP(Tabla1[[#This Row],[Estado]],Tabla3[#All],2,0)</f>
        <v>Centro</v>
      </c>
    </row>
    <row r="697" spans="1:8" ht="15.75" customHeight="1" x14ac:dyDescent="0.25">
      <c r="A697" s="1">
        <v>200695</v>
      </c>
      <c r="B697" s="2">
        <v>45814</v>
      </c>
      <c r="C697" s="1">
        <v>6</v>
      </c>
      <c r="D697" s="1" t="s">
        <v>8</v>
      </c>
      <c r="E697" s="1">
        <v>1110</v>
      </c>
      <c r="F697" t="str">
        <f>VLOOKUP(Tabla1[[#This Row],[IDProducto]],producto!$A$1:$C$33,2,FALSE)</f>
        <v>Producto_6</v>
      </c>
      <c r="G697" t="str">
        <f>VLOOKUP(Tabla1[[#This Row],[IDProducto]],producto!$A$1:$C$33,3,FALSE)</f>
        <v>Electrónica</v>
      </c>
      <c r="H697" s="6" t="str">
        <f>VLOOKUP(Tabla1[[#This Row],[Estado]],Tabla3[#All],2,0)</f>
        <v>Norte</v>
      </c>
    </row>
    <row r="698" spans="1:8" ht="15.75" customHeight="1" x14ac:dyDescent="0.25">
      <c r="A698" s="1">
        <v>200696</v>
      </c>
      <c r="B698" s="2">
        <v>45678</v>
      </c>
      <c r="C698" s="1">
        <v>25</v>
      </c>
      <c r="D698" s="1" t="s">
        <v>12</v>
      </c>
      <c r="E698" s="1">
        <v>367</v>
      </c>
      <c r="F698" t="str">
        <f>VLOOKUP(Tabla1[[#This Row],[IDProducto]],producto!$A$1:$C$33,2,FALSE)</f>
        <v>Producto_25</v>
      </c>
      <c r="G698" t="str">
        <f>VLOOKUP(Tabla1[[#This Row],[IDProducto]],producto!$A$1:$C$33,3,FALSE)</f>
        <v>Electrónica</v>
      </c>
      <c r="H698" s="6" t="str">
        <f>VLOOKUP(Tabla1[[#This Row],[Estado]],Tabla3[#All],2,0)</f>
        <v>Centro</v>
      </c>
    </row>
    <row r="699" spans="1:8" ht="15.75" customHeight="1" x14ac:dyDescent="0.25">
      <c r="A699" s="1">
        <v>200697</v>
      </c>
      <c r="B699" s="2">
        <v>45767</v>
      </c>
      <c r="C699" s="1">
        <v>17</v>
      </c>
      <c r="D699" s="1" t="s">
        <v>12</v>
      </c>
      <c r="E699" s="1">
        <v>512</v>
      </c>
      <c r="F699" t="str">
        <f>VLOOKUP(Tabla1[[#This Row],[IDProducto]],producto!$A$1:$C$33,2,FALSE)</f>
        <v>Producto_17</v>
      </c>
      <c r="G699" t="str">
        <f>VLOOKUP(Tabla1[[#This Row],[IDProducto]],producto!$A$1:$C$33,3,FALSE)</f>
        <v>Ropa</v>
      </c>
      <c r="H699" s="6" t="str">
        <f>VLOOKUP(Tabla1[[#This Row],[Estado]],Tabla3[#All],2,0)</f>
        <v>Centro</v>
      </c>
    </row>
    <row r="700" spans="1:8" ht="15.75" customHeight="1" x14ac:dyDescent="0.25">
      <c r="A700" s="1">
        <v>200698</v>
      </c>
      <c r="B700" s="2">
        <v>45816</v>
      </c>
      <c r="C700" s="1">
        <v>3</v>
      </c>
      <c r="D700" s="1" t="s">
        <v>12</v>
      </c>
      <c r="E700" s="1">
        <v>1078</v>
      </c>
      <c r="F700" t="str">
        <f>VLOOKUP(Tabla1[[#This Row],[IDProducto]],producto!$A$1:$C$33,2,FALSE)</f>
        <v>Producto_3</v>
      </c>
      <c r="G700" t="str">
        <f>VLOOKUP(Tabla1[[#This Row],[IDProducto]],producto!$A$1:$C$33,3,FALSE)</f>
        <v>Deportes</v>
      </c>
      <c r="H700" s="6" t="str">
        <f>VLOOKUP(Tabla1[[#This Row],[Estado]],Tabla3[#All],2,0)</f>
        <v>Centro</v>
      </c>
    </row>
    <row r="701" spans="1:8" ht="15.75" customHeight="1" x14ac:dyDescent="0.25">
      <c r="A701" s="1">
        <v>200699</v>
      </c>
      <c r="B701" s="2">
        <v>45781</v>
      </c>
      <c r="C701" s="1">
        <v>15</v>
      </c>
      <c r="D701" s="1" t="s">
        <v>5</v>
      </c>
      <c r="E701" s="1">
        <v>190</v>
      </c>
      <c r="F701" t="str">
        <f>VLOOKUP(Tabla1[[#This Row],[IDProducto]],producto!$A$1:$C$33,2,FALSE)</f>
        <v>Producto_15</v>
      </c>
      <c r="G701" t="str">
        <f>VLOOKUP(Tabla1[[#This Row],[IDProducto]],producto!$A$1:$C$33,3,FALSE)</f>
        <v>Hogar</v>
      </c>
      <c r="H701" s="6" t="str">
        <f>VLOOKUP(Tabla1[[#This Row],[Estado]],Tabla3[#All],2,0)</f>
        <v>Centro</v>
      </c>
    </row>
    <row r="702" spans="1:8" ht="15.75" customHeight="1" x14ac:dyDescent="0.25">
      <c r="A702" s="1">
        <v>200700</v>
      </c>
      <c r="B702" s="2">
        <v>45818</v>
      </c>
      <c r="C702" s="1">
        <v>3</v>
      </c>
      <c r="D702" s="1" t="s">
        <v>7</v>
      </c>
      <c r="E702" s="1">
        <v>579</v>
      </c>
      <c r="F702" t="str">
        <f>VLOOKUP(Tabla1[[#This Row],[IDProducto]],producto!$A$1:$C$33,2,FALSE)</f>
        <v>Producto_3</v>
      </c>
      <c r="G702" t="str">
        <f>VLOOKUP(Tabla1[[#This Row],[IDProducto]],producto!$A$1:$C$33,3,FALSE)</f>
        <v>Deportes</v>
      </c>
      <c r="H702" s="6" t="str">
        <f>VLOOKUP(Tabla1[[#This Row],[Estado]],Tabla3[#All],2,0)</f>
        <v>Norte</v>
      </c>
    </row>
    <row r="703" spans="1:8" ht="15.75" customHeight="1" x14ac:dyDescent="0.25">
      <c r="A703" s="1">
        <v>200701</v>
      </c>
      <c r="B703" s="2">
        <v>45718</v>
      </c>
      <c r="C703" s="1">
        <v>23</v>
      </c>
      <c r="D703" s="1" t="s">
        <v>10</v>
      </c>
      <c r="E703" s="1">
        <v>1034</v>
      </c>
      <c r="F703" t="str">
        <f>VLOOKUP(Tabla1[[#This Row],[IDProducto]],producto!$A$1:$C$33,2,FALSE)</f>
        <v>Producto_23</v>
      </c>
      <c r="G703" t="str">
        <f>VLOOKUP(Tabla1[[#This Row],[IDProducto]],producto!$A$1:$C$33,3,FALSE)</f>
        <v>Deportes</v>
      </c>
      <c r="H703" s="6" t="str">
        <f>VLOOKUP(Tabla1[[#This Row],[Estado]],Tabla3[#All],2,0)</f>
        <v>Centro</v>
      </c>
    </row>
    <row r="704" spans="1:8" ht="15.75" customHeight="1" x14ac:dyDescent="0.25">
      <c r="A704" s="1">
        <v>200702</v>
      </c>
      <c r="B704" s="2">
        <v>45770</v>
      </c>
      <c r="C704" s="1">
        <v>25</v>
      </c>
      <c r="D704" s="1" t="s">
        <v>6</v>
      </c>
      <c r="E704" s="1">
        <v>1236</v>
      </c>
      <c r="F704" t="str">
        <f>VLOOKUP(Tabla1[[#This Row],[IDProducto]],producto!$A$1:$C$33,2,FALSE)</f>
        <v>Producto_25</v>
      </c>
      <c r="G704" t="str">
        <f>VLOOKUP(Tabla1[[#This Row],[IDProducto]],producto!$A$1:$C$33,3,FALSE)</f>
        <v>Electrónica</v>
      </c>
      <c r="H704" s="6" t="str">
        <f>VLOOKUP(Tabla1[[#This Row],[Estado]],Tabla3[#All],2,0)</f>
        <v>Occidente</v>
      </c>
    </row>
    <row r="705" spans="1:8" ht="15.75" customHeight="1" x14ac:dyDescent="0.25">
      <c r="A705" s="1">
        <v>200703</v>
      </c>
      <c r="B705" s="2">
        <v>45685</v>
      </c>
      <c r="C705" s="1">
        <v>15</v>
      </c>
      <c r="D705" s="1" t="s">
        <v>9</v>
      </c>
      <c r="E705" s="1">
        <v>1828</v>
      </c>
      <c r="F705" t="str">
        <f>VLOOKUP(Tabla1[[#This Row],[IDProducto]],producto!$A$1:$C$33,2,FALSE)</f>
        <v>Producto_15</v>
      </c>
      <c r="G705" t="str">
        <f>VLOOKUP(Tabla1[[#This Row],[IDProducto]],producto!$A$1:$C$33,3,FALSE)</f>
        <v>Hogar</v>
      </c>
      <c r="H705" s="6" t="str">
        <f>VLOOKUP(Tabla1[[#This Row],[Estado]],Tabla3[#All],2,0)</f>
        <v>Sur</v>
      </c>
    </row>
    <row r="706" spans="1:8" ht="15.75" customHeight="1" x14ac:dyDescent="0.25">
      <c r="A706" s="1">
        <v>200704</v>
      </c>
      <c r="B706" s="2">
        <v>45721</v>
      </c>
      <c r="C706" s="1">
        <v>11</v>
      </c>
      <c r="D706" s="1" t="s">
        <v>12</v>
      </c>
      <c r="E706" s="1">
        <v>1040</v>
      </c>
      <c r="F706" t="str">
        <f>VLOOKUP(Tabla1[[#This Row],[IDProducto]],producto!$A$1:$C$33,2,FALSE)</f>
        <v>Producto_11</v>
      </c>
      <c r="G706" t="str">
        <f>VLOOKUP(Tabla1[[#This Row],[IDProducto]],producto!$A$1:$C$33,3,FALSE)</f>
        <v>Ropa</v>
      </c>
      <c r="H706" s="6" t="str">
        <f>VLOOKUP(Tabla1[[#This Row],[Estado]],Tabla3[#All],2,0)</f>
        <v>Centro</v>
      </c>
    </row>
    <row r="707" spans="1:8" ht="15.75" customHeight="1" x14ac:dyDescent="0.25">
      <c r="A707" s="1">
        <v>200705</v>
      </c>
      <c r="B707" s="2">
        <v>45777</v>
      </c>
      <c r="C707" s="1">
        <v>5</v>
      </c>
      <c r="D707" s="1" t="s">
        <v>9</v>
      </c>
      <c r="E707" s="1">
        <v>1885</v>
      </c>
      <c r="F707" t="str">
        <f>VLOOKUP(Tabla1[[#This Row],[IDProducto]],producto!$A$1:$C$33,2,FALSE)</f>
        <v>Producto_5</v>
      </c>
      <c r="G707" t="str">
        <f>VLOOKUP(Tabla1[[#This Row],[IDProducto]],producto!$A$1:$C$33,3,FALSE)</f>
        <v>Hogar</v>
      </c>
      <c r="H707" s="6" t="str">
        <f>VLOOKUP(Tabla1[[#This Row],[Estado]],Tabla3[#All],2,0)</f>
        <v>Sur</v>
      </c>
    </row>
    <row r="708" spans="1:8" ht="15.75" customHeight="1" x14ac:dyDescent="0.25">
      <c r="A708" s="1">
        <v>200706</v>
      </c>
      <c r="B708" s="2">
        <v>45721</v>
      </c>
      <c r="C708" s="1">
        <v>26</v>
      </c>
      <c r="D708" s="1" t="s">
        <v>8</v>
      </c>
      <c r="E708" s="1">
        <v>1570</v>
      </c>
      <c r="F708" t="str">
        <f>VLOOKUP(Tabla1[[#This Row],[IDProducto]],producto!$A$1:$C$33,2,FALSE)</f>
        <v>Producto_26</v>
      </c>
      <c r="G708" t="str">
        <f>VLOOKUP(Tabla1[[#This Row],[IDProducto]],producto!$A$1:$C$33,3,FALSE)</f>
        <v>Hogar</v>
      </c>
      <c r="H708" s="6" t="str">
        <f>VLOOKUP(Tabla1[[#This Row],[Estado]],Tabla3[#All],2,0)</f>
        <v>Norte</v>
      </c>
    </row>
    <row r="709" spans="1:8" ht="15.75" customHeight="1" x14ac:dyDescent="0.25">
      <c r="A709" s="1">
        <v>200707</v>
      </c>
      <c r="B709" s="2">
        <v>45740</v>
      </c>
      <c r="C709" s="1">
        <v>31</v>
      </c>
      <c r="D709" s="1" t="s">
        <v>10</v>
      </c>
      <c r="E709" s="1">
        <v>1569</v>
      </c>
      <c r="F709" t="str">
        <f>VLOOKUP(Tabla1[[#This Row],[IDProducto]],producto!$A$1:$C$33,2,FALSE)</f>
        <v>Producto_31</v>
      </c>
      <c r="G709" t="str">
        <f>VLOOKUP(Tabla1[[#This Row],[IDProducto]],producto!$A$1:$C$33,3,FALSE)</f>
        <v>Deportes</v>
      </c>
      <c r="H709" s="6" t="str">
        <f>VLOOKUP(Tabla1[[#This Row],[Estado]],Tabla3[#All],2,0)</f>
        <v>Centro</v>
      </c>
    </row>
    <row r="710" spans="1:8" ht="15.75" customHeight="1" x14ac:dyDescent="0.25">
      <c r="A710" s="1">
        <v>200708</v>
      </c>
      <c r="B710" s="2">
        <v>45751</v>
      </c>
      <c r="C710" s="1">
        <v>19</v>
      </c>
      <c r="D710" s="1" t="s">
        <v>6</v>
      </c>
      <c r="E710" s="1">
        <v>1032</v>
      </c>
      <c r="F710" t="str">
        <f>VLOOKUP(Tabla1[[#This Row],[IDProducto]],producto!$A$1:$C$33,2,FALSE)</f>
        <v>Producto_19</v>
      </c>
      <c r="G710" t="str">
        <f>VLOOKUP(Tabla1[[#This Row],[IDProducto]],producto!$A$1:$C$33,3,FALSE)</f>
        <v>Ropa</v>
      </c>
      <c r="H710" s="6" t="str">
        <f>VLOOKUP(Tabla1[[#This Row],[Estado]],Tabla3[#All],2,0)</f>
        <v>Occidente</v>
      </c>
    </row>
    <row r="711" spans="1:8" ht="15.75" customHeight="1" x14ac:dyDescent="0.25">
      <c r="A711" s="1">
        <v>200709</v>
      </c>
      <c r="B711" s="2">
        <v>45824</v>
      </c>
      <c r="C711" s="1">
        <v>26</v>
      </c>
      <c r="D711" s="1" t="s">
        <v>9</v>
      </c>
      <c r="E711" s="1">
        <v>1830</v>
      </c>
      <c r="F711" t="str">
        <f>VLOOKUP(Tabla1[[#This Row],[IDProducto]],producto!$A$1:$C$33,2,FALSE)</f>
        <v>Producto_26</v>
      </c>
      <c r="G711" t="str">
        <f>VLOOKUP(Tabla1[[#This Row],[IDProducto]],producto!$A$1:$C$33,3,FALSE)</f>
        <v>Hogar</v>
      </c>
      <c r="H711" s="6" t="str">
        <f>VLOOKUP(Tabla1[[#This Row],[Estado]],Tabla3[#All],2,0)</f>
        <v>Sur</v>
      </c>
    </row>
    <row r="712" spans="1:8" ht="15.75" customHeight="1" x14ac:dyDescent="0.25">
      <c r="A712" s="1">
        <v>200710</v>
      </c>
      <c r="B712" s="2">
        <v>45833</v>
      </c>
      <c r="C712" s="1">
        <v>15</v>
      </c>
      <c r="D712" s="1" t="s">
        <v>8</v>
      </c>
      <c r="E712" s="1">
        <v>1663</v>
      </c>
      <c r="F712" t="str">
        <f>VLOOKUP(Tabla1[[#This Row],[IDProducto]],producto!$A$1:$C$33,2,FALSE)</f>
        <v>Producto_15</v>
      </c>
      <c r="G712" t="str">
        <f>VLOOKUP(Tabla1[[#This Row],[IDProducto]],producto!$A$1:$C$33,3,FALSE)</f>
        <v>Hogar</v>
      </c>
      <c r="H712" s="6" t="str">
        <f>VLOOKUP(Tabla1[[#This Row],[Estado]],Tabla3[#All],2,0)</f>
        <v>Norte</v>
      </c>
    </row>
    <row r="713" spans="1:8" ht="15.75" customHeight="1" x14ac:dyDescent="0.25">
      <c r="A713" s="1">
        <v>200711</v>
      </c>
      <c r="B713" s="2">
        <v>45677</v>
      </c>
      <c r="C713" s="1">
        <v>28</v>
      </c>
      <c r="D713" s="1" t="s">
        <v>6</v>
      </c>
      <c r="E713" s="1">
        <v>300</v>
      </c>
      <c r="F713" t="str">
        <f>VLOOKUP(Tabla1[[#This Row],[IDProducto]],producto!$A$1:$C$33,2,FALSE)</f>
        <v>Producto_28</v>
      </c>
      <c r="G713" t="str">
        <f>VLOOKUP(Tabla1[[#This Row],[IDProducto]],producto!$A$1:$C$33,3,FALSE)</f>
        <v>Hogar</v>
      </c>
      <c r="H713" s="6" t="str">
        <f>VLOOKUP(Tabla1[[#This Row],[Estado]],Tabla3[#All],2,0)</f>
        <v>Occidente</v>
      </c>
    </row>
    <row r="714" spans="1:8" ht="15.75" customHeight="1" x14ac:dyDescent="0.25">
      <c r="A714" s="1">
        <v>200712</v>
      </c>
      <c r="B714" s="2">
        <v>45777</v>
      </c>
      <c r="C714" s="1">
        <v>21</v>
      </c>
      <c r="D714" s="1" t="s">
        <v>9</v>
      </c>
      <c r="E714" s="1">
        <v>1277</v>
      </c>
      <c r="F714" t="str">
        <f>VLOOKUP(Tabla1[[#This Row],[IDProducto]],producto!$A$1:$C$33,2,FALSE)</f>
        <v>Producto_21</v>
      </c>
      <c r="G714" t="str">
        <f>VLOOKUP(Tabla1[[#This Row],[IDProducto]],producto!$A$1:$C$33,3,FALSE)</f>
        <v>Electrónica</v>
      </c>
      <c r="H714" s="6" t="str">
        <f>VLOOKUP(Tabla1[[#This Row],[Estado]],Tabla3[#All],2,0)</f>
        <v>Sur</v>
      </c>
    </row>
    <row r="715" spans="1:8" ht="15.75" customHeight="1" x14ac:dyDescent="0.25">
      <c r="A715" s="1">
        <v>200713</v>
      </c>
      <c r="B715" s="2">
        <v>45806</v>
      </c>
      <c r="C715" s="1">
        <v>22</v>
      </c>
      <c r="D715" s="1" t="s">
        <v>10</v>
      </c>
      <c r="E715" s="1">
        <v>1141</v>
      </c>
      <c r="F715" t="str">
        <f>VLOOKUP(Tabla1[[#This Row],[IDProducto]],producto!$A$1:$C$33,2,FALSE)</f>
        <v>Producto_22</v>
      </c>
      <c r="G715" t="str">
        <f>VLOOKUP(Tabla1[[#This Row],[IDProducto]],producto!$A$1:$C$33,3,FALSE)</f>
        <v>Hogar</v>
      </c>
      <c r="H715" s="6" t="str">
        <f>VLOOKUP(Tabla1[[#This Row],[Estado]],Tabla3[#All],2,0)</f>
        <v>Centro</v>
      </c>
    </row>
    <row r="716" spans="1:8" ht="15.75" customHeight="1" x14ac:dyDescent="0.25">
      <c r="A716" s="1">
        <v>200714</v>
      </c>
      <c r="B716" s="2">
        <v>45658</v>
      </c>
      <c r="C716" s="1">
        <v>32</v>
      </c>
      <c r="D716" s="1" t="s">
        <v>12</v>
      </c>
      <c r="E716" s="1">
        <v>803</v>
      </c>
      <c r="F716" t="str">
        <f>VLOOKUP(Tabla1[[#This Row],[IDProducto]],producto!$A$1:$C$33,2,FALSE)</f>
        <v>Producto_32</v>
      </c>
      <c r="G716" t="str">
        <f>VLOOKUP(Tabla1[[#This Row],[IDProducto]],producto!$A$1:$C$33,3,FALSE)</f>
        <v>Hogar</v>
      </c>
      <c r="H716" s="6" t="str">
        <f>VLOOKUP(Tabla1[[#This Row],[Estado]],Tabla3[#All],2,0)</f>
        <v>Centro</v>
      </c>
    </row>
    <row r="717" spans="1:8" ht="15.75" customHeight="1" x14ac:dyDescent="0.25">
      <c r="A717" s="1">
        <v>200715</v>
      </c>
      <c r="B717" s="2">
        <v>45776</v>
      </c>
      <c r="C717" s="1">
        <v>20</v>
      </c>
      <c r="D717" s="1" t="s">
        <v>8</v>
      </c>
      <c r="E717" s="1">
        <v>979</v>
      </c>
      <c r="F717" t="str">
        <f>VLOOKUP(Tabla1[[#This Row],[IDProducto]],producto!$A$1:$C$33,2,FALSE)</f>
        <v>Producto_20</v>
      </c>
      <c r="G717" t="str">
        <f>VLOOKUP(Tabla1[[#This Row],[IDProducto]],producto!$A$1:$C$33,3,FALSE)</f>
        <v>Deportes</v>
      </c>
      <c r="H717" s="6" t="str">
        <f>VLOOKUP(Tabla1[[#This Row],[Estado]],Tabla3[#All],2,0)</f>
        <v>Norte</v>
      </c>
    </row>
    <row r="718" spans="1:8" ht="15.75" customHeight="1" x14ac:dyDescent="0.25">
      <c r="A718" s="1">
        <v>200716</v>
      </c>
      <c r="B718" s="2">
        <v>45801</v>
      </c>
      <c r="C718" s="1">
        <v>20</v>
      </c>
      <c r="D718" s="1" t="s">
        <v>7</v>
      </c>
      <c r="E718" s="1">
        <v>1068</v>
      </c>
      <c r="F718" t="str">
        <f>VLOOKUP(Tabla1[[#This Row],[IDProducto]],producto!$A$1:$C$33,2,FALSE)</f>
        <v>Producto_20</v>
      </c>
      <c r="G718" t="str">
        <f>VLOOKUP(Tabla1[[#This Row],[IDProducto]],producto!$A$1:$C$33,3,FALSE)</f>
        <v>Deportes</v>
      </c>
      <c r="H718" s="6" t="str">
        <f>VLOOKUP(Tabla1[[#This Row],[Estado]],Tabla3[#All],2,0)</f>
        <v>Norte</v>
      </c>
    </row>
    <row r="719" spans="1:8" ht="15.75" customHeight="1" x14ac:dyDescent="0.25">
      <c r="A719" s="1">
        <v>200717</v>
      </c>
      <c r="B719" s="2">
        <v>45828</v>
      </c>
      <c r="C719" s="1">
        <v>11</v>
      </c>
      <c r="D719" s="1" t="s">
        <v>11</v>
      </c>
      <c r="E719" s="1">
        <v>768</v>
      </c>
      <c r="F719" t="str">
        <f>VLOOKUP(Tabla1[[#This Row],[IDProducto]],producto!$A$1:$C$33,2,FALSE)</f>
        <v>Producto_11</v>
      </c>
      <c r="G719" t="str">
        <f>VLOOKUP(Tabla1[[#This Row],[IDProducto]],producto!$A$1:$C$33,3,FALSE)</f>
        <v>Ropa</v>
      </c>
      <c r="H719" s="6" t="str">
        <f>VLOOKUP(Tabla1[[#This Row],[Estado]],Tabla3[#All],2,0)</f>
        <v>Occidente</v>
      </c>
    </row>
    <row r="720" spans="1:8" ht="15.75" customHeight="1" x14ac:dyDescent="0.25">
      <c r="A720" s="1">
        <v>200718</v>
      </c>
      <c r="B720" s="2">
        <v>45671</v>
      </c>
      <c r="C720" s="1">
        <v>29</v>
      </c>
      <c r="D720" s="1" t="s">
        <v>8</v>
      </c>
      <c r="E720" s="1">
        <v>1333</v>
      </c>
      <c r="F720" t="str">
        <f>VLOOKUP(Tabla1[[#This Row],[IDProducto]],producto!$A$1:$C$33,2,FALSE)</f>
        <v>Producto_29</v>
      </c>
      <c r="G720" t="str">
        <f>VLOOKUP(Tabla1[[#This Row],[IDProducto]],producto!$A$1:$C$33,3,FALSE)</f>
        <v>Electrónica</v>
      </c>
      <c r="H720" s="6" t="str">
        <f>VLOOKUP(Tabla1[[#This Row],[Estado]],Tabla3[#All],2,0)</f>
        <v>Norte</v>
      </c>
    </row>
    <row r="721" spans="1:8" ht="15.75" customHeight="1" x14ac:dyDescent="0.25">
      <c r="A721" s="1">
        <v>200719</v>
      </c>
      <c r="B721" s="2">
        <v>45817</v>
      </c>
      <c r="C721" s="1">
        <v>7</v>
      </c>
      <c r="D721" s="1" t="s">
        <v>11</v>
      </c>
      <c r="E721" s="1">
        <v>398</v>
      </c>
      <c r="F721" t="str">
        <f>VLOOKUP(Tabla1[[#This Row],[IDProducto]],producto!$A$1:$C$33,2,FALSE)</f>
        <v>Producto_7</v>
      </c>
      <c r="G721" t="str">
        <f>VLOOKUP(Tabla1[[#This Row],[IDProducto]],producto!$A$1:$C$33,3,FALSE)</f>
        <v>Ropa</v>
      </c>
      <c r="H721" s="6" t="str">
        <f>VLOOKUP(Tabla1[[#This Row],[Estado]],Tabla3[#All],2,0)</f>
        <v>Occidente</v>
      </c>
    </row>
    <row r="722" spans="1:8" ht="15.75" customHeight="1" x14ac:dyDescent="0.25">
      <c r="A722" s="1">
        <v>200720</v>
      </c>
      <c r="B722" s="2">
        <v>45676</v>
      </c>
      <c r="C722" s="1">
        <v>32</v>
      </c>
      <c r="D722" s="1" t="s">
        <v>12</v>
      </c>
      <c r="E722" s="1">
        <v>956</v>
      </c>
      <c r="F722" t="str">
        <f>VLOOKUP(Tabla1[[#This Row],[IDProducto]],producto!$A$1:$C$33,2,FALSE)</f>
        <v>Producto_32</v>
      </c>
      <c r="G722" t="str">
        <f>VLOOKUP(Tabla1[[#This Row],[IDProducto]],producto!$A$1:$C$33,3,FALSE)</f>
        <v>Hogar</v>
      </c>
      <c r="H722" s="6" t="str">
        <f>VLOOKUP(Tabla1[[#This Row],[Estado]],Tabla3[#All],2,0)</f>
        <v>Centro</v>
      </c>
    </row>
    <row r="723" spans="1:8" ht="15.75" customHeight="1" x14ac:dyDescent="0.25">
      <c r="A723" s="1">
        <v>200721</v>
      </c>
      <c r="B723" s="2">
        <v>45744</v>
      </c>
      <c r="C723" s="1">
        <v>24</v>
      </c>
      <c r="D723" s="1" t="s">
        <v>5</v>
      </c>
      <c r="E723" s="1">
        <v>479</v>
      </c>
      <c r="F723" t="str">
        <f>VLOOKUP(Tabla1[[#This Row],[IDProducto]],producto!$A$1:$C$33,2,FALSE)</f>
        <v>Producto_24</v>
      </c>
      <c r="G723" t="str">
        <f>VLOOKUP(Tabla1[[#This Row],[IDProducto]],producto!$A$1:$C$33,3,FALSE)</f>
        <v>Ropa</v>
      </c>
      <c r="H723" s="6" t="str">
        <f>VLOOKUP(Tabla1[[#This Row],[Estado]],Tabla3[#All],2,0)</f>
        <v>Centro</v>
      </c>
    </row>
    <row r="724" spans="1:8" ht="15.75" customHeight="1" x14ac:dyDescent="0.25">
      <c r="A724" s="1">
        <v>200722</v>
      </c>
      <c r="B724" s="2">
        <v>45696</v>
      </c>
      <c r="C724" s="1">
        <v>20</v>
      </c>
      <c r="D724" s="1" t="s">
        <v>7</v>
      </c>
      <c r="E724" s="1">
        <v>1191</v>
      </c>
      <c r="F724" t="str">
        <f>VLOOKUP(Tabla1[[#This Row],[IDProducto]],producto!$A$1:$C$33,2,FALSE)</f>
        <v>Producto_20</v>
      </c>
      <c r="G724" t="str">
        <f>VLOOKUP(Tabla1[[#This Row],[IDProducto]],producto!$A$1:$C$33,3,FALSE)</f>
        <v>Deportes</v>
      </c>
      <c r="H724" s="6" t="str">
        <f>VLOOKUP(Tabla1[[#This Row],[Estado]],Tabla3[#All],2,0)</f>
        <v>Norte</v>
      </c>
    </row>
    <row r="725" spans="1:8" ht="15.75" customHeight="1" x14ac:dyDescent="0.25">
      <c r="A725" s="1">
        <v>200723</v>
      </c>
      <c r="B725" s="2">
        <v>45760</v>
      </c>
      <c r="C725" s="1">
        <v>5</v>
      </c>
      <c r="D725" s="1" t="s">
        <v>8</v>
      </c>
      <c r="E725" s="1">
        <v>318</v>
      </c>
      <c r="F725" t="str">
        <f>VLOOKUP(Tabla1[[#This Row],[IDProducto]],producto!$A$1:$C$33,2,FALSE)</f>
        <v>Producto_5</v>
      </c>
      <c r="G725" t="str">
        <f>VLOOKUP(Tabla1[[#This Row],[IDProducto]],producto!$A$1:$C$33,3,FALSE)</f>
        <v>Hogar</v>
      </c>
      <c r="H725" s="6" t="str">
        <f>VLOOKUP(Tabla1[[#This Row],[Estado]],Tabla3[#All],2,0)</f>
        <v>Norte</v>
      </c>
    </row>
    <row r="726" spans="1:8" ht="15.75" customHeight="1" x14ac:dyDescent="0.25">
      <c r="A726" s="1">
        <v>200724</v>
      </c>
      <c r="B726" s="2">
        <v>45666</v>
      </c>
      <c r="C726" s="1">
        <v>29</v>
      </c>
      <c r="D726" s="1" t="s">
        <v>8</v>
      </c>
      <c r="E726" s="1">
        <v>697</v>
      </c>
      <c r="F726" t="str">
        <f>VLOOKUP(Tabla1[[#This Row],[IDProducto]],producto!$A$1:$C$33,2,FALSE)</f>
        <v>Producto_29</v>
      </c>
      <c r="G726" t="str">
        <f>VLOOKUP(Tabla1[[#This Row],[IDProducto]],producto!$A$1:$C$33,3,FALSE)</f>
        <v>Electrónica</v>
      </c>
      <c r="H726" s="6" t="str">
        <f>VLOOKUP(Tabla1[[#This Row],[Estado]],Tabla3[#All],2,0)</f>
        <v>Norte</v>
      </c>
    </row>
    <row r="727" spans="1:8" ht="15.75" customHeight="1" x14ac:dyDescent="0.25">
      <c r="A727" s="1">
        <v>200725</v>
      </c>
      <c r="B727" s="2">
        <v>45782</v>
      </c>
      <c r="C727" s="1">
        <v>25</v>
      </c>
      <c r="D727" s="1" t="s">
        <v>11</v>
      </c>
      <c r="E727" s="1">
        <v>1326</v>
      </c>
      <c r="F727" t="str">
        <f>VLOOKUP(Tabla1[[#This Row],[IDProducto]],producto!$A$1:$C$33,2,FALSE)</f>
        <v>Producto_25</v>
      </c>
      <c r="G727" t="str">
        <f>VLOOKUP(Tabla1[[#This Row],[IDProducto]],producto!$A$1:$C$33,3,FALSE)</f>
        <v>Electrónica</v>
      </c>
      <c r="H727" s="6" t="str">
        <f>VLOOKUP(Tabla1[[#This Row],[Estado]],Tabla3[#All],2,0)</f>
        <v>Occidente</v>
      </c>
    </row>
    <row r="728" spans="1:8" ht="15.75" customHeight="1" x14ac:dyDescent="0.25">
      <c r="A728" s="1">
        <v>200726</v>
      </c>
      <c r="B728" s="2">
        <v>45684</v>
      </c>
      <c r="C728" s="1">
        <v>1</v>
      </c>
      <c r="D728" s="1" t="s">
        <v>6</v>
      </c>
      <c r="E728" s="1">
        <v>1897</v>
      </c>
      <c r="F728" t="str">
        <f>VLOOKUP(Tabla1[[#This Row],[IDProducto]],producto!$A$1:$C$33,2,FALSE)</f>
        <v>Producto_1</v>
      </c>
      <c r="G728" t="str">
        <f>VLOOKUP(Tabla1[[#This Row],[IDProducto]],producto!$A$1:$C$33,3,FALSE)</f>
        <v>Hogar</v>
      </c>
      <c r="H728" s="6" t="str">
        <f>VLOOKUP(Tabla1[[#This Row],[Estado]],Tabla3[#All],2,0)</f>
        <v>Occidente</v>
      </c>
    </row>
    <row r="729" spans="1:8" ht="15.75" customHeight="1" x14ac:dyDescent="0.25">
      <c r="A729" s="1">
        <v>200727</v>
      </c>
      <c r="B729" s="2">
        <v>45754</v>
      </c>
      <c r="C729" s="1">
        <v>26</v>
      </c>
      <c r="D729" s="1" t="s">
        <v>6</v>
      </c>
      <c r="E729" s="1">
        <v>565</v>
      </c>
      <c r="F729" t="str">
        <f>VLOOKUP(Tabla1[[#This Row],[IDProducto]],producto!$A$1:$C$33,2,FALSE)</f>
        <v>Producto_26</v>
      </c>
      <c r="G729" t="str">
        <f>VLOOKUP(Tabla1[[#This Row],[IDProducto]],producto!$A$1:$C$33,3,FALSE)</f>
        <v>Hogar</v>
      </c>
      <c r="H729" s="6" t="str">
        <f>VLOOKUP(Tabla1[[#This Row],[Estado]],Tabla3[#All],2,0)</f>
        <v>Occidente</v>
      </c>
    </row>
    <row r="730" spans="1:8" ht="15.75" customHeight="1" x14ac:dyDescent="0.25">
      <c r="A730" s="1">
        <v>200728</v>
      </c>
      <c r="B730" s="2">
        <v>45658</v>
      </c>
      <c r="C730" s="1">
        <v>23</v>
      </c>
      <c r="D730" s="1" t="s">
        <v>7</v>
      </c>
      <c r="E730" s="1">
        <v>1024</v>
      </c>
      <c r="F730" t="str">
        <f>VLOOKUP(Tabla1[[#This Row],[IDProducto]],producto!$A$1:$C$33,2,FALSE)</f>
        <v>Producto_23</v>
      </c>
      <c r="G730" t="str">
        <f>VLOOKUP(Tabla1[[#This Row],[IDProducto]],producto!$A$1:$C$33,3,FALSE)</f>
        <v>Deportes</v>
      </c>
      <c r="H730" s="6" t="str">
        <f>VLOOKUP(Tabla1[[#This Row],[Estado]],Tabla3[#All],2,0)</f>
        <v>Norte</v>
      </c>
    </row>
    <row r="731" spans="1:8" ht="15.75" customHeight="1" x14ac:dyDescent="0.25">
      <c r="A731" s="1">
        <v>200729</v>
      </c>
      <c r="B731" s="2">
        <v>45660</v>
      </c>
      <c r="C731" s="1">
        <v>32</v>
      </c>
      <c r="D731" s="1" t="s">
        <v>10</v>
      </c>
      <c r="E731" s="1">
        <v>1820</v>
      </c>
      <c r="F731" t="str">
        <f>VLOOKUP(Tabla1[[#This Row],[IDProducto]],producto!$A$1:$C$33,2,FALSE)</f>
        <v>Producto_32</v>
      </c>
      <c r="G731" t="str">
        <f>VLOOKUP(Tabla1[[#This Row],[IDProducto]],producto!$A$1:$C$33,3,FALSE)</f>
        <v>Hogar</v>
      </c>
      <c r="H731" s="6" t="str">
        <f>VLOOKUP(Tabla1[[#This Row],[Estado]],Tabla3[#All],2,0)</f>
        <v>Centro</v>
      </c>
    </row>
    <row r="732" spans="1:8" ht="15.75" customHeight="1" x14ac:dyDescent="0.25">
      <c r="A732" s="1">
        <v>200730</v>
      </c>
      <c r="B732" s="2">
        <v>45726</v>
      </c>
      <c r="C732" s="1">
        <v>32</v>
      </c>
      <c r="D732" s="1" t="s">
        <v>8</v>
      </c>
      <c r="E732" s="1">
        <v>1259</v>
      </c>
      <c r="F732" t="str">
        <f>VLOOKUP(Tabla1[[#This Row],[IDProducto]],producto!$A$1:$C$33,2,FALSE)</f>
        <v>Producto_32</v>
      </c>
      <c r="G732" t="str">
        <f>VLOOKUP(Tabla1[[#This Row],[IDProducto]],producto!$A$1:$C$33,3,FALSE)</f>
        <v>Hogar</v>
      </c>
      <c r="H732" s="6" t="str">
        <f>VLOOKUP(Tabla1[[#This Row],[Estado]],Tabla3[#All],2,0)</f>
        <v>Norte</v>
      </c>
    </row>
    <row r="733" spans="1:8" ht="15.75" customHeight="1" x14ac:dyDescent="0.25">
      <c r="A733" s="1">
        <v>200731</v>
      </c>
      <c r="B733" s="2">
        <v>45742</v>
      </c>
      <c r="C733" s="1">
        <v>31</v>
      </c>
      <c r="D733" s="1" t="s">
        <v>6</v>
      </c>
      <c r="E733" s="1">
        <v>986</v>
      </c>
      <c r="F733" t="str">
        <f>VLOOKUP(Tabla1[[#This Row],[IDProducto]],producto!$A$1:$C$33,2,FALSE)</f>
        <v>Producto_31</v>
      </c>
      <c r="G733" t="str">
        <f>VLOOKUP(Tabla1[[#This Row],[IDProducto]],producto!$A$1:$C$33,3,FALSE)</f>
        <v>Deportes</v>
      </c>
      <c r="H733" s="6" t="str">
        <f>VLOOKUP(Tabla1[[#This Row],[Estado]],Tabla3[#All],2,0)</f>
        <v>Occidente</v>
      </c>
    </row>
    <row r="734" spans="1:8" ht="15.75" customHeight="1" x14ac:dyDescent="0.25">
      <c r="A734" s="1">
        <v>200732</v>
      </c>
      <c r="B734" s="2">
        <v>45805</v>
      </c>
      <c r="C734" s="1">
        <v>11</v>
      </c>
      <c r="D734" s="1" t="s">
        <v>7</v>
      </c>
      <c r="E734" s="1">
        <v>117</v>
      </c>
      <c r="F734" t="str">
        <f>VLOOKUP(Tabla1[[#This Row],[IDProducto]],producto!$A$1:$C$33,2,FALSE)</f>
        <v>Producto_11</v>
      </c>
      <c r="G734" t="str">
        <f>VLOOKUP(Tabla1[[#This Row],[IDProducto]],producto!$A$1:$C$33,3,FALSE)</f>
        <v>Ropa</v>
      </c>
      <c r="H734" s="6" t="str">
        <f>VLOOKUP(Tabla1[[#This Row],[Estado]],Tabla3[#All],2,0)</f>
        <v>Norte</v>
      </c>
    </row>
    <row r="735" spans="1:8" ht="15.75" customHeight="1" x14ac:dyDescent="0.25">
      <c r="A735" s="1">
        <v>200733</v>
      </c>
      <c r="B735" s="2">
        <v>45691</v>
      </c>
      <c r="C735" s="1">
        <v>10</v>
      </c>
      <c r="D735" s="1" t="s">
        <v>7</v>
      </c>
      <c r="E735" s="1">
        <v>1648</v>
      </c>
      <c r="F735" t="str">
        <f>VLOOKUP(Tabla1[[#This Row],[IDProducto]],producto!$A$1:$C$33,2,FALSE)</f>
        <v>Producto_10</v>
      </c>
      <c r="G735" t="str">
        <f>VLOOKUP(Tabla1[[#This Row],[IDProducto]],producto!$A$1:$C$33,3,FALSE)</f>
        <v>Ropa</v>
      </c>
      <c r="H735" s="6" t="str">
        <f>VLOOKUP(Tabla1[[#This Row],[Estado]],Tabla3[#All],2,0)</f>
        <v>Norte</v>
      </c>
    </row>
    <row r="736" spans="1:8" ht="15.75" customHeight="1" x14ac:dyDescent="0.25">
      <c r="A736" s="1">
        <v>200734</v>
      </c>
      <c r="B736" s="2">
        <v>45724</v>
      </c>
      <c r="C736" s="1">
        <v>6</v>
      </c>
      <c r="D736" s="1" t="s">
        <v>8</v>
      </c>
      <c r="E736" s="1">
        <v>1362</v>
      </c>
      <c r="F736" t="str">
        <f>VLOOKUP(Tabla1[[#This Row],[IDProducto]],producto!$A$1:$C$33,2,FALSE)</f>
        <v>Producto_6</v>
      </c>
      <c r="G736" t="str">
        <f>VLOOKUP(Tabla1[[#This Row],[IDProducto]],producto!$A$1:$C$33,3,FALSE)</f>
        <v>Electrónica</v>
      </c>
      <c r="H736" s="6" t="str">
        <f>VLOOKUP(Tabla1[[#This Row],[Estado]],Tabla3[#All],2,0)</f>
        <v>Norte</v>
      </c>
    </row>
    <row r="737" spans="1:8" ht="15.75" customHeight="1" x14ac:dyDescent="0.25">
      <c r="A737" s="1">
        <v>200735</v>
      </c>
      <c r="B737" s="2">
        <v>45819</v>
      </c>
      <c r="C737" s="1">
        <v>27</v>
      </c>
      <c r="D737" s="1" t="s">
        <v>6</v>
      </c>
      <c r="E737" s="1">
        <v>328</v>
      </c>
      <c r="F737" t="str">
        <f>VLOOKUP(Tabla1[[#This Row],[IDProducto]],producto!$A$1:$C$33,2,FALSE)</f>
        <v>Producto_27</v>
      </c>
      <c r="G737" t="str">
        <f>VLOOKUP(Tabla1[[#This Row],[IDProducto]],producto!$A$1:$C$33,3,FALSE)</f>
        <v>Electrónica</v>
      </c>
      <c r="H737" s="6" t="str">
        <f>VLOOKUP(Tabla1[[#This Row],[Estado]],Tabla3[#All],2,0)</f>
        <v>Occidente</v>
      </c>
    </row>
    <row r="738" spans="1:8" ht="15.75" customHeight="1" x14ac:dyDescent="0.25">
      <c r="A738" s="1">
        <v>200736</v>
      </c>
      <c r="B738" s="2">
        <v>45805</v>
      </c>
      <c r="C738" s="1">
        <v>20</v>
      </c>
      <c r="D738" s="1" t="s">
        <v>7</v>
      </c>
      <c r="E738" s="1">
        <v>1985</v>
      </c>
      <c r="F738" t="str">
        <f>VLOOKUP(Tabla1[[#This Row],[IDProducto]],producto!$A$1:$C$33,2,FALSE)</f>
        <v>Producto_20</v>
      </c>
      <c r="G738" t="str">
        <f>VLOOKUP(Tabla1[[#This Row],[IDProducto]],producto!$A$1:$C$33,3,FALSE)</f>
        <v>Deportes</v>
      </c>
      <c r="H738" s="6" t="str">
        <f>VLOOKUP(Tabla1[[#This Row],[Estado]],Tabla3[#All],2,0)</f>
        <v>Norte</v>
      </c>
    </row>
    <row r="739" spans="1:8" ht="15.75" customHeight="1" x14ac:dyDescent="0.25">
      <c r="A739" s="1">
        <v>200737</v>
      </c>
      <c r="B739" s="2">
        <v>45689</v>
      </c>
      <c r="C739" s="1">
        <v>10</v>
      </c>
      <c r="D739" s="1" t="s">
        <v>8</v>
      </c>
      <c r="E739" s="1">
        <v>216</v>
      </c>
      <c r="F739" t="str">
        <f>VLOOKUP(Tabla1[[#This Row],[IDProducto]],producto!$A$1:$C$33,2,FALSE)</f>
        <v>Producto_10</v>
      </c>
      <c r="G739" t="str">
        <f>VLOOKUP(Tabla1[[#This Row],[IDProducto]],producto!$A$1:$C$33,3,FALSE)</f>
        <v>Ropa</v>
      </c>
      <c r="H739" s="6" t="str">
        <f>VLOOKUP(Tabla1[[#This Row],[Estado]],Tabla3[#All],2,0)</f>
        <v>Norte</v>
      </c>
    </row>
    <row r="740" spans="1:8" ht="15.75" customHeight="1" x14ac:dyDescent="0.25">
      <c r="A740" s="1">
        <v>200738</v>
      </c>
      <c r="B740" s="2">
        <v>45739</v>
      </c>
      <c r="C740" s="1">
        <v>30</v>
      </c>
      <c r="D740" s="1" t="s">
        <v>5</v>
      </c>
      <c r="E740" s="1">
        <v>888</v>
      </c>
      <c r="F740" t="str">
        <f>VLOOKUP(Tabla1[[#This Row],[IDProducto]],producto!$A$1:$C$33,2,FALSE)</f>
        <v>Producto_30</v>
      </c>
      <c r="G740" t="str">
        <f>VLOOKUP(Tabla1[[#This Row],[IDProducto]],producto!$A$1:$C$33,3,FALSE)</f>
        <v>Hogar</v>
      </c>
      <c r="H740" s="6" t="str">
        <f>VLOOKUP(Tabla1[[#This Row],[Estado]],Tabla3[#All],2,0)</f>
        <v>Centro</v>
      </c>
    </row>
    <row r="741" spans="1:8" ht="15.75" customHeight="1" x14ac:dyDescent="0.25">
      <c r="A741" s="1">
        <v>200739</v>
      </c>
      <c r="B741" s="2">
        <v>45836</v>
      </c>
      <c r="C741" s="1">
        <v>9</v>
      </c>
      <c r="D741" s="1" t="s">
        <v>8</v>
      </c>
      <c r="E741" s="1">
        <v>1419</v>
      </c>
      <c r="F741" t="str">
        <f>VLOOKUP(Tabla1[[#This Row],[IDProducto]],producto!$A$1:$C$33,2,FALSE)</f>
        <v>Producto_9</v>
      </c>
      <c r="G741" t="str">
        <f>VLOOKUP(Tabla1[[#This Row],[IDProducto]],producto!$A$1:$C$33,3,FALSE)</f>
        <v>Electrónica</v>
      </c>
      <c r="H741" s="6" t="str">
        <f>VLOOKUP(Tabla1[[#This Row],[Estado]],Tabla3[#All],2,0)</f>
        <v>Norte</v>
      </c>
    </row>
    <row r="742" spans="1:8" ht="15.75" customHeight="1" x14ac:dyDescent="0.25">
      <c r="A742" s="1">
        <v>200740</v>
      </c>
      <c r="B742" s="2">
        <v>45680</v>
      </c>
      <c r="C742" s="1">
        <v>17</v>
      </c>
      <c r="D742" s="1" t="s">
        <v>7</v>
      </c>
      <c r="E742" s="1">
        <v>1696</v>
      </c>
      <c r="F742" t="str">
        <f>VLOOKUP(Tabla1[[#This Row],[IDProducto]],producto!$A$1:$C$33,2,FALSE)</f>
        <v>Producto_17</v>
      </c>
      <c r="G742" t="str">
        <f>VLOOKUP(Tabla1[[#This Row],[IDProducto]],producto!$A$1:$C$33,3,FALSE)</f>
        <v>Ropa</v>
      </c>
      <c r="H742" s="6" t="str">
        <f>VLOOKUP(Tabla1[[#This Row],[Estado]],Tabla3[#All],2,0)</f>
        <v>Norte</v>
      </c>
    </row>
    <row r="743" spans="1:8" ht="15.75" customHeight="1" x14ac:dyDescent="0.25">
      <c r="A743" s="1">
        <v>200741</v>
      </c>
      <c r="B743" s="2">
        <v>45801</v>
      </c>
      <c r="C743" s="1">
        <v>1</v>
      </c>
      <c r="D743" s="1" t="s">
        <v>11</v>
      </c>
      <c r="E743" s="1">
        <v>1664</v>
      </c>
      <c r="F743" t="str">
        <f>VLOOKUP(Tabla1[[#This Row],[IDProducto]],producto!$A$1:$C$33,2,FALSE)</f>
        <v>Producto_1</v>
      </c>
      <c r="G743" t="str">
        <f>VLOOKUP(Tabla1[[#This Row],[IDProducto]],producto!$A$1:$C$33,3,FALSE)</f>
        <v>Hogar</v>
      </c>
      <c r="H743" s="6" t="str">
        <f>VLOOKUP(Tabla1[[#This Row],[Estado]],Tabla3[#All],2,0)</f>
        <v>Occidente</v>
      </c>
    </row>
    <row r="744" spans="1:8" ht="15.75" customHeight="1" x14ac:dyDescent="0.25">
      <c r="A744" s="1">
        <v>200742</v>
      </c>
      <c r="B744" s="2">
        <v>45709</v>
      </c>
      <c r="C744" s="1">
        <v>28</v>
      </c>
      <c r="D744" s="1" t="s">
        <v>7</v>
      </c>
      <c r="E744" s="1">
        <v>293</v>
      </c>
      <c r="F744" t="str">
        <f>VLOOKUP(Tabla1[[#This Row],[IDProducto]],producto!$A$1:$C$33,2,FALSE)</f>
        <v>Producto_28</v>
      </c>
      <c r="G744" t="str">
        <f>VLOOKUP(Tabla1[[#This Row],[IDProducto]],producto!$A$1:$C$33,3,FALSE)</f>
        <v>Hogar</v>
      </c>
      <c r="H744" s="6" t="str">
        <f>VLOOKUP(Tabla1[[#This Row],[Estado]],Tabla3[#All],2,0)</f>
        <v>Norte</v>
      </c>
    </row>
    <row r="745" spans="1:8" ht="15.75" customHeight="1" x14ac:dyDescent="0.25">
      <c r="A745" s="1">
        <v>200743</v>
      </c>
      <c r="B745" s="2">
        <v>45718</v>
      </c>
      <c r="C745" s="1">
        <v>29</v>
      </c>
      <c r="D745" s="1" t="s">
        <v>8</v>
      </c>
      <c r="E745" s="1">
        <v>847</v>
      </c>
      <c r="F745" t="str">
        <f>VLOOKUP(Tabla1[[#This Row],[IDProducto]],producto!$A$1:$C$33,2,FALSE)</f>
        <v>Producto_29</v>
      </c>
      <c r="G745" t="str">
        <f>VLOOKUP(Tabla1[[#This Row],[IDProducto]],producto!$A$1:$C$33,3,FALSE)</f>
        <v>Electrónica</v>
      </c>
      <c r="H745" s="6" t="str">
        <f>VLOOKUP(Tabla1[[#This Row],[Estado]],Tabla3[#All],2,0)</f>
        <v>Norte</v>
      </c>
    </row>
    <row r="746" spans="1:8" ht="15.75" customHeight="1" x14ac:dyDescent="0.25">
      <c r="A746" s="1">
        <v>200744</v>
      </c>
      <c r="B746" s="2">
        <v>45795</v>
      </c>
      <c r="C746" s="1">
        <v>10</v>
      </c>
      <c r="D746" s="1" t="s">
        <v>9</v>
      </c>
      <c r="E746" s="1">
        <v>1792</v>
      </c>
      <c r="F746" t="str">
        <f>VLOOKUP(Tabla1[[#This Row],[IDProducto]],producto!$A$1:$C$33,2,FALSE)</f>
        <v>Producto_10</v>
      </c>
      <c r="G746" t="str">
        <f>VLOOKUP(Tabla1[[#This Row],[IDProducto]],producto!$A$1:$C$33,3,FALSE)</f>
        <v>Ropa</v>
      </c>
      <c r="H746" s="6" t="str">
        <f>VLOOKUP(Tabla1[[#This Row],[Estado]],Tabla3[#All],2,0)</f>
        <v>Sur</v>
      </c>
    </row>
    <row r="747" spans="1:8" ht="15.75" customHeight="1" x14ac:dyDescent="0.25">
      <c r="A747" s="1">
        <v>200745</v>
      </c>
      <c r="B747" s="2">
        <v>45705</v>
      </c>
      <c r="C747" s="1">
        <v>16</v>
      </c>
      <c r="D747" s="1" t="s">
        <v>7</v>
      </c>
      <c r="E747" s="1">
        <v>1509</v>
      </c>
      <c r="F747" t="str">
        <f>VLOOKUP(Tabla1[[#This Row],[IDProducto]],producto!$A$1:$C$33,2,FALSE)</f>
        <v>Producto_16</v>
      </c>
      <c r="G747" t="str">
        <f>VLOOKUP(Tabla1[[#This Row],[IDProducto]],producto!$A$1:$C$33,3,FALSE)</f>
        <v>Ropa</v>
      </c>
      <c r="H747" s="6" t="str">
        <f>VLOOKUP(Tabla1[[#This Row],[Estado]],Tabla3[#All],2,0)</f>
        <v>Norte</v>
      </c>
    </row>
    <row r="748" spans="1:8" ht="15.75" customHeight="1" x14ac:dyDescent="0.25">
      <c r="A748" s="1">
        <v>200746</v>
      </c>
      <c r="B748" s="2">
        <v>45767</v>
      </c>
      <c r="C748" s="1">
        <v>4</v>
      </c>
      <c r="D748" s="1" t="s">
        <v>9</v>
      </c>
      <c r="E748" s="1">
        <v>850</v>
      </c>
      <c r="F748" t="str">
        <f>VLOOKUP(Tabla1[[#This Row],[IDProducto]],producto!$A$1:$C$33,2,FALSE)</f>
        <v>Producto_4</v>
      </c>
      <c r="G748" t="str">
        <f>VLOOKUP(Tabla1[[#This Row],[IDProducto]],producto!$A$1:$C$33,3,FALSE)</f>
        <v>Deportes</v>
      </c>
      <c r="H748" s="6" t="str">
        <f>VLOOKUP(Tabla1[[#This Row],[Estado]],Tabla3[#All],2,0)</f>
        <v>Sur</v>
      </c>
    </row>
    <row r="749" spans="1:8" ht="15.75" customHeight="1" x14ac:dyDescent="0.25">
      <c r="A749" s="1">
        <v>200747</v>
      </c>
      <c r="B749" s="2">
        <v>45689</v>
      </c>
      <c r="C749" s="1">
        <v>23</v>
      </c>
      <c r="D749" s="1" t="s">
        <v>7</v>
      </c>
      <c r="E749" s="1">
        <v>1298</v>
      </c>
      <c r="F749" t="str">
        <f>VLOOKUP(Tabla1[[#This Row],[IDProducto]],producto!$A$1:$C$33,2,FALSE)</f>
        <v>Producto_23</v>
      </c>
      <c r="G749" t="str">
        <f>VLOOKUP(Tabla1[[#This Row],[IDProducto]],producto!$A$1:$C$33,3,FALSE)</f>
        <v>Deportes</v>
      </c>
      <c r="H749" s="6" t="str">
        <f>VLOOKUP(Tabla1[[#This Row],[Estado]],Tabla3[#All],2,0)</f>
        <v>Norte</v>
      </c>
    </row>
    <row r="750" spans="1:8" ht="15.75" customHeight="1" x14ac:dyDescent="0.25">
      <c r="A750" s="1">
        <v>200748</v>
      </c>
      <c r="B750" s="2">
        <v>45688</v>
      </c>
      <c r="C750" s="1">
        <v>32</v>
      </c>
      <c r="D750" s="1" t="s">
        <v>5</v>
      </c>
      <c r="E750" s="1">
        <v>357</v>
      </c>
      <c r="F750" t="str">
        <f>VLOOKUP(Tabla1[[#This Row],[IDProducto]],producto!$A$1:$C$33,2,FALSE)</f>
        <v>Producto_32</v>
      </c>
      <c r="G750" t="str">
        <f>VLOOKUP(Tabla1[[#This Row],[IDProducto]],producto!$A$1:$C$33,3,FALSE)</f>
        <v>Hogar</v>
      </c>
      <c r="H750" s="6" t="str">
        <f>VLOOKUP(Tabla1[[#This Row],[Estado]],Tabla3[#All],2,0)</f>
        <v>Centro</v>
      </c>
    </row>
    <row r="751" spans="1:8" ht="15.75" customHeight="1" x14ac:dyDescent="0.25">
      <c r="A751" s="1">
        <v>200749</v>
      </c>
      <c r="B751" s="2">
        <v>45683</v>
      </c>
      <c r="C751" s="1">
        <v>23</v>
      </c>
      <c r="D751" s="1" t="s">
        <v>10</v>
      </c>
      <c r="E751" s="1">
        <v>1340</v>
      </c>
      <c r="F751" t="str">
        <f>VLOOKUP(Tabla1[[#This Row],[IDProducto]],producto!$A$1:$C$33,2,FALSE)</f>
        <v>Producto_23</v>
      </c>
      <c r="G751" t="str">
        <f>VLOOKUP(Tabla1[[#This Row],[IDProducto]],producto!$A$1:$C$33,3,FALSE)</f>
        <v>Deportes</v>
      </c>
      <c r="H751" s="6" t="str">
        <f>VLOOKUP(Tabla1[[#This Row],[Estado]],Tabla3[#All],2,0)</f>
        <v>Centro</v>
      </c>
    </row>
    <row r="752" spans="1:8" ht="15.75" customHeight="1" x14ac:dyDescent="0.25">
      <c r="A752" s="1">
        <v>200750</v>
      </c>
      <c r="B752" s="2">
        <v>45707</v>
      </c>
      <c r="C752" s="1">
        <v>29</v>
      </c>
      <c r="D752" s="1" t="s">
        <v>7</v>
      </c>
      <c r="E752" s="1">
        <v>143</v>
      </c>
      <c r="F752" t="str">
        <f>VLOOKUP(Tabla1[[#This Row],[IDProducto]],producto!$A$1:$C$33,2,FALSE)</f>
        <v>Producto_29</v>
      </c>
      <c r="G752" t="str">
        <f>VLOOKUP(Tabla1[[#This Row],[IDProducto]],producto!$A$1:$C$33,3,FALSE)</f>
        <v>Electrónica</v>
      </c>
      <c r="H752" s="6" t="str">
        <f>VLOOKUP(Tabla1[[#This Row],[Estado]],Tabla3[#All],2,0)</f>
        <v>Norte</v>
      </c>
    </row>
    <row r="753" spans="1:8" ht="15.75" customHeight="1" x14ac:dyDescent="0.25">
      <c r="A753" s="1">
        <v>200751</v>
      </c>
      <c r="B753" s="2">
        <v>45813</v>
      </c>
      <c r="C753" s="1">
        <v>28</v>
      </c>
      <c r="D753" s="1" t="s">
        <v>11</v>
      </c>
      <c r="E753" s="1">
        <v>1142</v>
      </c>
      <c r="F753" t="str">
        <f>VLOOKUP(Tabla1[[#This Row],[IDProducto]],producto!$A$1:$C$33,2,FALSE)</f>
        <v>Producto_28</v>
      </c>
      <c r="G753" t="str">
        <f>VLOOKUP(Tabla1[[#This Row],[IDProducto]],producto!$A$1:$C$33,3,FALSE)</f>
        <v>Hogar</v>
      </c>
      <c r="H753" s="6" t="str">
        <f>VLOOKUP(Tabla1[[#This Row],[Estado]],Tabla3[#All],2,0)</f>
        <v>Occidente</v>
      </c>
    </row>
    <row r="754" spans="1:8" ht="15.75" customHeight="1" x14ac:dyDescent="0.25">
      <c r="A754" s="1">
        <v>200752</v>
      </c>
      <c r="B754" s="2">
        <v>45694</v>
      </c>
      <c r="C754" s="1">
        <v>9</v>
      </c>
      <c r="D754" s="1" t="s">
        <v>10</v>
      </c>
      <c r="E754" s="1">
        <v>1838</v>
      </c>
      <c r="F754" t="str">
        <f>VLOOKUP(Tabla1[[#This Row],[IDProducto]],producto!$A$1:$C$33,2,FALSE)</f>
        <v>Producto_9</v>
      </c>
      <c r="G754" t="str">
        <f>VLOOKUP(Tabla1[[#This Row],[IDProducto]],producto!$A$1:$C$33,3,FALSE)</f>
        <v>Electrónica</v>
      </c>
      <c r="H754" s="6" t="str">
        <f>VLOOKUP(Tabla1[[#This Row],[Estado]],Tabla3[#All],2,0)</f>
        <v>Centro</v>
      </c>
    </row>
    <row r="755" spans="1:8" ht="15.75" customHeight="1" x14ac:dyDescent="0.25">
      <c r="A755" s="1">
        <v>200753</v>
      </c>
      <c r="B755" s="2">
        <v>45671</v>
      </c>
      <c r="C755" s="1">
        <v>9</v>
      </c>
      <c r="D755" s="1" t="s">
        <v>12</v>
      </c>
      <c r="E755" s="1">
        <v>182</v>
      </c>
      <c r="F755" t="str">
        <f>VLOOKUP(Tabla1[[#This Row],[IDProducto]],producto!$A$1:$C$33,2,FALSE)</f>
        <v>Producto_9</v>
      </c>
      <c r="G755" t="str">
        <f>VLOOKUP(Tabla1[[#This Row],[IDProducto]],producto!$A$1:$C$33,3,FALSE)</f>
        <v>Electrónica</v>
      </c>
      <c r="H755" s="6" t="str">
        <f>VLOOKUP(Tabla1[[#This Row],[Estado]],Tabla3[#All],2,0)</f>
        <v>Centro</v>
      </c>
    </row>
    <row r="756" spans="1:8" ht="15.75" customHeight="1" x14ac:dyDescent="0.25">
      <c r="A756" s="1">
        <v>200754</v>
      </c>
      <c r="B756" s="2">
        <v>45743</v>
      </c>
      <c r="C756" s="1">
        <v>28</v>
      </c>
      <c r="D756" s="1" t="s">
        <v>7</v>
      </c>
      <c r="E756" s="1">
        <v>800</v>
      </c>
      <c r="F756" t="str">
        <f>VLOOKUP(Tabla1[[#This Row],[IDProducto]],producto!$A$1:$C$33,2,FALSE)</f>
        <v>Producto_28</v>
      </c>
      <c r="G756" t="str">
        <f>VLOOKUP(Tabla1[[#This Row],[IDProducto]],producto!$A$1:$C$33,3,FALSE)</f>
        <v>Hogar</v>
      </c>
      <c r="H756" s="6" t="str">
        <f>VLOOKUP(Tabla1[[#This Row],[Estado]],Tabla3[#All],2,0)</f>
        <v>Norte</v>
      </c>
    </row>
    <row r="757" spans="1:8" ht="15.75" customHeight="1" x14ac:dyDescent="0.25">
      <c r="A757" s="1">
        <v>200755</v>
      </c>
      <c r="B757" s="2">
        <v>45795</v>
      </c>
      <c r="C757" s="1">
        <v>5</v>
      </c>
      <c r="D757" s="1" t="s">
        <v>12</v>
      </c>
      <c r="E757" s="1">
        <v>1084</v>
      </c>
      <c r="F757" t="str">
        <f>VLOOKUP(Tabla1[[#This Row],[IDProducto]],producto!$A$1:$C$33,2,FALSE)</f>
        <v>Producto_5</v>
      </c>
      <c r="G757" t="str">
        <f>VLOOKUP(Tabla1[[#This Row],[IDProducto]],producto!$A$1:$C$33,3,FALSE)</f>
        <v>Hogar</v>
      </c>
      <c r="H757" s="6" t="str">
        <f>VLOOKUP(Tabla1[[#This Row],[Estado]],Tabla3[#All],2,0)</f>
        <v>Centro</v>
      </c>
    </row>
    <row r="758" spans="1:8" ht="15.75" customHeight="1" x14ac:dyDescent="0.25">
      <c r="A758" s="1">
        <v>200756</v>
      </c>
      <c r="B758" s="2">
        <v>45706</v>
      </c>
      <c r="C758" s="1">
        <v>30</v>
      </c>
      <c r="D758" s="1" t="s">
        <v>5</v>
      </c>
      <c r="E758" s="1">
        <v>1092</v>
      </c>
      <c r="F758" t="str">
        <f>VLOOKUP(Tabla1[[#This Row],[IDProducto]],producto!$A$1:$C$33,2,FALSE)</f>
        <v>Producto_30</v>
      </c>
      <c r="G758" t="str">
        <f>VLOOKUP(Tabla1[[#This Row],[IDProducto]],producto!$A$1:$C$33,3,FALSE)</f>
        <v>Hogar</v>
      </c>
      <c r="H758" s="6" t="str">
        <f>VLOOKUP(Tabla1[[#This Row],[Estado]],Tabla3[#All],2,0)</f>
        <v>Centro</v>
      </c>
    </row>
    <row r="759" spans="1:8" ht="15.75" customHeight="1" x14ac:dyDescent="0.25">
      <c r="A759" s="1">
        <v>200757</v>
      </c>
      <c r="B759" s="2">
        <v>45792</v>
      </c>
      <c r="C759" s="1">
        <v>9</v>
      </c>
      <c r="D759" s="1" t="s">
        <v>10</v>
      </c>
      <c r="E759" s="1">
        <v>1646</v>
      </c>
      <c r="F759" t="str">
        <f>VLOOKUP(Tabla1[[#This Row],[IDProducto]],producto!$A$1:$C$33,2,FALSE)</f>
        <v>Producto_9</v>
      </c>
      <c r="G759" t="str">
        <f>VLOOKUP(Tabla1[[#This Row],[IDProducto]],producto!$A$1:$C$33,3,FALSE)</f>
        <v>Electrónica</v>
      </c>
      <c r="H759" s="6" t="str">
        <f>VLOOKUP(Tabla1[[#This Row],[Estado]],Tabla3[#All],2,0)</f>
        <v>Centro</v>
      </c>
    </row>
    <row r="760" spans="1:8" ht="15.75" customHeight="1" x14ac:dyDescent="0.25">
      <c r="A760" s="1">
        <v>200758</v>
      </c>
      <c r="B760" s="2">
        <v>45706</v>
      </c>
      <c r="C760" s="1">
        <v>2</v>
      </c>
      <c r="D760" s="1" t="s">
        <v>11</v>
      </c>
      <c r="E760" s="1">
        <v>1069</v>
      </c>
      <c r="F760" t="str">
        <f>VLOOKUP(Tabla1[[#This Row],[IDProducto]],producto!$A$1:$C$33,2,FALSE)</f>
        <v>Producto_2</v>
      </c>
      <c r="G760" t="str">
        <f>VLOOKUP(Tabla1[[#This Row],[IDProducto]],producto!$A$1:$C$33,3,FALSE)</f>
        <v>Deportes</v>
      </c>
      <c r="H760" s="6" t="str">
        <f>VLOOKUP(Tabla1[[#This Row],[Estado]],Tabla3[#All],2,0)</f>
        <v>Occidente</v>
      </c>
    </row>
    <row r="761" spans="1:8" ht="15.75" customHeight="1" x14ac:dyDescent="0.25">
      <c r="A761" s="1">
        <v>200759</v>
      </c>
      <c r="B761" s="2">
        <v>45694</v>
      </c>
      <c r="C761" s="1">
        <v>26</v>
      </c>
      <c r="D761" s="1" t="s">
        <v>12</v>
      </c>
      <c r="E761" s="1">
        <v>1720</v>
      </c>
      <c r="F761" t="str">
        <f>VLOOKUP(Tabla1[[#This Row],[IDProducto]],producto!$A$1:$C$33,2,FALSE)</f>
        <v>Producto_26</v>
      </c>
      <c r="G761" t="str">
        <f>VLOOKUP(Tabla1[[#This Row],[IDProducto]],producto!$A$1:$C$33,3,FALSE)</f>
        <v>Hogar</v>
      </c>
      <c r="H761" s="6" t="str">
        <f>VLOOKUP(Tabla1[[#This Row],[Estado]],Tabla3[#All],2,0)</f>
        <v>Centro</v>
      </c>
    </row>
    <row r="762" spans="1:8" ht="15.75" customHeight="1" x14ac:dyDescent="0.25">
      <c r="A762" s="1">
        <v>200760</v>
      </c>
      <c r="B762" s="2">
        <v>45754</v>
      </c>
      <c r="C762" s="1">
        <v>2</v>
      </c>
      <c r="D762" s="1" t="s">
        <v>7</v>
      </c>
      <c r="E762" s="1">
        <v>977</v>
      </c>
      <c r="F762" t="str">
        <f>VLOOKUP(Tabla1[[#This Row],[IDProducto]],producto!$A$1:$C$33,2,FALSE)</f>
        <v>Producto_2</v>
      </c>
      <c r="G762" t="str">
        <f>VLOOKUP(Tabla1[[#This Row],[IDProducto]],producto!$A$1:$C$33,3,FALSE)</f>
        <v>Deportes</v>
      </c>
      <c r="H762" s="6" t="str">
        <f>VLOOKUP(Tabla1[[#This Row],[Estado]],Tabla3[#All],2,0)</f>
        <v>Norte</v>
      </c>
    </row>
    <row r="763" spans="1:8" ht="15.75" customHeight="1" x14ac:dyDescent="0.25">
      <c r="A763" s="1">
        <v>200761</v>
      </c>
      <c r="B763" s="2">
        <v>45759</v>
      </c>
      <c r="C763" s="1">
        <v>7</v>
      </c>
      <c r="D763" s="1" t="s">
        <v>12</v>
      </c>
      <c r="E763" s="1">
        <v>413</v>
      </c>
      <c r="F763" t="str">
        <f>VLOOKUP(Tabla1[[#This Row],[IDProducto]],producto!$A$1:$C$33,2,FALSE)</f>
        <v>Producto_7</v>
      </c>
      <c r="G763" t="str">
        <f>VLOOKUP(Tabla1[[#This Row],[IDProducto]],producto!$A$1:$C$33,3,FALSE)</f>
        <v>Ropa</v>
      </c>
      <c r="H763" s="6" t="str">
        <f>VLOOKUP(Tabla1[[#This Row],[Estado]],Tabla3[#All],2,0)</f>
        <v>Centro</v>
      </c>
    </row>
    <row r="764" spans="1:8" ht="15.75" customHeight="1" x14ac:dyDescent="0.25">
      <c r="A764" s="1">
        <v>200762</v>
      </c>
      <c r="B764" s="2">
        <v>45753</v>
      </c>
      <c r="C764" s="1">
        <v>11</v>
      </c>
      <c r="D764" s="1" t="s">
        <v>6</v>
      </c>
      <c r="E764" s="1">
        <v>529</v>
      </c>
      <c r="F764" t="str">
        <f>VLOOKUP(Tabla1[[#This Row],[IDProducto]],producto!$A$1:$C$33,2,FALSE)</f>
        <v>Producto_11</v>
      </c>
      <c r="G764" t="str">
        <f>VLOOKUP(Tabla1[[#This Row],[IDProducto]],producto!$A$1:$C$33,3,FALSE)</f>
        <v>Ropa</v>
      </c>
      <c r="H764" s="6" t="str">
        <f>VLOOKUP(Tabla1[[#This Row],[Estado]],Tabla3[#All],2,0)</f>
        <v>Occidente</v>
      </c>
    </row>
    <row r="765" spans="1:8" ht="15.75" customHeight="1" x14ac:dyDescent="0.25">
      <c r="A765" s="1">
        <v>200763</v>
      </c>
      <c r="B765" s="2">
        <v>45741</v>
      </c>
      <c r="C765" s="1">
        <v>31</v>
      </c>
      <c r="D765" s="1" t="s">
        <v>8</v>
      </c>
      <c r="E765" s="1">
        <v>1874</v>
      </c>
      <c r="F765" t="str">
        <f>VLOOKUP(Tabla1[[#This Row],[IDProducto]],producto!$A$1:$C$33,2,FALSE)</f>
        <v>Producto_31</v>
      </c>
      <c r="G765" t="str">
        <f>VLOOKUP(Tabla1[[#This Row],[IDProducto]],producto!$A$1:$C$33,3,FALSE)</f>
        <v>Deportes</v>
      </c>
      <c r="H765" s="6" t="str">
        <f>VLOOKUP(Tabla1[[#This Row],[Estado]],Tabla3[#All],2,0)</f>
        <v>Norte</v>
      </c>
    </row>
    <row r="766" spans="1:8" ht="15.75" customHeight="1" x14ac:dyDescent="0.25">
      <c r="A766" s="1">
        <v>200764</v>
      </c>
      <c r="B766" s="2">
        <v>45721</v>
      </c>
      <c r="C766" s="1">
        <v>5</v>
      </c>
      <c r="D766" s="1" t="s">
        <v>8</v>
      </c>
      <c r="E766" s="1">
        <v>849</v>
      </c>
      <c r="F766" t="str">
        <f>VLOOKUP(Tabla1[[#This Row],[IDProducto]],producto!$A$1:$C$33,2,FALSE)</f>
        <v>Producto_5</v>
      </c>
      <c r="G766" t="str">
        <f>VLOOKUP(Tabla1[[#This Row],[IDProducto]],producto!$A$1:$C$33,3,FALSE)</f>
        <v>Hogar</v>
      </c>
      <c r="H766" s="6" t="str">
        <f>VLOOKUP(Tabla1[[#This Row],[Estado]],Tabla3[#All],2,0)</f>
        <v>Norte</v>
      </c>
    </row>
    <row r="767" spans="1:8" ht="15.75" customHeight="1" x14ac:dyDescent="0.25">
      <c r="A767" s="1">
        <v>200765</v>
      </c>
      <c r="B767" s="2">
        <v>45718</v>
      </c>
      <c r="C767" s="1">
        <v>24</v>
      </c>
      <c r="D767" s="1" t="s">
        <v>12</v>
      </c>
      <c r="E767" s="1">
        <v>1452</v>
      </c>
      <c r="F767" t="str">
        <f>VLOOKUP(Tabla1[[#This Row],[IDProducto]],producto!$A$1:$C$33,2,FALSE)</f>
        <v>Producto_24</v>
      </c>
      <c r="G767" t="str">
        <f>VLOOKUP(Tabla1[[#This Row],[IDProducto]],producto!$A$1:$C$33,3,FALSE)</f>
        <v>Ropa</v>
      </c>
      <c r="H767" s="6" t="str">
        <f>VLOOKUP(Tabla1[[#This Row],[Estado]],Tabla3[#All],2,0)</f>
        <v>Centro</v>
      </c>
    </row>
    <row r="768" spans="1:8" ht="15.75" customHeight="1" x14ac:dyDescent="0.25">
      <c r="A768" s="1">
        <v>200766</v>
      </c>
      <c r="B768" s="2">
        <v>45810</v>
      </c>
      <c r="C768" s="1">
        <v>17</v>
      </c>
      <c r="D768" s="1" t="s">
        <v>11</v>
      </c>
      <c r="E768" s="1">
        <v>1910</v>
      </c>
      <c r="F768" t="str">
        <f>VLOOKUP(Tabla1[[#This Row],[IDProducto]],producto!$A$1:$C$33,2,FALSE)</f>
        <v>Producto_17</v>
      </c>
      <c r="G768" t="str">
        <f>VLOOKUP(Tabla1[[#This Row],[IDProducto]],producto!$A$1:$C$33,3,FALSE)</f>
        <v>Ropa</v>
      </c>
      <c r="H768" s="6" t="str">
        <f>VLOOKUP(Tabla1[[#This Row],[Estado]],Tabla3[#All],2,0)</f>
        <v>Occidente</v>
      </c>
    </row>
    <row r="769" spans="1:8" ht="15.75" customHeight="1" x14ac:dyDescent="0.25">
      <c r="A769" s="1">
        <v>200767</v>
      </c>
      <c r="B769" s="2">
        <v>45678</v>
      </c>
      <c r="C769" s="1">
        <v>16</v>
      </c>
      <c r="D769" s="1" t="s">
        <v>10</v>
      </c>
      <c r="E769" s="1">
        <v>843</v>
      </c>
      <c r="F769" t="str">
        <f>VLOOKUP(Tabla1[[#This Row],[IDProducto]],producto!$A$1:$C$33,2,FALSE)</f>
        <v>Producto_16</v>
      </c>
      <c r="G769" t="str">
        <f>VLOOKUP(Tabla1[[#This Row],[IDProducto]],producto!$A$1:$C$33,3,FALSE)</f>
        <v>Ropa</v>
      </c>
      <c r="H769" s="6" t="str">
        <f>VLOOKUP(Tabla1[[#This Row],[Estado]],Tabla3[#All],2,0)</f>
        <v>Centro</v>
      </c>
    </row>
    <row r="770" spans="1:8" ht="15.75" customHeight="1" x14ac:dyDescent="0.25">
      <c r="A770" s="1">
        <v>200768</v>
      </c>
      <c r="B770" s="2">
        <v>45726</v>
      </c>
      <c r="C770" s="1">
        <v>20</v>
      </c>
      <c r="D770" s="1" t="s">
        <v>11</v>
      </c>
      <c r="E770" s="1">
        <v>1530</v>
      </c>
      <c r="F770" t="str">
        <f>VLOOKUP(Tabla1[[#This Row],[IDProducto]],producto!$A$1:$C$33,2,FALSE)</f>
        <v>Producto_20</v>
      </c>
      <c r="G770" t="str">
        <f>VLOOKUP(Tabla1[[#This Row],[IDProducto]],producto!$A$1:$C$33,3,FALSE)</f>
        <v>Deportes</v>
      </c>
      <c r="H770" s="6" t="str">
        <f>VLOOKUP(Tabla1[[#This Row],[Estado]],Tabla3[#All],2,0)</f>
        <v>Occidente</v>
      </c>
    </row>
    <row r="771" spans="1:8" ht="15.75" customHeight="1" x14ac:dyDescent="0.25">
      <c r="A771" s="1">
        <v>200769</v>
      </c>
      <c r="B771" s="2">
        <v>45828</v>
      </c>
      <c r="C771" s="1">
        <v>31</v>
      </c>
      <c r="D771" s="1" t="s">
        <v>10</v>
      </c>
      <c r="E771" s="1">
        <v>289</v>
      </c>
      <c r="F771" t="str">
        <f>VLOOKUP(Tabla1[[#This Row],[IDProducto]],producto!$A$1:$C$33,2,FALSE)</f>
        <v>Producto_31</v>
      </c>
      <c r="G771" t="str">
        <f>VLOOKUP(Tabla1[[#This Row],[IDProducto]],producto!$A$1:$C$33,3,FALSE)</f>
        <v>Deportes</v>
      </c>
      <c r="H771" s="6" t="str">
        <f>VLOOKUP(Tabla1[[#This Row],[Estado]],Tabla3[#All],2,0)</f>
        <v>Centro</v>
      </c>
    </row>
    <row r="772" spans="1:8" ht="15.75" customHeight="1" x14ac:dyDescent="0.25">
      <c r="A772" s="1">
        <v>200770</v>
      </c>
      <c r="B772" s="2">
        <v>45817</v>
      </c>
      <c r="C772" s="1">
        <v>9</v>
      </c>
      <c r="D772" s="1" t="s">
        <v>8</v>
      </c>
      <c r="E772" s="1">
        <v>220</v>
      </c>
      <c r="F772" t="str">
        <f>VLOOKUP(Tabla1[[#This Row],[IDProducto]],producto!$A$1:$C$33,2,FALSE)</f>
        <v>Producto_9</v>
      </c>
      <c r="G772" t="str">
        <f>VLOOKUP(Tabla1[[#This Row],[IDProducto]],producto!$A$1:$C$33,3,FALSE)</f>
        <v>Electrónica</v>
      </c>
      <c r="H772" s="6" t="str">
        <f>VLOOKUP(Tabla1[[#This Row],[Estado]],Tabla3[#All],2,0)</f>
        <v>Norte</v>
      </c>
    </row>
    <row r="773" spans="1:8" ht="15.75" customHeight="1" x14ac:dyDescent="0.25">
      <c r="A773" s="1">
        <v>200771</v>
      </c>
      <c r="B773" s="2">
        <v>45717</v>
      </c>
      <c r="C773" s="1">
        <v>27</v>
      </c>
      <c r="D773" s="1" t="s">
        <v>8</v>
      </c>
      <c r="E773" s="1">
        <v>1487</v>
      </c>
      <c r="F773" t="str">
        <f>VLOOKUP(Tabla1[[#This Row],[IDProducto]],producto!$A$1:$C$33,2,FALSE)</f>
        <v>Producto_27</v>
      </c>
      <c r="G773" t="str">
        <f>VLOOKUP(Tabla1[[#This Row],[IDProducto]],producto!$A$1:$C$33,3,FALSE)</f>
        <v>Electrónica</v>
      </c>
      <c r="H773" s="6" t="str">
        <f>VLOOKUP(Tabla1[[#This Row],[Estado]],Tabla3[#All],2,0)</f>
        <v>Norte</v>
      </c>
    </row>
    <row r="774" spans="1:8" ht="15.75" customHeight="1" x14ac:dyDescent="0.25">
      <c r="A774" s="1">
        <v>200772</v>
      </c>
      <c r="B774" s="2">
        <v>45696</v>
      </c>
      <c r="C774" s="1">
        <v>31</v>
      </c>
      <c r="D774" s="1" t="s">
        <v>9</v>
      </c>
      <c r="E774" s="1">
        <v>1946</v>
      </c>
      <c r="F774" t="str">
        <f>VLOOKUP(Tabla1[[#This Row],[IDProducto]],producto!$A$1:$C$33,2,FALSE)</f>
        <v>Producto_31</v>
      </c>
      <c r="G774" t="str">
        <f>VLOOKUP(Tabla1[[#This Row],[IDProducto]],producto!$A$1:$C$33,3,FALSE)</f>
        <v>Deportes</v>
      </c>
      <c r="H774" s="6" t="str">
        <f>VLOOKUP(Tabla1[[#This Row],[Estado]],Tabla3[#All],2,0)</f>
        <v>Sur</v>
      </c>
    </row>
    <row r="775" spans="1:8" ht="15.75" customHeight="1" x14ac:dyDescent="0.25">
      <c r="A775" s="1">
        <v>200773</v>
      </c>
      <c r="B775" s="2">
        <v>45791</v>
      </c>
      <c r="C775" s="1">
        <v>20</v>
      </c>
      <c r="D775" s="1" t="s">
        <v>9</v>
      </c>
      <c r="E775" s="1">
        <v>1142</v>
      </c>
      <c r="F775" t="str">
        <f>VLOOKUP(Tabla1[[#This Row],[IDProducto]],producto!$A$1:$C$33,2,FALSE)</f>
        <v>Producto_20</v>
      </c>
      <c r="G775" t="str">
        <f>VLOOKUP(Tabla1[[#This Row],[IDProducto]],producto!$A$1:$C$33,3,FALSE)</f>
        <v>Deportes</v>
      </c>
      <c r="H775" s="6" t="str">
        <f>VLOOKUP(Tabla1[[#This Row],[Estado]],Tabla3[#All],2,0)</f>
        <v>Sur</v>
      </c>
    </row>
    <row r="776" spans="1:8" ht="15.75" customHeight="1" x14ac:dyDescent="0.25">
      <c r="A776" s="1">
        <v>200774</v>
      </c>
      <c r="B776" s="2">
        <v>45833</v>
      </c>
      <c r="C776" s="1">
        <v>21</v>
      </c>
      <c r="D776" s="1" t="s">
        <v>12</v>
      </c>
      <c r="E776" s="1">
        <v>607</v>
      </c>
      <c r="F776" t="str">
        <f>VLOOKUP(Tabla1[[#This Row],[IDProducto]],producto!$A$1:$C$33,2,FALSE)</f>
        <v>Producto_21</v>
      </c>
      <c r="G776" t="str">
        <f>VLOOKUP(Tabla1[[#This Row],[IDProducto]],producto!$A$1:$C$33,3,FALSE)</f>
        <v>Electrónica</v>
      </c>
      <c r="H776" s="6" t="str">
        <f>VLOOKUP(Tabla1[[#This Row],[Estado]],Tabla3[#All],2,0)</f>
        <v>Centro</v>
      </c>
    </row>
    <row r="777" spans="1:8" ht="15.75" customHeight="1" x14ac:dyDescent="0.25">
      <c r="A777" s="1">
        <v>200775</v>
      </c>
      <c r="B777" s="2">
        <v>45762</v>
      </c>
      <c r="C777" s="1">
        <v>4</v>
      </c>
      <c r="D777" s="1" t="s">
        <v>7</v>
      </c>
      <c r="E777" s="1">
        <v>551</v>
      </c>
      <c r="F777" t="str">
        <f>VLOOKUP(Tabla1[[#This Row],[IDProducto]],producto!$A$1:$C$33,2,FALSE)</f>
        <v>Producto_4</v>
      </c>
      <c r="G777" t="str">
        <f>VLOOKUP(Tabla1[[#This Row],[IDProducto]],producto!$A$1:$C$33,3,FALSE)</f>
        <v>Deportes</v>
      </c>
      <c r="H777" s="6" t="str">
        <f>VLOOKUP(Tabla1[[#This Row],[Estado]],Tabla3[#All],2,0)</f>
        <v>Norte</v>
      </c>
    </row>
    <row r="778" spans="1:8" ht="15.75" customHeight="1" x14ac:dyDescent="0.25">
      <c r="A778" s="1">
        <v>200776</v>
      </c>
      <c r="B778" s="2">
        <v>45727</v>
      </c>
      <c r="C778" s="1">
        <v>5</v>
      </c>
      <c r="D778" s="1" t="s">
        <v>7</v>
      </c>
      <c r="E778" s="1">
        <v>586</v>
      </c>
      <c r="F778" t="str">
        <f>VLOOKUP(Tabla1[[#This Row],[IDProducto]],producto!$A$1:$C$33,2,FALSE)</f>
        <v>Producto_5</v>
      </c>
      <c r="G778" t="str">
        <f>VLOOKUP(Tabla1[[#This Row],[IDProducto]],producto!$A$1:$C$33,3,FALSE)</f>
        <v>Hogar</v>
      </c>
      <c r="H778" s="6" t="str">
        <f>VLOOKUP(Tabla1[[#This Row],[Estado]],Tabla3[#All],2,0)</f>
        <v>Norte</v>
      </c>
    </row>
    <row r="779" spans="1:8" ht="15.75" customHeight="1" x14ac:dyDescent="0.25">
      <c r="A779" s="1">
        <v>200777</v>
      </c>
      <c r="B779" s="2">
        <v>45734</v>
      </c>
      <c r="C779" s="1">
        <v>4</v>
      </c>
      <c r="D779" s="1" t="s">
        <v>12</v>
      </c>
      <c r="E779" s="1">
        <v>1218</v>
      </c>
      <c r="F779" t="str">
        <f>VLOOKUP(Tabla1[[#This Row],[IDProducto]],producto!$A$1:$C$33,2,FALSE)</f>
        <v>Producto_4</v>
      </c>
      <c r="G779" t="str">
        <f>VLOOKUP(Tabla1[[#This Row],[IDProducto]],producto!$A$1:$C$33,3,FALSE)</f>
        <v>Deportes</v>
      </c>
      <c r="H779" s="6" t="str">
        <f>VLOOKUP(Tabla1[[#This Row],[Estado]],Tabla3[#All],2,0)</f>
        <v>Centro</v>
      </c>
    </row>
    <row r="780" spans="1:8" ht="15.75" customHeight="1" x14ac:dyDescent="0.25">
      <c r="A780" s="1">
        <v>200778</v>
      </c>
      <c r="B780" s="2">
        <v>45815</v>
      </c>
      <c r="C780" s="1">
        <v>20</v>
      </c>
      <c r="D780" s="1" t="s">
        <v>7</v>
      </c>
      <c r="E780" s="1">
        <v>1552</v>
      </c>
      <c r="F780" t="str">
        <f>VLOOKUP(Tabla1[[#This Row],[IDProducto]],producto!$A$1:$C$33,2,FALSE)</f>
        <v>Producto_20</v>
      </c>
      <c r="G780" t="str">
        <f>VLOOKUP(Tabla1[[#This Row],[IDProducto]],producto!$A$1:$C$33,3,FALSE)</f>
        <v>Deportes</v>
      </c>
      <c r="H780" s="6" t="str">
        <f>VLOOKUP(Tabla1[[#This Row],[Estado]],Tabla3[#All],2,0)</f>
        <v>Norte</v>
      </c>
    </row>
    <row r="781" spans="1:8" ht="15.75" customHeight="1" x14ac:dyDescent="0.25">
      <c r="A781" s="1">
        <v>200779</v>
      </c>
      <c r="B781" s="2">
        <v>45784</v>
      </c>
      <c r="C781" s="1">
        <v>13</v>
      </c>
      <c r="D781" s="1" t="s">
        <v>8</v>
      </c>
      <c r="E781" s="1">
        <v>1539</v>
      </c>
      <c r="F781" t="str">
        <f>VLOOKUP(Tabla1[[#This Row],[IDProducto]],producto!$A$1:$C$33,2,FALSE)</f>
        <v>Producto_13</v>
      </c>
      <c r="G781" t="str">
        <f>VLOOKUP(Tabla1[[#This Row],[IDProducto]],producto!$A$1:$C$33,3,FALSE)</f>
        <v>Deportes</v>
      </c>
      <c r="H781" s="6" t="str">
        <f>VLOOKUP(Tabla1[[#This Row],[Estado]],Tabla3[#All],2,0)</f>
        <v>Norte</v>
      </c>
    </row>
    <row r="782" spans="1:8" ht="15.75" customHeight="1" x14ac:dyDescent="0.25">
      <c r="A782" s="1">
        <v>200780</v>
      </c>
      <c r="B782" s="2">
        <v>45820</v>
      </c>
      <c r="C782" s="1">
        <v>11</v>
      </c>
      <c r="D782" s="1" t="s">
        <v>9</v>
      </c>
      <c r="E782" s="1">
        <v>229</v>
      </c>
      <c r="F782" t="str">
        <f>VLOOKUP(Tabla1[[#This Row],[IDProducto]],producto!$A$1:$C$33,2,FALSE)</f>
        <v>Producto_11</v>
      </c>
      <c r="G782" t="str">
        <f>VLOOKUP(Tabla1[[#This Row],[IDProducto]],producto!$A$1:$C$33,3,FALSE)</f>
        <v>Ropa</v>
      </c>
      <c r="H782" s="6" t="str">
        <f>VLOOKUP(Tabla1[[#This Row],[Estado]],Tabla3[#All],2,0)</f>
        <v>Sur</v>
      </c>
    </row>
    <row r="783" spans="1:8" ht="15.75" customHeight="1" x14ac:dyDescent="0.25">
      <c r="A783" s="1">
        <v>200781</v>
      </c>
      <c r="B783" s="2">
        <v>45674</v>
      </c>
      <c r="C783" s="1">
        <v>20</v>
      </c>
      <c r="D783" s="1" t="s">
        <v>8</v>
      </c>
      <c r="E783" s="1">
        <v>370</v>
      </c>
      <c r="F783" t="str">
        <f>VLOOKUP(Tabla1[[#This Row],[IDProducto]],producto!$A$1:$C$33,2,FALSE)</f>
        <v>Producto_20</v>
      </c>
      <c r="G783" t="str">
        <f>VLOOKUP(Tabla1[[#This Row],[IDProducto]],producto!$A$1:$C$33,3,FALSE)</f>
        <v>Deportes</v>
      </c>
      <c r="H783" s="6" t="str">
        <f>VLOOKUP(Tabla1[[#This Row],[Estado]],Tabla3[#All],2,0)</f>
        <v>Norte</v>
      </c>
    </row>
    <row r="784" spans="1:8" ht="15.75" customHeight="1" x14ac:dyDescent="0.25">
      <c r="A784" s="1">
        <v>200782</v>
      </c>
      <c r="B784" s="2">
        <v>45659</v>
      </c>
      <c r="C784" s="1">
        <v>15</v>
      </c>
      <c r="D784" s="1" t="s">
        <v>12</v>
      </c>
      <c r="E784" s="1">
        <v>515</v>
      </c>
      <c r="F784" t="str">
        <f>VLOOKUP(Tabla1[[#This Row],[IDProducto]],producto!$A$1:$C$33,2,FALSE)</f>
        <v>Producto_15</v>
      </c>
      <c r="G784" t="str">
        <f>VLOOKUP(Tabla1[[#This Row],[IDProducto]],producto!$A$1:$C$33,3,FALSE)</f>
        <v>Hogar</v>
      </c>
      <c r="H784" s="6" t="str">
        <f>VLOOKUP(Tabla1[[#This Row],[Estado]],Tabla3[#All],2,0)</f>
        <v>Centro</v>
      </c>
    </row>
    <row r="785" spans="1:8" ht="15.75" customHeight="1" x14ac:dyDescent="0.25">
      <c r="A785" s="1">
        <v>200783</v>
      </c>
      <c r="B785" s="2">
        <v>45796</v>
      </c>
      <c r="C785" s="1">
        <v>25</v>
      </c>
      <c r="D785" s="1" t="s">
        <v>12</v>
      </c>
      <c r="E785" s="1">
        <v>1503</v>
      </c>
      <c r="F785" t="str">
        <f>VLOOKUP(Tabla1[[#This Row],[IDProducto]],producto!$A$1:$C$33,2,FALSE)</f>
        <v>Producto_25</v>
      </c>
      <c r="G785" t="str">
        <f>VLOOKUP(Tabla1[[#This Row],[IDProducto]],producto!$A$1:$C$33,3,FALSE)</f>
        <v>Electrónica</v>
      </c>
      <c r="H785" s="6" t="str">
        <f>VLOOKUP(Tabla1[[#This Row],[Estado]],Tabla3[#All],2,0)</f>
        <v>Centro</v>
      </c>
    </row>
    <row r="786" spans="1:8" ht="15.75" customHeight="1" x14ac:dyDescent="0.25">
      <c r="A786" s="1">
        <v>200784</v>
      </c>
      <c r="B786" s="2">
        <v>45791</v>
      </c>
      <c r="C786" s="1">
        <v>30</v>
      </c>
      <c r="D786" s="1" t="s">
        <v>6</v>
      </c>
      <c r="E786" s="1">
        <v>1464</v>
      </c>
      <c r="F786" t="str">
        <f>VLOOKUP(Tabla1[[#This Row],[IDProducto]],producto!$A$1:$C$33,2,FALSE)</f>
        <v>Producto_30</v>
      </c>
      <c r="G786" t="str">
        <f>VLOOKUP(Tabla1[[#This Row],[IDProducto]],producto!$A$1:$C$33,3,FALSE)</f>
        <v>Hogar</v>
      </c>
      <c r="H786" s="6" t="str">
        <f>VLOOKUP(Tabla1[[#This Row],[Estado]],Tabla3[#All],2,0)</f>
        <v>Occidente</v>
      </c>
    </row>
    <row r="787" spans="1:8" ht="15.75" customHeight="1" x14ac:dyDescent="0.25">
      <c r="A787" s="1">
        <v>200785</v>
      </c>
      <c r="B787" s="2">
        <v>45686</v>
      </c>
      <c r="C787" s="1">
        <v>20</v>
      </c>
      <c r="D787" s="1" t="s">
        <v>5</v>
      </c>
      <c r="E787" s="1">
        <v>204</v>
      </c>
      <c r="F787" t="str">
        <f>VLOOKUP(Tabla1[[#This Row],[IDProducto]],producto!$A$1:$C$33,2,FALSE)</f>
        <v>Producto_20</v>
      </c>
      <c r="G787" t="str">
        <f>VLOOKUP(Tabla1[[#This Row],[IDProducto]],producto!$A$1:$C$33,3,FALSE)</f>
        <v>Deportes</v>
      </c>
      <c r="H787" s="6" t="str">
        <f>VLOOKUP(Tabla1[[#This Row],[Estado]],Tabla3[#All],2,0)</f>
        <v>Centro</v>
      </c>
    </row>
    <row r="788" spans="1:8" ht="15.75" customHeight="1" x14ac:dyDescent="0.25">
      <c r="A788" s="1">
        <v>200786</v>
      </c>
      <c r="B788" s="2">
        <v>45777</v>
      </c>
      <c r="C788" s="1">
        <v>20</v>
      </c>
      <c r="D788" s="1" t="s">
        <v>11</v>
      </c>
      <c r="E788" s="1">
        <v>490</v>
      </c>
      <c r="F788" t="str">
        <f>VLOOKUP(Tabla1[[#This Row],[IDProducto]],producto!$A$1:$C$33,2,FALSE)</f>
        <v>Producto_20</v>
      </c>
      <c r="G788" t="str">
        <f>VLOOKUP(Tabla1[[#This Row],[IDProducto]],producto!$A$1:$C$33,3,FALSE)</f>
        <v>Deportes</v>
      </c>
      <c r="H788" s="6" t="str">
        <f>VLOOKUP(Tabla1[[#This Row],[Estado]],Tabla3[#All],2,0)</f>
        <v>Occidente</v>
      </c>
    </row>
    <row r="789" spans="1:8" ht="15.75" customHeight="1" x14ac:dyDescent="0.25">
      <c r="A789" s="1">
        <v>200787</v>
      </c>
      <c r="B789" s="2">
        <v>45752</v>
      </c>
      <c r="C789" s="1">
        <v>26</v>
      </c>
      <c r="D789" s="1" t="s">
        <v>11</v>
      </c>
      <c r="E789" s="1">
        <v>1573</v>
      </c>
      <c r="F789" t="str">
        <f>VLOOKUP(Tabla1[[#This Row],[IDProducto]],producto!$A$1:$C$33,2,FALSE)</f>
        <v>Producto_26</v>
      </c>
      <c r="G789" t="str">
        <f>VLOOKUP(Tabla1[[#This Row],[IDProducto]],producto!$A$1:$C$33,3,FALSE)</f>
        <v>Hogar</v>
      </c>
      <c r="H789" s="6" t="str">
        <f>VLOOKUP(Tabla1[[#This Row],[Estado]],Tabla3[#All],2,0)</f>
        <v>Occidente</v>
      </c>
    </row>
    <row r="790" spans="1:8" ht="15.75" customHeight="1" x14ac:dyDescent="0.25">
      <c r="A790" s="1">
        <v>200788</v>
      </c>
      <c r="B790" s="2">
        <v>45789</v>
      </c>
      <c r="C790" s="1">
        <v>7</v>
      </c>
      <c r="D790" s="1" t="s">
        <v>12</v>
      </c>
      <c r="E790" s="1">
        <v>810</v>
      </c>
      <c r="F790" t="str">
        <f>VLOOKUP(Tabla1[[#This Row],[IDProducto]],producto!$A$1:$C$33,2,FALSE)</f>
        <v>Producto_7</v>
      </c>
      <c r="G790" t="str">
        <f>VLOOKUP(Tabla1[[#This Row],[IDProducto]],producto!$A$1:$C$33,3,FALSE)</f>
        <v>Ropa</v>
      </c>
      <c r="H790" s="6" t="str">
        <f>VLOOKUP(Tabla1[[#This Row],[Estado]],Tabla3[#All],2,0)</f>
        <v>Centro</v>
      </c>
    </row>
    <row r="791" spans="1:8" ht="15.75" customHeight="1" x14ac:dyDescent="0.25">
      <c r="A791" s="1">
        <v>200789</v>
      </c>
      <c r="B791" s="2">
        <v>45722</v>
      </c>
      <c r="C791" s="1">
        <v>30</v>
      </c>
      <c r="D791" s="1" t="s">
        <v>6</v>
      </c>
      <c r="E791" s="1">
        <v>1200</v>
      </c>
      <c r="F791" t="str">
        <f>VLOOKUP(Tabla1[[#This Row],[IDProducto]],producto!$A$1:$C$33,2,FALSE)</f>
        <v>Producto_30</v>
      </c>
      <c r="G791" t="str">
        <f>VLOOKUP(Tabla1[[#This Row],[IDProducto]],producto!$A$1:$C$33,3,FALSE)</f>
        <v>Hogar</v>
      </c>
      <c r="H791" s="6" t="str">
        <f>VLOOKUP(Tabla1[[#This Row],[Estado]],Tabla3[#All],2,0)</f>
        <v>Occidente</v>
      </c>
    </row>
    <row r="792" spans="1:8" ht="15.75" customHeight="1" x14ac:dyDescent="0.25">
      <c r="A792" s="1">
        <v>200790</v>
      </c>
      <c r="B792" s="2">
        <v>45761</v>
      </c>
      <c r="C792" s="1">
        <v>22</v>
      </c>
      <c r="D792" s="1" t="s">
        <v>10</v>
      </c>
      <c r="E792" s="1">
        <v>1389</v>
      </c>
      <c r="F792" t="str">
        <f>VLOOKUP(Tabla1[[#This Row],[IDProducto]],producto!$A$1:$C$33,2,FALSE)</f>
        <v>Producto_22</v>
      </c>
      <c r="G792" t="str">
        <f>VLOOKUP(Tabla1[[#This Row],[IDProducto]],producto!$A$1:$C$33,3,FALSE)</f>
        <v>Hogar</v>
      </c>
      <c r="H792" s="6" t="str">
        <f>VLOOKUP(Tabla1[[#This Row],[Estado]],Tabla3[#All],2,0)</f>
        <v>Centro</v>
      </c>
    </row>
    <row r="793" spans="1:8" ht="15.75" customHeight="1" x14ac:dyDescent="0.25">
      <c r="A793" s="1">
        <v>200791</v>
      </c>
      <c r="B793" s="2">
        <v>45688</v>
      </c>
      <c r="C793" s="1">
        <v>22</v>
      </c>
      <c r="D793" s="1" t="s">
        <v>10</v>
      </c>
      <c r="E793" s="1">
        <v>499</v>
      </c>
      <c r="F793" t="str">
        <f>VLOOKUP(Tabla1[[#This Row],[IDProducto]],producto!$A$1:$C$33,2,FALSE)</f>
        <v>Producto_22</v>
      </c>
      <c r="G793" t="str">
        <f>VLOOKUP(Tabla1[[#This Row],[IDProducto]],producto!$A$1:$C$33,3,FALSE)</f>
        <v>Hogar</v>
      </c>
      <c r="H793" s="6" t="str">
        <f>VLOOKUP(Tabla1[[#This Row],[Estado]],Tabla3[#All],2,0)</f>
        <v>Centro</v>
      </c>
    </row>
    <row r="794" spans="1:8" ht="15.75" customHeight="1" x14ac:dyDescent="0.25">
      <c r="A794" s="1">
        <v>200792</v>
      </c>
      <c r="B794" s="2">
        <v>45805</v>
      </c>
      <c r="C794" s="1">
        <v>13</v>
      </c>
      <c r="D794" s="1" t="s">
        <v>9</v>
      </c>
      <c r="E794" s="1">
        <v>1769</v>
      </c>
      <c r="F794" t="str">
        <f>VLOOKUP(Tabla1[[#This Row],[IDProducto]],producto!$A$1:$C$33,2,FALSE)</f>
        <v>Producto_13</v>
      </c>
      <c r="G794" t="str">
        <f>VLOOKUP(Tabla1[[#This Row],[IDProducto]],producto!$A$1:$C$33,3,FALSE)</f>
        <v>Deportes</v>
      </c>
      <c r="H794" s="6" t="str">
        <f>VLOOKUP(Tabla1[[#This Row],[Estado]],Tabla3[#All],2,0)</f>
        <v>Sur</v>
      </c>
    </row>
    <row r="795" spans="1:8" ht="15.75" customHeight="1" x14ac:dyDescent="0.25">
      <c r="A795" s="1">
        <v>200793</v>
      </c>
      <c r="B795" s="2">
        <v>45786</v>
      </c>
      <c r="C795" s="1">
        <v>29</v>
      </c>
      <c r="D795" s="1" t="s">
        <v>6</v>
      </c>
      <c r="E795" s="1">
        <v>752</v>
      </c>
      <c r="F795" t="str">
        <f>VLOOKUP(Tabla1[[#This Row],[IDProducto]],producto!$A$1:$C$33,2,FALSE)</f>
        <v>Producto_29</v>
      </c>
      <c r="G795" t="str">
        <f>VLOOKUP(Tabla1[[#This Row],[IDProducto]],producto!$A$1:$C$33,3,FALSE)</f>
        <v>Electrónica</v>
      </c>
      <c r="H795" s="6" t="str">
        <f>VLOOKUP(Tabla1[[#This Row],[Estado]],Tabla3[#All],2,0)</f>
        <v>Occidente</v>
      </c>
    </row>
    <row r="796" spans="1:8" ht="15.75" customHeight="1" x14ac:dyDescent="0.25">
      <c r="A796" s="1">
        <v>200794</v>
      </c>
      <c r="B796" s="2">
        <v>45765</v>
      </c>
      <c r="C796" s="1">
        <v>10</v>
      </c>
      <c r="D796" s="1" t="s">
        <v>11</v>
      </c>
      <c r="E796" s="1">
        <v>596</v>
      </c>
      <c r="F796" t="str">
        <f>VLOOKUP(Tabla1[[#This Row],[IDProducto]],producto!$A$1:$C$33,2,FALSE)</f>
        <v>Producto_10</v>
      </c>
      <c r="G796" t="str">
        <f>VLOOKUP(Tabla1[[#This Row],[IDProducto]],producto!$A$1:$C$33,3,FALSE)</f>
        <v>Ropa</v>
      </c>
      <c r="H796" s="6" t="str">
        <f>VLOOKUP(Tabla1[[#This Row],[Estado]],Tabla3[#All],2,0)</f>
        <v>Occidente</v>
      </c>
    </row>
    <row r="797" spans="1:8" ht="15.75" customHeight="1" x14ac:dyDescent="0.25">
      <c r="A797" s="1">
        <v>200795</v>
      </c>
      <c r="B797" s="2">
        <v>45766</v>
      </c>
      <c r="C797" s="1">
        <v>1</v>
      </c>
      <c r="D797" s="1" t="s">
        <v>12</v>
      </c>
      <c r="E797" s="1">
        <v>1640</v>
      </c>
      <c r="F797" t="str">
        <f>VLOOKUP(Tabla1[[#This Row],[IDProducto]],producto!$A$1:$C$33,2,FALSE)</f>
        <v>Producto_1</v>
      </c>
      <c r="G797" t="str">
        <f>VLOOKUP(Tabla1[[#This Row],[IDProducto]],producto!$A$1:$C$33,3,FALSE)</f>
        <v>Hogar</v>
      </c>
      <c r="H797" s="6" t="str">
        <f>VLOOKUP(Tabla1[[#This Row],[Estado]],Tabla3[#All],2,0)</f>
        <v>Centro</v>
      </c>
    </row>
    <row r="798" spans="1:8" ht="15.75" customHeight="1" x14ac:dyDescent="0.25">
      <c r="A798" s="1">
        <v>200796</v>
      </c>
      <c r="B798" s="2">
        <v>45708</v>
      </c>
      <c r="C798" s="1">
        <v>2</v>
      </c>
      <c r="D798" s="1" t="s">
        <v>9</v>
      </c>
      <c r="E798" s="1">
        <v>1913</v>
      </c>
      <c r="F798" t="str">
        <f>VLOOKUP(Tabla1[[#This Row],[IDProducto]],producto!$A$1:$C$33,2,FALSE)</f>
        <v>Producto_2</v>
      </c>
      <c r="G798" t="str">
        <f>VLOOKUP(Tabla1[[#This Row],[IDProducto]],producto!$A$1:$C$33,3,FALSE)</f>
        <v>Deportes</v>
      </c>
      <c r="H798" s="6" t="str">
        <f>VLOOKUP(Tabla1[[#This Row],[Estado]],Tabla3[#All],2,0)</f>
        <v>Sur</v>
      </c>
    </row>
    <row r="799" spans="1:8" ht="15.75" customHeight="1" x14ac:dyDescent="0.25">
      <c r="A799" s="1">
        <v>200797</v>
      </c>
      <c r="B799" s="2">
        <v>45731</v>
      </c>
      <c r="C799" s="1">
        <v>7</v>
      </c>
      <c r="D799" s="1" t="s">
        <v>10</v>
      </c>
      <c r="E799" s="1">
        <v>1223</v>
      </c>
      <c r="F799" t="str">
        <f>VLOOKUP(Tabla1[[#This Row],[IDProducto]],producto!$A$1:$C$33,2,FALSE)</f>
        <v>Producto_7</v>
      </c>
      <c r="G799" t="str">
        <f>VLOOKUP(Tabla1[[#This Row],[IDProducto]],producto!$A$1:$C$33,3,FALSE)</f>
        <v>Ropa</v>
      </c>
      <c r="H799" s="6" t="str">
        <f>VLOOKUP(Tabla1[[#This Row],[Estado]],Tabla3[#All],2,0)</f>
        <v>Centro</v>
      </c>
    </row>
    <row r="800" spans="1:8" ht="15.75" customHeight="1" x14ac:dyDescent="0.25">
      <c r="A800" s="1">
        <v>200798</v>
      </c>
      <c r="B800" s="2">
        <v>45816</v>
      </c>
      <c r="C800" s="1">
        <v>15</v>
      </c>
      <c r="D800" s="1" t="s">
        <v>9</v>
      </c>
      <c r="E800" s="1">
        <v>1022</v>
      </c>
      <c r="F800" t="str">
        <f>VLOOKUP(Tabla1[[#This Row],[IDProducto]],producto!$A$1:$C$33,2,FALSE)</f>
        <v>Producto_15</v>
      </c>
      <c r="G800" t="str">
        <f>VLOOKUP(Tabla1[[#This Row],[IDProducto]],producto!$A$1:$C$33,3,FALSE)</f>
        <v>Hogar</v>
      </c>
      <c r="H800" s="6" t="str">
        <f>VLOOKUP(Tabla1[[#This Row],[Estado]],Tabla3[#All],2,0)</f>
        <v>Sur</v>
      </c>
    </row>
    <row r="801" spans="1:8" ht="15.75" customHeight="1" x14ac:dyDescent="0.25">
      <c r="A801" s="1">
        <v>200799</v>
      </c>
      <c r="B801" s="2">
        <v>45709</v>
      </c>
      <c r="C801" s="1">
        <v>26</v>
      </c>
      <c r="D801" s="1" t="s">
        <v>5</v>
      </c>
      <c r="E801" s="1">
        <v>1349</v>
      </c>
      <c r="F801" t="str">
        <f>VLOOKUP(Tabla1[[#This Row],[IDProducto]],producto!$A$1:$C$33,2,FALSE)</f>
        <v>Producto_26</v>
      </c>
      <c r="G801" t="str">
        <f>VLOOKUP(Tabla1[[#This Row],[IDProducto]],producto!$A$1:$C$33,3,FALSE)</f>
        <v>Hogar</v>
      </c>
      <c r="H801" s="6" t="str">
        <f>VLOOKUP(Tabla1[[#This Row],[Estado]],Tabla3[#All],2,0)</f>
        <v>Centro</v>
      </c>
    </row>
    <row r="802" spans="1:8" ht="15.75" customHeight="1" x14ac:dyDescent="0.25">
      <c r="A802" s="1">
        <v>200800</v>
      </c>
      <c r="B802" s="2">
        <v>45716</v>
      </c>
      <c r="C802" s="1">
        <v>24</v>
      </c>
      <c r="D802" s="1" t="s">
        <v>8</v>
      </c>
      <c r="E802" s="1">
        <v>943</v>
      </c>
      <c r="F802" t="str">
        <f>VLOOKUP(Tabla1[[#This Row],[IDProducto]],producto!$A$1:$C$33,2,FALSE)</f>
        <v>Producto_24</v>
      </c>
      <c r="G802" t="str">
        <f>VLOOKUP(Tabla1[[#This Row],[IDProducto]],producto!$A$1:$C$33,3,FALSE)</f>
        <v>Ropa</v>
      </c>
      <c r="H802" s="6" t="str">
        <f>VLOOKUP(Tabla1[[#This Row],[Estado]],Tabla3[#All],2,0)</f>
        <v>Norte</v>
      </c>
    </row>
    <row r="803" spans="1:8" ht="15.75" customHeight="1" x14ac:dyDescent="0.25">
      <c r="A803" s="1">
        <v>200801</v>
      </c>
      <c r="B803" s="2">
        <v>45761</v>
      </c>
      <c r="C803" s="1">
        <v>24</v>
      </c>
      <c r="D803" s="1" t="s">
        <v>7</v>
      </c>
      <c r="E803" s="1">
        <v>1014</v>
      </c>
      <c r="F803" t="str">
        <f>VLOOKUP(Tabla1[[#This Row],[IDProducto]],producto!$A$1:$C$33,2,FALSE)</f>
        <v>Producto_24</v>
      </c>
      <c r="G803" t="str">
        <f>VLOOKUP(Tabla1[[#This Row],[IDProducto]],producto!$A$1:$C$33,3,FALSE)</f>
        <v>Ropa</v>
      </c>
      <c r="H803" s="6" t="str">
        <f>VLOOKUP(Tabla1[[#This Row],[Estado]],Tabla3[#All],2,0)</f>
        <v>Norte</v>
      </c>
    </row>
    <row r="804" spans="1:8" ht="15.75" customHeight="1" x14ac:dyDescent="0.25">
      <c r="A804" s="1">
        <v>200802</v>
      </c>
      <c r="B804" s="2">
        <v>45775</v>
      </c>
      <c r="C804" s="1">
        <v>28</v>
      </c>
      <c r="D804" s="1" t="s">
        <v>5</v>
      </c>
      <c r="E804" s="1">
        <v>936</v>
      </c>
      <c r="F804" t="str">
        <f>VLOOKUP(Tabla1[[#This Row],[IDProducto]],producto!$A$1:$C$33,2,FALSE)</f>
        <v>Producto_28</v>
      </c>
      <c r="G804" t="str">
        <f>VLOOKUP(Tabla1[[#This Row],[IDProducto]],producto!$A$1:$C$33,3,FALSE)</f>
        <v>Hogar</v>
      </c>
      <c r="H804" s="6" t="str">
        <f>VLOOKUP(Tabla1[[#This Row],[Estado]],Tabla3[#All],2,0)</f>
        <v>Centro</v>
      </c>
    </row>
    <row r="805" spans="1:8" ht="15.75" customHeight="1" x14ac:dyDescent="0.25">
      <c r="A805" s="1">
        <v>200803</v>
      </c>
      <c r="B805" s="2">
        <v>45817</v>
      </c>
      <c r="C805" s="1">
        <v>26</v>
      </c>
      <c r="D805" s="1" t="s">
        <v>11</v>
      </c>
      <c r="E805" s="1">
        <v>155</v>
      </c>
      <c r="F805" t="str">
        <f>VLOOKUP(Tabla1[[#This Row],[IDProducto]],producto!$A$1:$C$33,2,FALSE)</f>
        <v>Producto_26</v>
      </c>
      <c r="G805" t="str">
        <f>VLOOKUP(Tabla1[[#This Row],[IDProducto]],producto!$A$1:$C$33,3,FALSE)</f>
        <v>Hogar</v>
      </c>
      <c r="H805" s="6" t="str">
        <f>VLOOKUP(Tabla1[[#This Row],[Estado]],Tabla3[#All],2,0)</f>
        <v>Occidente</v>
      </c>
    </row>
    <row r="806" spans="1:8" ht="15.75" customHeight="1" x14ac:dyDescent="0.25">
      <c r="A806" s="1">
        <v>200804</v>
      </c>
      <c r="B806" s="2">
        <v>45658</v>
      </c>
      <c r="C806" s="1">
        <v>25</v>
      </c>
      <c r="D806" s="1" t="s">
        <v>10</v>
      </c>
      <c r="E806" s="1">
        <v>667</v>
      </c>
      <c r="F806" t="str">
        <f>VLOOKUP(Tabla1[[#This Row],[IDProducto]],producto!$A$1:$C$33,2,FALSE)</f>
        <v>Producto_25</v>
      </c>
      <c r="G806" t="str">
        <f>VLOOKUP(Tabla1[[#This Row],[IDProducto]],producto!$A$1:$C$33,3,FALSE)</f>
        <v>Electrónica</v>
      </c>
      <c r="H806" s="6" t="str">
        <f>VLOOKUP(Tabla1[[#This Row],[Estado]],Tabla3[#All],2,0)</f>
        <v>Centro</v>
      </c>
    </row>
    <row r="807" spans="1:8" ht="15.75" customHeight="1" x14ac:dyDescent="0.25">
      <c r="A807" s="1">
        <v>200805</v>
      </c>
      <c r="B807" s="2">
        <v>45691</v>
      </c>
      <c r="C807" s="1">
        <v>30</v>
      </c>
      <c r="D807" s="1" t="s">
        <v>5</v>
      </c>
      <c r="E807" s="1">
        <v>1522</v>
      </c>
      <c r="F807" t="str">
        <f>VLOOKUP(Tabla1[[#This Row],[IDProducto]],producto!$A$1:$C$33,2,FALSE)</f>
        <v>Producto_30</v>
      </c>
      <c r="G807" t="str">
        <f>VLOOKUP(Tabla1[[#This Row],[IDProducto]],producto!$A$1:$C$33,3,FALSE)</f>
        <v>Hogar</v>
      </c>
      <c r="H807" s="6" t="str">
        <f>VLOOKUP(Tabla1[[#This Row],[Estado]],Tabla3[#All],2,0)</f>
        <v>Centro</v>
      </c>
    </row>
    <row r="808" spans="1:8" ht="15.75" customHeight="1" x14ac:dyDescent="0.25">
      <c r="A808" s="1">
        <v>200806</v>
      </c>
      <c r="B808" s="2">
        <v>45739</v>
      </c>
      <c r="C808" s="1">
        <v>30</v>
      </c>
      <c r="D808" s="1" t="s">
        <v>12</v>
      </c>
      <c r="E808" s="1">
        <v>634</v>
      </c>
      <c r="F808" t="str">
        <f>VLOOKUP(Tabla1[[#This Row],[IDProducto]],producto!$A$1:$C$33,2,FALSE)</f>
        <v>Producto_30</v>
      </c>
      <c r="G808" t="str">
        <f>VLOOKUP(Tabla1[[#This Row],[IDProducto]],producto!$A$1:$C$33,3,FALSE)</f>
        <v>Hogar</v>
      </c>
      <c r="H808" s="6" t="str">
        <f>VLOOKUP(Tabla1[[#This Row],[Estado]],Tabla3[#All],2,0)</f>
        <v>Centro</v>
      </c>
    </row>
    <row r="809" spans="1:8" ht="15.75" customHeight="1" x14ac:dyDescent="0.25">
      <c r="A809" s="1">
        <v>200807</v>
      </c>
      <c r="B809" s="2">
        <v>45793</v>
      </c>
      <c r="C809" s="1">
        <v>14</v>
      </c>
      <c r="D809" s="1" t="s">
        <v>11</v>
      </c>
      <c r="E809" s="1">
        <v>1719</v>
      </c>
      <c r="F809" t="str">
        <f>VLOOKUP(Tabla1[[#This Row],[IDProducto]],producto!$A$1:$C$33,2,FALSE)</f>
        <v>Producto_14</v>
      </c>
      <c r="G809" t="str">
        <f>VLOOKUP(Tabla1[[#This Row],[IDProducto]],producto!$A$1:$C$33,3,FALSE)</f>
        <v>Hogar</v>
      </c>
      <c r="H809" s="6" t="str">
        <f>VLOOKUP(Tabla1[[#This Row],[Estado]],Tabla3[#All],2,0)</f>
        <v>Occidente</v>
      </c>
    </row>
    <row r="810" spans="1:8" ht="15.75" customHeight="1" x14ac:dyDescent="0.25">
      <c r="A810" s="1">
        <v>200808</v>
      </c>
      <c r="B810" s="2">
        <v>45835</v>
      </c>
      <c r="C810" s="1">
        <v>20</v>
      </c>
      <c r="D810" s="1" t="s">
        <v>11</v>
      </c>
      <c r="E810" s="1">
        <v>316</v>
      </c>
      <c r="F810" t="str">
        <f>VLOOKUP(Tabla1[[#This Row],[IDProducto]],producto!$A$1:$C$33,2,FALSE)</f>
        <v>Producto_20</v>
      </c>
      <c r="G810" t="str">
        <f>VLOOKUP(Tabla1[[#This Row],[IDProducto]],producto!$A$1:$C$33,3,FALSE)</f>
        <v>Deportes</v>
      </c>
      <c r="H810" s="6" t="str">
        <f>VLOOKUP(Tabla1[[#This Row],[Estado]],Tabla3[#All],2,0)</f>
        <v>Occidente</v>
      </c>
    </row>
    <row r="811" spans="1:8" ht="15.75" customHeight="1" x14ac:dyDescent="0.25">
      <c r="A811" s="1">
        <v>200809</v>
      </c>
      <c r="B811" s="2">
        <v>45760</v>
      </c>
      <c r="C811" s="1">
        <v>24</v>
      </c>
      <c r="D811" s="1" t="s">
        <v>5</v>
      </c>
      <c r="E811" s="1">
        <v>1402</v>
      </c>
      <c r="F811" t="str">
        <f>VLOOKUP(Tabla1[[#This Row],[IDProducto]],producto!$A$1:$C$33,2,FALSE)</f>
        <v>Producto_24</v>
      </c>
      <c r="G811" t="str">
        <f>VLOOKUP(Tabla1[[#This Row],[IDProducto]],producto!$A$1:$C$33,3,FALSE)</f>
        <v>Ropa</v>
      </c>
      <c r="H811" s="6" t="str">
        <f>VLOOKUP(Tabla1[[#This Row],[Estado]],Tabla3[#All],2,0)</f>
        <v>Centro</v>
      </c>
    </row>
    <row r="812" spans="1:8" ht="15.75" customHeight="1" x14ac:dyDescent="0.25">
      <c r="A812" s="1">
        <v>200810</v>
      </c>
      <c r="B812" s="2">
        <v>45683</v>
      </c>
      <c r="C812" s="1">
        <v>29</v>
      </c>
      <c r="D812" s="1" t="s">
        <v>6</v>
      </c>
      <c r="E812" s="1">
        <v>1657</v>
      </c>
      <c r="F812" t="str">
        <f>VLOOKUP(Tabla1[[#This Row],[IDProducto]],producto!$A$1:$C$33,2,FALSE)</f>
        <v>Producto_29</v>
      </c>
      <c r="G812" t="str">
        <f>VLOOKUP(Tabla1[[#This Row],[IDProducto]],producto!$A$1:$C$33,3,FALSE)</f>
        <v>Electrónica</v>
      </c>
      <c r="H812" s="6" t="str">
        <f>VLOOKUP(Tabla1[[#This Row],[Estado]],Tabla3[#All],2,0)</f>
        <v>Occidente</v>
      </c>
    </row>
    <row r="813" spans="1:8" ht="15.75" customHeight="1" x14ac:dyDescent="0.25">
      <c r="A813" s="1">
        <v>200811</v>
      </c>
      <c r="B813" s="2">
        <v>45696</v>
      </c>
      <c r="C813" s="1">
        <v>6</v>
      </c>
      <c r="D813" s="1" t="s">
        <v>7</v>
      </c>
      <c r="E813" s="1">
        <v>1300</v>
      </c>
      <c r="F813" t="str">
        <f>VLOOKUP(Tabla1[[#This Row],[IDProducto]],producto!$A$1:$C$33,2,FALSE)</f>
        <v>Producto_6</v>
      </c>
      <c r="G813" t="str">
        <f>VLOOKUP(Tabla1[[#This Row],[IDProducto]],producto!$A$1:$C$33,3,FALSE)</f>
        <v>Electrónica</v>
      </c>
      <c r="H813" s="6" t="str">
        <f>VLOOKUP(Tabla1[[#This Row],[Estado]],Tabla3[#All],2,0)</f>
        <v>Norte</v>
      </c>
    </row>
    <row r="814" spans="1:8" ht="15.75" customHeight="1" x14ac:dyDescent="0.25">
      <c r="A814" s="1">
        <v>200812</v>
      </c>
      <c r="B814" s="2">
        <v>45814</v>
      </c>
      <c r="C814" s="1">
        <v>14</v>
      </c>
      <c r="D814" s="1" t="s">
        <v>12</v>
      </c>
      <c r="E814" s="1">
        <v>1203</v>
      </c>
      <c r="F814" t="str">
        <f>VLOOKUP(Tabla1[[#This Row],[IDProducto]],producto!$A$1:$C$33,2,FALSE)</f>
        <v>Producto_14</v>
      </c>
      <c r="G814" t="str">
        <f>VLOOKUP(Tabla1[[#This Row],[IDProducto]],producto!$A$1:$C$33,3,FALSE)</f>
        <v>Hogar</v>
      </c>
      <c r="H814" s="6" t="str">
        <f>VLOOKUP(Tabla1[[#This Row],[Estado]],Tabla3[#All],2,0)</f>
        <v>Centro</v>
      </c>
    </row>
    <row r="815" spans="1:8" ht="15.75" customHeight="1" x14ac:dyDescent="0.25">
      <c r="A815" s="1">
        <v>200813</v>
      </c>
      <c r="B815" s="2">
        <v>45659</v>
      </c>
      <c r="C815" s="1">
        <v>10</v>
      </c>
      <c r="D815" s="1" t="s">
        <v>5</v>
      </c>
      <c r="E815" s="1">
        <v>1650</v>
      </c>
      <c r="F815" t="str">
        <f>VLOOKUP(Tabla1[[#This Row],[IDProducto]],producto!$A$1:$C$33,2,FALSE)</f>
        <v>Producto_10</v>
      </c>
      <c r="G815" t="str">
        <f>VLOOKUP(Tabla1[[#This Row],[IDProducto]],producto!$A$1:$C$33,3,FALSE)</f>
        <v>Ropa</v>
      </c>
      <c r="H815" s="6" t="str">
        <f>VLOOKUP(Tabla1[[#This Row],[Estado]],Tabla3[#All],2,0)</f>
        <v>Centro</v>
      </c>
    </row>
    <row r="816" spans="1:8" ht="15.75" customHeight="1" x14ac:dyDescent="0.25">
      <c r="A816" s="1">
        <v>200814</v>
      </c>
      <c r="B816" s="2">
        <v>45686</v>
      </c>
      <c r="C816" s="1">
        <v>18</v>
      </c>
      <c r="D816" s="1" t="s">
        <v>11</v>
      </c>
      <c r="E816" s="1">
        <v>1690</v>
      </c>
      <c r="F816" t="str">
        <f>VLOOKUP(Tabla1[[#This Row],[IDProducto]],producto!$A$1:$C$33,2,FALSE)</f>
        <v>Producto_18</v>
      </c>
      <c r="G816" t="str">
        <f>VLOOKUP(Tabla1[[#This Row],[IDProducto]],producto!$A$1:$C$33,3,FALSE)</f>
        <v>Ropa</v>
      </c>
      <c r="H816" s="6" t="str">
        <f>VLOOKUP(Tabla1[[#This Row],[Estado]],Tabla3[#All],2,0)</f>
        <v>Occidente</v>
      </c>
    </row>
    <row r="817" spans="1:8" ht="15.75" customHeight="1" x14ac:dyDescent="0.25">
      <c r="A817" s="1">
        <v>200815</v>
      </c>
      <c r="B817" s="2">
        <v>45681</v>
      </c>
      <c r="C817" s="1">
        <v>31</v>
      </c>
      <c r="D817" s="1" t="s">
        <v>6</v>
      </c>
      <c r="E817" s="1">
        <v>1684</v>
      </c>
      <c r="F817" t="str">
        <f>VLOOKUP(Tabla1[[#This Row],[IDProducto]],producto!$A$1:$C$33,2,FALSE)</f>
        <v>Producto_31</v>
      </c>
      <c r="G817" t="str">
        <f>VLOOKUP(Tabla1[[#This Row],[IDProducto]],producto!$A$1:$C$33,3,FALSE)</f>
        <v>Deportes</v>
      </c>
      <c r="H817" s="6" t="str">
        <f>VLOOKUP(Tabla1[[#This Row],[Estado]],Tabla3[#All],2,0)</f>
        <v>Occidente</v>
      </c>
    </row>
    <row r="818" spans="1:8" ht="15.75" customHeight="1" x14ac:dyDescent="0.25">
      <c r="A818" s="1">
        <v>200816</v>
      </c>
      <c r="B818" s="2">
        <v>45690</v>
      </c>
      <c r="C818" s="1">
        <v>8</v>
      </c>
      <c r="D818" s="1" t="s">
        <v>11</v>
      </c>
      <c r="E818" s="1">
        <v>531</v>
      </c>
      <c r="F818" t="str">
        <f>VLOOKUP(Tabla1[[#This Row],[IDProducto]],producto!$A$1:$C$33,2,FALSE)</f>
        <v>Producto_8</v>
      </c>
      <c r="G818" t="str">
        <f>VLOOKUP(Tabla1[[#This Row],[IDProducto]],producto!$A$1:$C$33,3,FALSE)</f>
        <v>Electrónica</v>
      </c>
      <c r="H818" s="6" t="str">
        <f>VLOOKUP(Tabla1[[#This Row],[Estado]],Tabla3[#All],2,0)</f>
        <v>Occidente</v>
      </c>
    </row>
    <row r="819" spans="1:8" ht="15.75" customHeight="1" x14ac:dyDescent="0.25">
      <c r="A819" s="1">
        <v>200817</v>
      </c>
      <c r="B819" s="2">
        <v>45783</v>
      </c>
      <c r="C819" s="1">
        <v>15</v>
      </c>
      <c r="D819" s="1" t="s">
        <v>10</v>
      </c>
      <c r="E819" s="1">
        <v>124</v>
      </c>
      <c r="F819" t="str">
        <f>VLOOKUP(Tabla1[[#This Row],[IDProducto]],producto!$A$1:$C$33,2,FALSE)</f>
        <v>Producto_15</v>
      </c>
      <c r="G819" t="str">
        <f>VLOOKUP(Tabla1[[#This Row],[IDProducto]],producto!$A$1:$C$33,3,FALSE)</f>
        <v>Hogar</v>
      </c>
      <c r="H819" s="6" t="str">
        <f>VLOOKUP(Tabla1[[#This Row],[Estado]],Tabla3[#All],2,0)</f>
        <v>Centro</v>
      </c>
    </row>
    <row r="820" spans="1:8" ht="15.75" customHeight="1" x14ac:dyDescent="0.25">
      <c r="A820" s="1">
        <v>200818</v>
      </c>
      <c r="B820" s="2">
        <v>45772</v>
      </c>
      <c r="C820" s="1">
        <v>17</v>
      </c>
      <c r="D820" s="1" t="s">
        <v>5</v>
      </c>
      <c r="E820" s="1">
        <v>609</v>
      </c>
      <c r="F820" t="str">
        <f>VLOOKUP(Tabla1[[#This Row],[IDProducto]],producto!$A$1:$C$33,2,FALSE)</f>
        <v>Producto_17</v>
      </c>
      <c r="G820" t="str">
        <f>VLOOKUP(Tabla1[[#This Row],[IDProducto]],producto!$A$1:$C$33,3,FALSE)</f>
        <v>Ropa</v>
      </c>
      <c r="H820" s="6" t="str">
        <f>VLOOKUP(Tabla1[[#This Row],[Estado]],Tabla3[#All],2,0)</f>
        <v>Centro</v>
      </c>
    </row>
    <row r="821" spans="1:8" ht="15.75" customHeight="1" x14ac:dyDescent="0.25">
      <c r="A821" s="1">
        <v>200819</v>
      </c>
      <c r="B821" s="2">
        <v>45789</v>
      </c>
      <c r="C821" s="1">
        <v>18</v>
      </c>
      <c r="D821" s="1" t="s">
        <v>10</v>
      </c>
      <c r="E821" s="1">
        <v>141</v>
      </c>
      <c r="F821" t="str">
        <f>VLOOKUP(Tabla1[[#This Row],[IDProducto]],producto!$A$1:$C$33,2,FALSE)</f>
        <v>Producto_18</v>
      </c>
      <c r="G821" t="str">
        <f>VLOOKUP(Tabla1[[#This Row],[IDProducto]],producto!$A$1:$C$33,3,FALSE)</f>
        <v>Ropa</v>
      </c>
      <c r="H821" s="6" t="str">
        <f>VLOOKUP(Tabla1[[#This Row],[Estado]],Tabla3[#All],2,0)</f>
        <v>Centro</v>
      </c>
    </row>
    <row r="822" spans="1:8" ht="15.75" customHeight="1" x14ac:dyDescent="0.25">
      <c r="A822" s="1">
        <v>200820</v>
      </c>
      <c r="B822" s="2">
        <v>45752</v>
      </c>
      <c r="C822" s="1">
        <v>32</v>
      </c>
      <c r="D822" s="1" t="s">
        <v>10</v>
      </c>
      <c r="E822" s="1">
        <v>1622</v>
      </c>
      <c r="F822" t="str">
        <f>VLOOKUP(Tabla1[[#This Row],[IDProducto]],producto!$A$1:$C$33,2,FALSE)</f>
        <v>Producto_32</v>
      </c>
      <c r="G822" t="str">
        <f>VLOOKUP(Tabla1[[#This Row],[IDProducto]],producto!$A$1:$C$33,3,FALSE)</f>
        <v>Hogar</v>
      </c>
      <c r="H822" s="6" t="str">
        <f>VLOOKUP(Tabla1[[#This Row],[Estado]],Tabla3[#All],2,0)</f>
        <v>Centro</v>
      </c>
    </row>
    <row r="823" spans="1:8" ht="15.75" customHeight="1" x14ac:dyDescent="0.25">
      <c r="A823" s="1">
        <v>200821</v>
      </c>
      <c r="B823" s="2">
        <v>45833</v>
      </c>
      <c r="C823" s="1">
        <v>20</v>
      </c>
      <c r="D823" s="1" t="s">
        <v>6</v>
      </c>
      <c r="E823" s="1">
        <v>574</v>
      </c>
      <c r="F823" t="str">
        <f>VLOOKUP(Tabla1[[#This Row],[IDProducto]],producto!$A$1:$C$33,2,FALSE)</f>
        <v>Producto_20</v>
      </c>
      <c r="G823" t="str">
        <f>VLOOKUP(Tabla1[[#This Row],[IDProducto]],producto!$A$1:$C$33,3,FALSE)</f>
        <v>Deportes</v>
      </c>
      <c r="H823" s="6" t="str">
        <f>VLOOKUP(Tabla1[[#This Row],[Estado]],Tabla3[#All],2,0)</f>
        <v>Occidente</v>
      </c>
    </row>
    <row r="824" spans="1:8" ht="15.75" customHeight="1" x14ac:dyDescent="0.25">
      <c r="A824" s="1">
        <v>200822</v>
      </c>
      <c r="B824" s="2">
        <v>45829</v>
      </c>
      <c r="C824" s="1">
        <v>28</v>
      </c>
      <c r="D824" s="1" t="s">
        <v>10</v>
      </c>
      <c r="E824" s="1">
        <v>421</v>
      </c>
      <c r="F824" t="str">
        <f>VLOOKUP(Tabla1[[#This Row],[IDProducto]],producto!$A$1:$C$33,2,FALSE)</f>
        <v>Producto_28</v>
      </c>
      <c r="G824" t="str">
        <f>VLOOKUP(Tabla1[[#This Row],[IDProducto]],producto!$A$1:$C$33,3,FALSE)</f>
        <v>Hogar</v>
      </c>
      <c r="H824" s="6" t="str">
        <f>VLOOKUP(Tabla1[[#This Row],[Estado]],Tabla3[#All],2,0)</f>
        <v>Centro</v>
      </c>
    </row>
    <row r="825" spans="1:8" ht="15.75" customHeight="1" x14ac:dyDescent="0.25">
      <c r="A825" s="1">
        <v>200823</v>
      </c>
      <c r="B825" s="2">
        <v>45703</v>
      </c>
      <c r="C825" s="1">
        <v>32</v>
      </c>
      <c r="D825" s="1" t="s">
        <v>7</v>
      </c>
      <c r="E825" s="1">
        <v>1557</v>
      </c>
      <c r="F825" t="str">
        <f>VLOOKUP(Tabla1[[#This Row],[IDProducto]],producto!$A$1:$C$33,2,FALSE)</f>
        <v>Producto_32</v>
      </c>
      <c r="G825" t="str">
        <f>VLOOKUP(Tabla1[[#This Row],[IDProducto]],producto!$A$1:$C$33,3,FALSE)</f>
        <v>Hogar</v>
      </c>
      <c r="H825" s="6" t="str">
        <f>VLOOKUP(Tabla1[[#This Row],[Estado]],Tabla3[#All],2,0)</f>
        <v>Norte</v>
      </c>
    </row>
    <row r="826" spans="1:8" ht="15.75" customHeight="1" x14ac:dyDescent="0.25">
      <c r="A826" s="1">
        <v>200824</v>
      </c>
      <c r="B826" s="2">
        <v>45693</v>
      </c>
      <c r="C826" s="1">
        <v>9</v>
      </c>
      <c r="D826" s="1" t="s">
        <v>7</v>
      </c>
      <c r="E826" s="1">
        <v>1687</v>
      </c>
      <c r="F826" t="str">
        <f>VLOOKUP(Tabla1[[#This Row],[IDProducto]],producto!$A$1:$C$33,2,FALSE)</f>
        <v>Producto_9</v>
      </c>
      <c r="G826" t="str">
        <f>VLOOKUP(Tabla1[[#This Row],[IDProducto]],producto!$A$1:$C$33,3,FALSE)</f>
        <v>Electrónica</v>
      </c>
      <c r="H826" s="6" t="str">
        <f>VLOOKUP(Tabla1[[#This Row],[Estado]],Tabla3[#All],2,0)</f>
        <v>Norte</v>
      </c>
    </row>
    <row r="827" spans="1:8" ht="15.75" customHeight="1" x14ac:dyDescent="0.25">
      <c r="A827" s="1">
        <v>200825</v>
      </c>
      <c r="B827" s="2">
        <v>45806</v>
      </c>
      <c r="C827" s="1">
        <v>28</v>
      </c>
      <c r="D827" s="1" t="s">
        <v>6</v>
      </c>
      <c r="E827" s="1">
        <v>669</v>
      </c>
      <c r="F827" t="str">
        <f>VLOOKUP(Tabla1[[#This Row],[IDProducto]],producto!$A$1:$C$33,2,FALSE)</f>
        <v>Producto_28</v>
      </c>
      <c r="G827" t="str">
        <f>VLOOKUP(Tabla1[[#This Row],[IDProducto]],producto!$A$1:$C$33,3,FALSE)</f>
        <v>Hogar</v>
      </c>
      <c r="H827" s="6" t="str">
        <f>VLOOKUP(Tabla1[[#This Row],[Estado]],Tabla3[#All],2,0)</f>
        <v>Occidente</v>
      </c>
    </row>
    <row r="828" spans="1:8" ht="15.75" customHeight="1" x14ac:dyDescent="0.25">
      <c r="A828" s="1">
        <v>200826</v>
      </c>
      <c r="B828" s="2">
        <v>45781</v>
      </c>
      <c r="C828" s="1">
        <v>20</v>
      </c>
      <c r="D828" s="1" t="s">
        <v>6</v>
      </c>
      <c r="E828" s="1">
        <v>1495</v>
      </c>
      <c r="F828" t="str">
        <f>VLOOKUP(Tabla1[[#This Row],[IDProducto]],producto!$A$1:$C$33,2,FALSE)</f>
        <v>Producto_20</v>
      </c>
      <c r="G828" t="str">
        <f>VLOOKUP(Tabla1[[#This Row],[IDProducto]],producto!$A$1:$C$33,3,FALSE)</f>
        <v>Deportes</v>
      </c>
      <c r="H828" s="6" t="str">
        <f>VLOOKUP(Tabla1[[#This Row],[Estado]],Tabla3[#All],2,0)</f>
        <v>Occidente</v>
      </c>
    </row>
    <row r="829" spans="1:8" ht="15.75" customHeight="1" x14ac:dyDescent="0.25">
      <c r="A829" s="1">
        <v>200827</v>
      </c>
      <c r="B829" s="2">
        <v>45807</v>
      </c>
      <c r="C829" s="1">
        <v>24</v>
      </c>
      <c r="D829" s="1" t="s">
        <v>12</v>
      </c>
      <c r="E829" s="1">
        <v>1302</v>
      </c>
      <c r="F829" t="str">
        <f>VLOOKUP(Tabla1[[#This Row],[IDProducto]],producto!$A$1:$C$33,2,FALSE)</f>
        <v>Producto_24</v>
      </c>
      <c r="G829" t="str">
        <f>VLOOKUP(Tabla1[[#This Row],[IDProducto]],producto!$A$1:$C$33,3,FALSE)</f>
        <v>Ropa</v>
      </c>
      <c r="H829" s="6" t="str">
        <f>VLOOKUP(Tabla1[[#This Row],[Estado]],Tabla3[#All],2,0)</f>
        <v>Centro</v>
      </c>
    </row>
    <row r="830" spans="1:8" ht="15.75" customHeight="1" x14ac:dyDescent="0.25">
      <c r="A830" s="1">
        <v>200828</v>
      </c>
      <c r="B830" s="2">
        <v>45740</v>
      </c>
      <c r="C830" s="1">
        <v>18</v>
      </c>
      <c r="D830" s="1" t="s">
        <v>11</v>
      </c>
      <c r="E830" s="1">
        <v>966</v>
      </c>
      <c r="F830" t="str">
        <f>VLOOKUP(Tabla1[[#This Row],[IDProducto]],producto!$A$1:$C$33,2,FALSE)</f>
        <v>Producto_18</v>
      </c>
      <c r="G830" t="str">
        <f>VLOOKUP(Tabla1[[#This Row],[IDProducto]],producto!$A$1:$C$33,3,FALSE)</f>
        <v>Ropa</v>
      </c>
      <c r="H830" s="6" t="str">
        <f>VLOOKUP(Tabla1[[#This Row],[Estado]],Tabla3[#All],2,0)</f>
        <v>Occidente</v>
      </c>
    </row>
    <row r="831" spans="1:8" ht="15.75" customHeight="1" x14ac:dyDescent="0.25">
      <c r="A831" s="1">
        <v>200829</v>
      </c>
      <c r="B831" s="2">
        <v>45703</v>
      </c>
      <c r="C831" s="1">
        <v>19</v>
      </c>
      <c r="D831" s="1" t="s">
        <v>9</v>
      </c>
      <c r="E831" s="1">
        <v>698</v>
      </c>
      <c r="F831" t="str">
        <f>VLOOKUP(Tabla1[[#This Row],[IDProducto]],producto!$A$1:$C$33,2,FALSE)</f>
        <v>Producto_19</v>
      </c>
      <c r="G831" t="str">
        <f>VLOOKUP(Tabla1[[#This Row],[IDProducto]],producto!$A$1:$C$33,3,FALSE)</f>
        <v>Ropa</v>
      </c>
      <c r="H831" s="6" t="str">
        <f>VLOOKUP(Tabla1[[#This Row],[Estado]],Tabla3[#All],2,0)</f>
        <v>Sur</v>
      </c>
    </row>
    <row r="832" spans="1:8" ht="15.75" customHeight="1" x14ac:dyDescent="0.25">
      <c r="A832" s="1">
        <v>200830</v>
      </c>
      <c r="B832" s="2">
        <v>45786</v>
      </c>
      <c r="C832" s="1">
        <v>29</v>
      </c>
      <c r="D832" s="1" t="s">
        <v>9</v>
      </c>
      <c r="E832" s="1">
        <v>408</v>
      </c>
      <c r="F832" t="str">
        <f>VLOOKUP(Tabla1[[#This Row],[IDProducto]],producto!$A$1:$C$33,2,FALSE)</f>
        <v>Producto_29</v>
      </c>
      <c r="G832" t="str">
        <f>VLOOKUP(Tabla1[[#This Row],[IDProducto]],producto!$A$1:$C$33,3,FALSE)</f>
        <v>Electrónica</v>
      </c>
      <c r="H832" s="6" t="str">
        <f>VLOOKUP(Tabla1[[#This Row],[Estado]],Tabla3[#All],2,0)</f>
        <v>Sur</v>
      </c>
    </row>
    <row r="833" spans="1:8" ht="15.75" customHeight="1" x14ac:dyDescent="0.25">
      <c r="A833" s="1">
        <v>200831</v>
      </c>
      <c r="B833" s="2">
        <v>45709</v>
      </c>
      <c r="C833" s="1">
        <v>6</v>
      </c>
      <c r="D833" s="1" t="s">
        <v>7</v>
      </c>
      <c r="E833" s="1">
        <v>1940</v>
      </c>
      <c r="F833" t="str">
        <f>VLOOKUP(Tabla1[[#This Row],[IDProducto]],producto!$A$1:$C$33,2,FALSE)</f>
        <v>Producto_6</v>
      </c>
      <c r="G833" t="str">
        <f>VLOOKUP(Tabla1[[#This Row],[IDProducto]],producto!$A$1:$C$33,3,FALSE)</f>
        <v>Electrónica</v>
      </c>
      <c r="H833" s="6" t="str">
        <f>VLOOKUP(Tabla1[[#This Row],[Estado]],Tabla3[#All],2,0)</f>
        <v>Norte</v>
      </c>
    </row>
    <row r="834" spans="1:8" ht="15.75" customHeight="1" x14ac:dyDescent="0.25">
      <c r="A834" s="1">
        <v>200832</v>
      </c>
      <c r="B834" s="2">
        <v>45778</v>
      </c>
      <c r="C834" s="1">
        <v>28</v>
      </c>
      <c r="D834" s="1" t="s">
        <v>5</v>
      </c>
      <c r="E834" s="1">
        <v>456</v>
      </c>
      <c r="F834" t="str">
        <f>VLOOKUP(Tabla1[[#This Row],[IDProducto]],producto!$A$1:$C$33,2,FALSE)</f>
        <v>Producto_28</v>
      </c>
      <c r="G834" t="str">
        <f>VLOOKUP(Tabla1[[#This Row],[IDProducto]],producto!$A$1:$C$33,3,FALSE)</f>
        <v>Hogar</v>
      </c>
      <c r="H834" s="6" t="str">
        <f>VLOOKUP(Tabla1[[#This Row],[Estado]],Tabla3[#All],2,0)</f>
        <v>Centro</v>
      </c>
    </row>
    <row r="835" spans="1:8" ht="15.75" customHeight="1" x14ac:dyDescent="0.25">
      <c r="A835" s="1">
        <v>200833</v>
      </c>
      <c r="B835" s="2">
        <v>45742</v>
      </c>
      <c r="C835" s="1">
        <v>32</v>
      </c>
      <c r="D835" s="1" t="s">
        <v>9</v>
      </c>
      <c r="E835" s="1">
        <v>569</v>
      </c>
      <c r="F835" t="str">
        <f>VLOOKUP(Tabla1[[#This Row],[IDProducto]],producto!$A$1:$C$33,2,FALSE)</f>
        <v>Producto_32</v>
      </c>
      <c r="G835" t="str">
        <f>VLOOKUP(Tabla1[[#This Row],[IDProducto]],producto!$A$1:$C$33,3,FALSE)</f>
        <v>Hogar</v>
      </c>
      <c r="H835" s="6" t="str">
        <f>VLOOKUP(Tabla1[[#This Row],[Estado]],Tabla3[#All],2,0)</f>
        <v>Sur</v>
      </c>
    </row>
    <row r="836" spans="1:8" ht="15.75" customHeight="1" x14ac:dyDescent="0.25">
      <c r="A836" s="1">
        <v>200834</v>
      </c>
      <c r="B836" s="2">
        <v>45679</v>
      </c>
      <c r="C836" s="1">
        <v>27</v>
      </c>
      <c r="D836" s="1" t="s">
        <v>6</v>
      </c>
      <c r="E836" s="1">
        <v>1706</v>
      </c>
      <c r="F836" t="str">
        <f>VLOOKUP(Tabla1[[#This Row],[IDProducto]],producto!$A$1:$C$33,2,FALSE)</f>
        <v>Producto_27</v>
      </c>
      <c r="G836" t="str">
        <f>VLOOKUP(Tabla1[[#This Row],[IDProducto]],producto!$A$1:$C$33,3,FALSE)</f>
        <v>Electrónica</v>
      </c>
      <c r="H836" s="6" t="str">
        <f>VLOOKUP(Tabla1[[#This Row],[Estado]],Tabla3[#All],2,0)</f>
        <v>Occidente</v>
      </c>
    </row>
    <row r="837" spans="1:8" ht="15.75" customHeight="1" x14ac:dyDescent="0.25">
      <c r="A837" s="1">
        <v>200835</v>
      </c>
      <c r="B837" s="2">
        <v>45707</v>
      </c>
      <c r="C837" s="1">
        <v>24</v>
      </c>
      <c r="D837" s="1" t="s">
        <v>10</v>
      </c>
      <c r="E837" s="1">
        <v>1598</v>
      </c>
      <c r="F837" t="str">
        <f>VLOOKUP(Tabla1[[#This Row],[IDProducto]],producto!$A$1:$C$33,2,FALSE)</f>
        <v>Producto_24</v>
      </c>
      <c r="G837" t="str">
        <f>VLOOKUP(Tabla1[[#This Row],[IDProducto]],producto!$A$1:$C$33,3,FALSE)</f>
        <v>Ropa</v>
      </c>
      <c r="H837" s="6" t="str">
        <f>VLOOKUP(Tabla1[[#This Row],[Estado]],Tabla3[#All],2,0)</f>
        <v>Centro</v>
      </c>
    </row>
    <row r="838" spans="1:8" ht="15.75" customHeight="1" x14ac:dyDescent="0.25">
      <c r="A838" s="1">
        <v>200836</v>
      </c>
      <c r="B838" s="2">
        <v>45686</v>
      </c>
      <c r="C838" s="1">
        <v>9</v>
      </c>
      <c r="D838" s="1" t="s">
        <v>9</v>
      </c>
      <c r="E838" s="1">
        <v>1125</v>
      </c>
      <c r="F838" t="str">
        <f>VLOOKUP(Tabla1[[#This Row],[IDProducto]],producto!$A$1:$C$33,2,FALSE)</f>
        <v>Producto_9</v>
      </c>
      <c r="G838" t="str">
        <f>VLOOKUP(Tabla1[[#This Row],[IDProducto]],producto!$A$1:$C$33,3,FALSE)</f>
        <v>Electrónica</v>
      </c>
      <c r="H838" s="6" t="str">
        <f>VLOOKUP(Tabla1[[#This Row],[Estado]],Tabla3[#All],2,0)</f>
        <v>Sur</v>
      </c>
    </row>
    <row r="839" spans="1:8" ht="15.75" customHeight="1" x14ac:dyDescent="0.25">
      <c r="A839" s="1">
        <v>200837</v>
      </c>
      <c r="B839" s="2">
        <v>45803</v>
      </c>
      <c r="C839" s="1">
        <v>12</v>
      </c>
      <c r="D839" s="1" t="s">
        <v>6</v>
      </c>
      <c r="E839" s="1">
        <v>528</v>
      </c>
      <c r="F839" t="str">
        <f>VLOOKUP(Tabla1[[#This Row],[IDProducto]],producto!$A$1:$C$33,2,FALSE)</f>
        <v>Producto_12</v>
      </c>
      <c r="G839" t="str">
        <f>VLOOKUP(Tabla1[[#This Row],[IDProducto]],producto!$A$1:$C$33,3,FALSE)</f>
        <v>Hogar</v>
      </c>
      <c r="H839" s="6" t="str">
        <f>VLOOKUP(Tabla1[[#This Row],[Estado]],Tabla3[#All],2,0)</f>
        <v>Occidente</v>
      </c>
    </row>
    <row r="840" spans="1:8" ht="15.75" customHeight="1" x14ac:dyDescent="0.25">
      <c r="A840" s="1">
        <v>200838</v>
      </c>
      <c r="B840" s="2">
        <v>45691</v>
      </c>
      <c r="C840" s="1">
        <v>30</v>
      </c>
      <c r="D840" s="1" t="s">
        <v>7</v>
      </c>
      <c r="E840" s="1">
        <v>185</v>
      </c>
      <c r="F840" t="str">
        <f>VLOOKUP(Tabla1[[#This Row],[IDProducto]],producto!$A$1:$C$33,2,FALSE)</f>
        <v>Producto_30</v>
      </c>
      <c r="G840" t="str">
        <f>VLOOKUP(Tabla1[[#This Row],[IDProducto]],producto!$A$1:$C$33,3,FALSE)</f>
        <v>Hogar</v>
      </c>
      <c r="H840" s="6" t="str">
        <f>VLOOKUP(Tabla1[[#This Row],[Estado]],Tabla3[#All],2,0)</f>
        <v>Norte</v>
      </c>
    </row>
    <row r="841" spans="1:8" ht="15.75" customHeight="1" x14ac:dyDescent="0.25">
      <c r="A841" s="1">
        <v>200839</v>
      </c>
      <c r="B841" s="2">
        <v>45706</v>
      </c>
      <c r="C841" s="1">
        <v>4</v>
      </c>
      <c r="D841" s="1" t="s">
        <v>9</v>
      </c>
      <c r="E841" s="1">
        <v>1602</v>
      </c>
      <c r="F841" t="str">
        <f>VLOOKUP(Tabla1[[#This Row],[IDProducto]],producto!$A$1:$C$33,2,FALSE)</f>
        <v>Producto_4</v>
      </c>
      <c r="G841" t="str">
        <f>VLOOKUP(Tabla1[[#This Row],[IDProducto]],producto!$A$1:$C$33,3,FALSE)</f>
        <v>Deportes</v>
      </c>
      <c r="H841" s="6" t="str">
        <f>VLOOKUP(Tabla1[[#This Row],[Estado]],Tabla3[#All],2,0)</f>
        <v>Sur</v>
      </c>
    </row>
    <row r="842" spans="1:8" ht="15.75" customHeight="1" x14ac:dyDescent="0.25">
      <c r="A842" s="1">
        <v>200840</v>
      </c>
      <c r="B842" s="2">
        <v>45682</v>
      </c>
      <c r="C842" s="1">
        <v>28</v>
      </c>
      <c r="D842" s="1" t="s">
        <v>5</v>
      </c>
      <c r="E842" s="1">
        <v>1697</v>
      </c>
      <c r="F842" t="str">
        <f>VLOOKUP(Tabla1[[#This Row],[IDProducto]],producto!$A$1:$C$33,2,FALSE)</f>
        <v>Producto_28</v>
      </c>
      <c r="G842" t="str">
        <f>VLOOKUP(Tabla1[[#This Row],[IDProducto]],producto!$A$1:$C$33,3,FALSE)</f>
        <v>Hogar</v>
      </c>
      <c r="H842" s="6" t="str">
        <f>VLOOKUP(Tabla1[[#This Row],[Estado]],Tabla3[#All],2,0)</f>
        <v>Centro</v>
      </c>
    </row>
    <row r="843" spans="1:8" ht="15.75" customHeight="1" x14ac:dyDescent="0.25">
      <c r="A843" s="1">
        <v>200841</v>
      </c>
      <c r="B843" s="2">
        <v>45661</v>
      </c>
      <c r="C843" s="1">
        <v>32</v>
      </c>
      <c r="D843" s="1" t="s">
        <v>8</v>
      </c>
      <c r="E843" s="1">
        <v>172</v>
      </c>
      <c r="F843" t="str">
        <f>VLOOKUP(Tabla1[[#This Row],[IDProducto]],producto!$A$1:$C$33,2,FALSE)</f>
        <v>Producto_32</v>
      </c>
      <c r="G843" t="str">
        <f>VLOOKUP(Tabla1[[#This Row],[IDProducto]],producto!$A$1:$C$33,3,FALSE)</f>
        <v>Hogar</v>
      </c>
      <c r="H843" s="6" t="str">
        <f>VLOOKUP(Tabla1[[#This Row],[Estado]],Tabla3[#All],2,0)</f>
        <v>Norte</v>
      </c>
    </row>
    <row r="844" spans="1:8" ht="15.75" customHeight="1" x14ac:dyDescent="0.25">
      <c r="A844" s="1">
        <v>200842</v>
      </c>
      <c r="B844" s="2">
        <v>45740</v>
      </c>
      <c r="C844" s="1">
        <v>20</v>
      </c>
      <c r="D844" s="1" t="s">
        <v>5</v>
      </c>
      <c r="E844" s="1">
        <v>1845</v>
      </c>
      <c r="F844" t="str">
        <f>VLOOKUP(Tabla1[[#This Row],[IDProducto]],producto!$A$1:$C$33,2,FALSE)</f>
        <v>Producto_20</v>
      </c>
      <c r="G844" t="str">
        <f>VLOOKUP(Tabla1[[#This Row],[IDProducto]],producto!$A$1:$C$33,3,FALSE)</f>
        <v>Deportes</v>
      </c>
      <c r="H844" s="6" t="str">
        <f>VLOOKUP(Tabla1[[#This Row],[Estado]],Tabla3[#All],2,0)</f>
        <v>Centro</v>
      </c>
    </row>
    <row r="845" spans="1:8" ht="15.75" customHeight="1" x14ac:dyDescent="0.25">
      <c r="A845" s="1">
        <v>200843</v>
      </c>
      <c r="B845" s="2">
        <v>45832</v>
      </c>
      <c r="C845" s="1">
        <v>13</v>
      </c>
      <c r="D845" s="1" t="s">
        <v>12</v>
      </c>
      <c r="E845" s="1">
        <v>1917</v>
      </c>
      <c r="F845" t="str">
        <f>VLOOKUP(Tabla1[[#This Row],[IDProducto]],producto!$A$1:$C$33,2,FALSE)</f>
        <v>Producto_13</v>
      </c>
      <c r="G845" t="str">
        <f>VLOOKUP(Tabla1[[#This Row],[IDProducto]],producto!$A$1:$C$33,3,FALSE)</f>
        <v>Deportes</v>
      </c>
      <c r="H845" s="6" t="str">
        <f>VLOOKUP(Tabla1[[#This Row],[Estado]],Tabla3[#All],2,0)</f>
        <v>Centro</v>
      </c>
    </row>
    <row r="846" spans="1:8" ht="15.75" customHeight="1" x14ac:dyDescent="0.25">
      <c r="A846" s="1">
        <v>200844</v>
      </c>
      <c r="B846" s="2">
        <v>45800</v>
      </c>
      <c r="C846" s="1">
        <v>11</v>
      </c>
      <c r="D846" s="1" t="s">
        <v>6</v>
      </c>
      <c r="E846" s="1">
        <v>1477</v>
      </c>
      <c r="F846" t="str">
        <f>VLOOKUP(Tabla1[[#This Row],[IDProducto]],producto!$A$1:$C$33,2,FALSE)</f>
        <v>Producto_11</v>
      </c>
      <c r="G846" t="str">
        <f>VLOOKUP(Tabla1[[#This Row],[IDProducto]],producto!$A$1:$C$33,3,FALSE)</f>
        <v>Ropa</v>
      </c>
      <c r="H846" s="6" t="str">
        <f>VLOOKUP(Tabla1[[#This Row],[Estado]],Tabla3[#All],2,0)</f>
        <v>Occidente</v>
      </c>
    </row>
    <row r="847" spans="1:8" ht="15.75" customHeight="1" x14ac:dyDescent="0.25">
      <c r="A847" s="1">
        <v>200845</v>
      </c>
      <c r="B847" s="2">
        <v>45816</v>
      </c>
      <c r="C847" s="1">
        <v>26</v>
      </c>
      <c r="D847" s="1" t="s">
        <v>6</v>
      </c>
      <c r="E847" s="1">
        <v>1819</v>
      </c>
      <c r="F847" t="str">
        <f>VLOOKUP(Tabla1[[#This Row],[IDProducto]],producto!$A$1:$C$33,2,FALSE)</f>
        <v>Producto_26</v>
      </c>
      <c r="G847" t="str">
        <f>VLOOKUP(Tabla1[[#This Row],[IDProducto]],producto!$A$1:$C$33,3,FALSE)</f>
        <v>Hogar</v>
      </c>
      <c r="H847" s="6" t="str">
        <f>VLOOKUP(Tabla1[[#This Row],[Estado]],Tabla3[#All],2,0)</f>
        <v>Occidente</v>
      </c>
    </row>
    <row r="848" spans="1:8" ht="15.75" customHeight="1" x14ac:dyDescent="0.25">
      <c r="A848" s="1">
        <v>200846</v>
      </c>
      <c r="B848" s="2">
        <v>45765</v>
      </c>
      <c r="C848" s="1">
        <v>29</v>
      </c>
      <c r="D848" s="1" t="s">
        <v>8</v>
      </c>
      <c r="E848" s="1">
        <v>1657</v>
      </c>
      <c r="F848" t="str">
        <f>VLOOKUP(Tabla1[[#This Row],[IDProducto]],producto!$A$1:$C$33,2,FALSE)</f>
        <v>Producto_29</v>
      </c>
      <c r="G848" t="str">
        <f>VLOOKUP(Tabla1[[#This Row],[IDProducto]],producto!$A$1:$C$33,3,FALSE)</f>
        <v>Electrónica</v>
      </c>
      <c r="H848" s="6" t="str">
        <f>VLOOKUP(Tabla1[[#This Row],[Estado]],Tabla3[#All],2,0)</f>
        <v>Norte</v>
      </c>
    </row>
    <row r="849" spans="1:8" ht="15.75" customHeight="1" x14ac:dyDescent="0.25">
      <c r="A849" s="1">
        <v>200847</v>
      </c>
      <c r="B849" s="2">
        <v>45692</v>
      </c>
      <c r="C849" s="1">
        <v>5</v>
      </c>
      <c r="D849" s="1" t="s">
        <v>5</v>
      </c>
      <c r="E849" s="1">
        <v>1213</v>
      </c>
      <c r="F849" t="str">
        <f>VLOOKUP(Tabla1[[#This Row],[IDProducto]],producto!$A$1:$C$33,2,FALSE)</f>
        <v>Producto_5</v>
      </c>
      <c r="G849" t="str">
        <f>VLOOKUP(Tabla1[[#This Row],[IDProducto]],producto!$A$1:$C$33,3,FALSE)</f>
        <v>Hogar</v>
      </c>
      <c r="H849" s="6" t="str">
        <f>VLOOKUP(Tabla1[[#This Row],[Estado]],Tabla3[#All],2,0)</f>
        <v>Centro</v>
      </c>
    </row>
    <row r="850" spans="1:8" ht="15.75" customHeight="1" x14ac:dyDescent="0.25">
      <c r="A850" s="1">
        <v>200848</v>
      </c>
      <c r="B850" s="2">
        <v>45659</v>
      </c>
      <c r="C850" s="1">
        <v>11</v>
      </c>
      <c r="D850" s="1" t="s">
        <v>7</v>
      </c>
      <c r="E850" s="1">
        <v>118</v>
      </c>
      <c r="F850" t="str">
        <f>VLOOKUP(Tabla1[[#This Row],[IDProducto]],producto!$A$1:$C$33,2,FALSE)</f>
        <v>Producto_11</v>
      </c>
      <c r="G850" t="str">
        <f>VLOOKUP(Tabla1[[#This Row],[IDProducto]],producto!$A$1:$C$33,3,FALSE)</f>
        <v>Ropa</v>
      </c>
      <c r="H850" s="6" t="str">
        <f>VLOOKUP(Tabla1[[#This Row],[Estado]],Tabla3[#All],2,0)</f>
        <v>Norte</v>
      </c>
    </row>
    <row r="851" spans="1:8" ht="15.75" customHeight="1" x14ac:dyDescent="0.25">
      <c r="A851" s="1">
        <v>200849</v>
      </c>
      <c r="B851" s="2">
        <v>45658</v>
      </c>
      <c r="C851" s="1">
        <v>22</v>
      </c>
      <c r="D851" s="1" t="s">
        <v>7</v>
      </c>
      <c r="E851" s="1">
        <v>655</v>
      </c>
      <c r="F851" t="str">
        <f>VLOOKUP(Tabla1[[#This Row],[IDProducto]],producto!$A$1:$C$33,2,FALSE)</f>
        <v>Producto_22</v>
      </c>
      <c r="G851" t="str">
        <f>VLOOKUP(Tabla1[[#This Row],[IDProducto]],producto!$A$1:$C$33,3,FALSE)</f>
        <v>Hogar</v>
      </c>
      <c r="H851" s="6" t="str">
        <f>VLOOKUP(Tabla1[[#This Row],[Estado]],Tabla3[#All],2,0)</f>
        <v>Norte</v>
      </c>
    </row>
    <row r="852" spans="1:8" ht="15.75" customHeight="1" x14ac:dyDescent="0.25">
      <c r="A852" s="1">
        <v>200850</v>
      </c>
      <c r="B852" s="2">
        <v>45788</v>
      </c>
      <c r="C852" s="1">
        <v>4</v>
      </c>
      <c r="D852" s="1" t="s">
        <v>12</v>
      </c>
      <c r="E852" s="1">
        <v>1218</v>
      </c>
      <c r="F852" t="str">
        <f>VLOOKUP(Tabla1[[#This Row],[IDProducto]],producto!$A$1:$C$33,2,FALSE)</f>
        <v>Producto_4</v>
      </c>
      <c r="G852" t="str">
        <f>VLOOKUP(Tabla1[[#This Row],[IDProducto]],producto!$A$1:$C$33,3,FALSE)</f>
        <v>Deportes</v>
      </c>
      <c r="H852" s="6" t="str">
        <f>VLOOKUP(Tabla1[[#This Row],[Estado]],Tabla3[#All],2,0)</f>
        <v>Centro</v>
      </c>
    </row>
    <row r="853" spans="1:8" ht="15.75" customHeight="1" x14ac:dyDescent="0.25">
      <c r="A853" s="1">
        <v>200851</v>
      </c>
      <c r="B853" s="2">
        <v>45671</v>
      </c>
      <c r="C853" s="1">
        <v>8</v>
      </c>
      <c r="D853" s="1" t="s">
        <v>6</v>
      </c>
      <c r="E853" s="1">
        <v>954</v>
      </c>
      <c r="F853" t="str">
        <f>VLOOKUP(Tabla1[[#This Row],[IDProducto]],producto!$A$1:$C$33,2,FALSE)</f>
        <v>Producto_8</v>
      </c>
      <c r="G853" t="str">
        <f>VLOOKUP(Tabla1[[#This Row],[IDProducto]],producto!$A$1:$C$33,3,FALSE)</f>
        <v>Electrónica</v>
      </c>
      <c r="H853" s="6" t="str">
        <f>VLOOKUP(Tabla1[[#This Row],[Estado]],Tabla3[#All],2,0)</f>
        <v>Occidente</v>
      </c>
    </row>
    <row r="854" spans="1:8" ht="15.75" customHeight="1" x14ac:dyDescent="0.25">
      <c r="A854" s="1">
        <v>200852</v>
      </c>
      <c r="B854" s="2">
        <v>45829</v>
      </c>
      <c r="C854" s="1">
        <v>23</v>
      </c>
      <c r="D854" s="1" t="s">
        <v>11</v>
      </c>
      <c r="E854" s="1">
        <v>709</v>
      </c>
      <c r="F854" t="str">
        <f>VLOOKUP(Tabla1[[#This Row],[IDProducto]],producto!$A$1:$C$33,2,FALSE)</f>
        <v>Producto_23</v>
      </c>
      <c r="G854" t="str">
        <f>VLOOKUP(Tabla1[[#This Row],[IDProducto]],producto!$A$1:$C$33,3,FALSE)</f>
        <v>Deportes</v>
      </c>
      <c r="H854" s="6" t="str">
        <f>VLOOKUP(Tabla1[[#This Row],[Estado]],Tabla3[#All],2,0)</f>
        <v>Occidente</v>
      </c>
    </row>
    <row r="855" spans="1:8" ht="15.75" customHeight="1" x14ac:dyDescent="0.25">
      <c r="A855" s="1">
        <v>200853</v>
      </c>
      <c r="B855" s="2">
        <v>45765</v>
      </c>
      <c r="C855" s="1">
        <v>4</v>
      </c>
      <c r="D855" s="1" t="s">
        <v>11</v>
      </c>
      <c r="E855" s="1">
        <v>1072</v>
      </c>
      <c r="F855" t="str">
        <f>VLOOKUP(Tabla1[[#This Row],[IDProducto]],producto!$A$1:$C$33,2,FALSE)</f>
        <v>Producto_4</v>
      </c>
      <c r="G855" t="str">
        <f>VLOOKUP(Tabla1[[#This Row],[IDProducto]],producto!$A$1:$C$33,3,FALSE)</f>
        <v>Deportes</v>
      </c>
      <c r="H855" s="6" t="str">
        <f>VLOOKUP(Tabla1[[#This Row],[Estado]],Tabla3[#All],2,0)</f>
        <v>Occidente</v>
      </c>
    </row>
    <row r="856" spans="1:8" ht="15.75" customHeight="1" x14ac:dyDescent="0.25">
      <c r="A856" s="1">
        <v>200854</v>
      </c>
      <c r="B856" s="2">
        <v>45673</v>
      </c>
      <c r="C856" s="1">
        <v>29</v>
      </c>
      <c r="D856" s="1" t="s">
        <v>10</v>
      </c>
      <c r="E856" s="1">
        <v>1426</v>
      </c>
      <c r="F856" t="str">
        <f>VLOOKUP(Tabla1[[#This Row],[IDProducto]],producto!$A$1:$C$33,2,FALSE)</f>
        <v>Producto_29</v>
      </c>
      <c r="G856" t="str">
        <f>VLOOKUP(Tabla1[[#This Row],[IDProducto]],producto!$A$1:$C$33,3,FALSE)</f>
        <v>Electrónica</v>
      </c>
      <c r="H856" s="6" t="str">
        <f>VLOOKUP(Tabla1[[#This Row],[Estado]],Tabla3[#All],2,0)</f>
        <v>Centro</v>
      </c>
    </row>
    <row r="857" spans="1:8" ht="15.75" customHeight="1" x14ac:dyDescent="0.25">
      <c r="A857" s="1">
        <v>200855</v>
      </c>
      <c r="B857" s="2">
        <v>45808</v>
      </c>
      <c r="C857" s="1">
        <v>10</v>
      </c>
      <c r="D857" s="1" t="s">
        <v>9</v>
      </c>
      <c r="E857" s="1">
        <v>414</v>
      </c>
      <c r="F857" t="str">
        <f>VLOOKUP(Tabla1[[#This Row],[IDProducto]],producto!$A$1:$C$33,2,FALSE)</f>
        <v>Producto_10</v>
      </c>
      <c r="G857" t="str">
        <f>VLOOKUP(Tabla1[[#This Row],[IDProducto]],producto!$A$1:$C$33,3,FALSE)</f>
        <v>Ropa</v>
      </c>
      <c r="H857" s="6" t="str">
        <f>VLOOKUP(Tabla1[[#This Row],[Estado]],Tabla3[#All],2,0)</f>
        <v>Sur</v>
      </c>
    </row>
    <row r="858" spans="1:8" ht="15.75" customHeight="1" x14ac:dyDescent="0.25">
      <c r="A858" s="1">
        <v>200856</v>
      </c>
      <c r="B858" s="2">
        <v>45814</v>
      </c>
      <c r="C858" s="1">
        <v>12</v>
      </c>
      <c r="D858" s="1" t="s">
        <v>7</v>
      </c>
      <c r="E858" s="1">
        <v>1040</v>
      </c>
      <c r="F858" t="str">
        <f>VLOOKUP(Tabla1[[#This Row],[IDProducto]],producto!$A$1:$C$33,2,FALSE)</f>
        <v>Producto_12</v>
      </c>
      <c r="G858" t="str">
        <f>VLOOKUP(Tabla1[[#This Row],[IDProducto]],producto!$A$1:$C$33,3,FALSE)</f>
        <v>Hogar</v>
      </c>
      <c r="H858" s="6" t="str">
        <f>VLOOKUP(Tabla1[[#This Row],[Estado]],Tabla3[#All],2,0)</f>
        <v>Norte</v>
      </c>
    </row>
    <row r="859" spans="1:8" ht="15.75" customHeight="1" x14ac:dyDescent="0.25">
      <c r="A859" s="1">
        <v>200857</v>
      </c>
      <c r="B859" s="2">
        <v>45663</v>
      </c>
      <c r="C859" s="1">
        <v>1</v>
      </c>
      <c r="D859" s="1" t="s">
        <v>6</v>
      </c>
      <c r="E859" s="1">
        <v>786</v>
      </c>
      <c r="F859" t="str">
        <f>VLOOKUP(Tabla1[[#This Row],[IDProducto]],producto!$A$1:$C$33,2,FALSE)</f>
        <v>Producto_1</v>
      </c>
      <c r="G859" t="str">
        <f>VLOOKUP(Tabla1[[#This Row],[IDProducto]],producto!$A$1:$C$33,3,FALSE)</f>
        <v>Hogar</v>
      </c>
      <c r="H859" s="6" t="str">
        <f>VLOOKUP(Tabla1[[#This Row],[Estado]],Tabla3[#All],2,0)</f>
        <v>Occidente</v>
      </c>
    </row>
    <row r="860" spans="1:8" ht="15.75" customHeight="1" x14ac:dyDescent="0.25">
      <c r="A860" s="1">
        <v>200858</v>
      </c>
      <c r="B860" s="2">
        <v>45800</v>
      </c>
      <c r="C860" s="1">
        <v>28</v>
      </c>
      <c r="D860" s="1" t="s">
        <v>6</v>
      </c>
      <c r="E860" s="1">
        <v>103</v>
      </c>
      <c r="F860" t="str">
        <f>VLOOKUP(Tabla1[[#This Row],[IDProducto]],producto!$A$1:$C$33,2,FALSE)</f>
        <v>Producto_28</v>
      </c>
      <c r="G860" t="str">
        <f>VLOOKUP(Tabla1[[#This Row],[IDProducto]],producto!$A$1:$C$33,3,FALSE)</f>
        <v>Hogar</v>
      </c>
      <c r="H860" s="6" t="str">
        <f>VLOOKUP(Tabla1[[#This Row],[Estado]],Tabla3[#All],2,0)</f>
        <v>Occidente</v>
      </c>
    </row>
    <row r="861" spans="1:8" ht="15.75" customHeight="1" x14ac:dyDescent="0.25">
      <c r="A861" s="1">
        <v>200859</v>
      </c>
      <c r="B861" s="2">
        <v>45778</v>
      </c>
      <c r="C861" s="1">
        <v>6</v>
      </c>
      <c r="D861" s="1" t="s">
        <v>11</v>
      </c>
      <c r="E861" s="1">
        <v>857</v>
      </c>
      <c r="F861" t="str">
        <f>VLOOKUP(Tabla1[[#This Row],[IDProducto]],producto!$A$1:$C$33,2,FALSE)</f>
        <v>Producto_6</v>
      </c>
      <c r="G861" t="str">
        <f>VLOOKUP(Tabla1[[#This Row],[IDProducto]],producto!$A$1:$C$33,3,FALSE)</f>
        <v>Electrónica</v>
      </c>
      <c r="H861" s="6" t="str">
        <f>VLOOKUP(Tabla1[[#This Row],[Estado]],Tabla3[#All],2,0)</f>
        <v>Occidente</v>
      </c>
    </row>
    <row r="862" spans="1:8" ht="15.75" customHeight="1" x14ac:dyDescent="0.25">
      <c r="A862" s="1">
        <v>200860</v>
      </c>
      <c r="B862" s="2">
        <v>45706</v>
      </c>
      <c r="C862" s="1">
        <v>13</v>
      </c>
      <c r="D862" s="1" t="s">
        <v>7</v>
      </c>
      <c r="E862" s="1">
        <v>118</v>
      </c>
      <c r="F862" t="str">
        <f>VLOOKUP(Tabla1[[#This Row],[IDProducto]],producto!$A$1:$C$33,2,FALSE)</f>
        <v>Producto_13</v>
      </c>
      <c r="G862" t="str">
        <f>VLOOKUP(Tabla1[[#This Row],[IDProducto]],producto!$A$1:$C$33,3,FALSE)</f>
        <v>Deportes</v>
      </c>
      <c r="H862" s="6" t="str">
        <f>VLOOKUP(Tabla1[[#This Row],[Estado]],Tabla3[#All],2,0)</f>
        <v>Norte</v>
      </c>
    </row>
    <row r="863" spans="1:8" ht="15.75" customHeight="1" x14ac:dyDescent="0.25">
      <c r="A863" s="1">
        <v>200861</v>
      </c>
      <c r="B863" s="2">
        <v>45813</v>
      </c>
      <c r="C863" s="1">
        <v>20</v>
      </c>
      <c r="D863" s="1" t="s">
        <v>7</v>
      </c>
      <c r="E863" s="1">
        <v>723</v>
      </c>
      <c r="F863" t="str">
        <f>VLOOKUP(Tabla1[[#This Row],[IDProducto]],producto!$A$1:$C$33,2,FALSE)</f>
        <v>Producto_20</v>
      </c>
      <c r="G863" t="str">
        <f>VLOOKUP(Tabla1[[#This Row],[IDProducto]],producto!$A$1:$C$33,3,FALSE)</f>
        <v>Deportes</v>
      </c>
      <c r="H863" s="6" t="str">
        <f>VLOOKUP(Tabla1[[#This Row],[Estado]],Tabla3[#All],2,0)</f>
        <v>Norte</v>
      </c>
    </row>
    <row r="864" spans="1:8" ht="15.75" customHeight="1" x14ac:dyDescent="0.25">
      <c r="A864" s="1">
        <v>200862</v>
      </c>
      <c r="B864" s="2">
        <v>45728</v>
      </c>
      <c r="C864" s="1">
        <v>27</v>
      </c>
      <c r="D864" s="1" t="s">
        <v>12</v>
      </c>
      <c r="E864" s="1">
        <v>296</v>
      </c>
      <c r="F864" t="str">
        <f>VLOOKUP(Tabla1[[#This Row],[IDProducto]],producto!$A$1:$C$33,2,FALSE)</f>
        <v>Producto_27</v>
      </c>
      <c r="G864" t="str">
        <f>VLOOKUP(Tabla1[[#This Row],[IDProducto]],producto!$A$1:$C$33,3,FALSE)</f>
        <v>Electrónica</v>
      </c>
      <c r="H864" s="6" t="str">
        <f>VLOOKUP(Tabla1[[#This Row],[Estado]],Tabla3[#All],2,0)</f>
        <v>Centro</v>
      </c>
    </row>
    <row r="865" spans="1:8" ht="15.75" customHeight="1" x14ac:dyDescent="0.25">
      <c r="A865" s="1">
        <v>200863</v>
      </c>
      <c r="B865" s="2">
        <v>45823</v>
      </c>
      <c r="C865" s="1">
        <v>18</v>
      </c>
      <c r="D865" s="1" t="s">
        <v>6</v>
      </c>
      <c r="E865" s="1">
        <v>156</v>
      </c>
      <c r="F865" t="str">
        <f>VLOOKUP(Tabla1[[#This Row],[IDProducto]],producto!$A$1:$C$33,2,FALSE)</f>
        <v>Producto_18</v>
      </c>
      <c r="G865" t="str">
        <f>VLOOKUP(Tabla1[[#This Row],[IDProducto]],producto!$A$1:$C$33,3,FALSE)</f>
        <v>Ropa</v>
      </c>
      <c r="H865" s="6" t="str">
        <f>VLOOKUP(Tabla1[[#This Row],[Estado]],Tabla3[#All],2,0)</f>
        <v>Occidente</v>
      </c>
    </row>
    <row r="866" spans="1:8" ht="15.75" customHeight="1" x14ac:dyDescent="0.25">
      <c r="A866" s="1">
        <v>200864</v>
      </c>
      <c r="B866" s="2">
        <v>45803</v>
      </c>
      <c r="C866" s="1">
        <v>21</v>
      </c>
      <c r="D866" s="1" t="s">
        <v>8</v>
      </c>
      <c r="E866" s="1">
        <v>1188</v>
      </c>
      <c r="F866" t="str">
        <f>VLOOKUP(Tabla1[[#This Row],[IDProducto]],producto!$A$1:$C$33,2,FALSE)</f>
        <v>Producto_21</v>
      </c>
      <c r="G866" t="str">
        <f>VLOOKUP(Tabla1[[#This Row],[IDProducto]],producto!$A$1:$C$33,3,FALSE)</f>
        <v>Electrónica</v>
      </c>
      <c r="H866" s="6" t="str">
        <f>VLOOKUP(Tabla1[[#This Row],[Estado]],Tabla3[#All],2,0)</f>
        <v>Norte</v>
      </c>
    </row>
    <row r="867" spans="1:8" ht="15.75" customHeight="1" x14ac:dyDescent="0.25">
      <c r="A867" s="1">
        <v>200865</v>
      </c>
      <c r="B867" s="2">
        <v>45802</v>
      </c>
      <c r="C867" s="1">
        <v>22</v>
      </c>
      <c r="D867" s="1" t="s">
        <v>8</v>
      </c>
      <c r="E867" s="1">
        <v>1819</v>
      </c>
      <c r="F867" t="str">
        <f>VLOOKUP(Tabla1[[#This Row],[IDProducto]],producto!$A$1:$C$33,2,FALSE)</f>
        <v>Producto_22</v>
      </c>
      <c r="G867" t="str">
        <f>VLOOKUP(Tabla1[[#This Row],[IDProducto]],producto!$A$1:$C$33,3,FALSE)</f>
        <v>Hogar</v>
      </c>
      <c r="H867" s="6" t="str">
        <f>VLOOKUP(Tabla1[[#This Row],[Estado]],Tabla3[#All],2,0)</f>
        <v>Norte</v>
      </c>
    </row>
    <row r="868" spans="1:8" ht="15.75" customHeight="1" x14ac:dyDescent="0.25">
      <c r="A868" s="1">
        <v>200866</v>
      </c>
      <c r="B868" s="2">
        <v>45720</v>
      </c>
      <c r="C868" s="1">
        <v>25</v>
      </c>
      <c r="D868" s="1" t="s">
        <v>11</v>
      </c>
      <c r="E868" s="1">
        <v>132</v>
      </c>
      <c r="F868" t="str">
        <f>VLOOKUP(Tabla1[[#This Row],[IDProducto]],producto!$A$1:$C$33,2,FALSE)</f>
        <v>Producto_25</v>
      </c>
      <c r="G868" t="str">
        <f>VLOOKUP(Tabla1[[#This Row],[IDProducto]],producto!$A$1:$C$33,3,FALSE)</f>
        <v>Electrónica</v>
      </c>
      <c r="H868" s="6" t="str">
        <f>VLOOKUP(Tabla1[[#This Row],[Estado]],Tabla3[#All],2,0)</f>
        <v>Occidente</v>
      </c>
    </row>
    <row r="869" spans="1:8" ht="15.75" customHeight="1" x14ac:dyDescent="0.25">
      <c r="A869" s="1">
        <v>200867</v>
      </c>
      <c r="B869" s="2">
        <v>45712</v>
      </c>
      <c r="C869" s="1">
        <v>17</v>
      </c>
      <c r="D869" s="1" t="s">
        <v>7</v>
      </c>
      <c r="E869" s="1">
        <v>360</v>
      </c>
      <c r="F869" t="str">
        <f>VLOOKUP(Tabla1[[#This Row],[IDProducto]],producto!$A$1:$C$33,2,FALSE)</f>
        <v>Producto_17</v>
      </c>
      <c r="G869" t="str">
        <f>VLOOKUP(Tabla1[[#This Row],[IDProducto]],producto!$A$1:$C$33,3,FALSE)</f>
        <v>Ropa</v>
      </c>
      <c r="H869" s="6" t="str">
        <f>VLOOKUP(Tabla1[[#This Row],[Estado]],Tabla3[#All],2,0)</f>
        <v>Norte</v>
      </c>
    </row>
    <row r="870" spans="1:8" ht="15.75" customHeight="1" x14ac:dyDescent="0.25">
      <c r="A870" s="1">
        <v>200868</v>
      </c>
      <c r="B870" s="2">
        <v>45697</v>
      </c>
      <c r="C870" s="1">
        <v>3</v>
      </c>
      <c r="D870" s="1" t="s">
        <v>5</v>
      </c>
      <c r="E870" s="1">
        <v>441</v>
      </c>
      <c r="F870" t="str">
        <f>VLOOKUP(Tabla1[[#This Row],[IDProducto]],producto!$A$1:$C$33,2,FALSE)</f>
        <v>Producto_3</v>
      </c>
      <c r="G870" t="str">
        <f>VLOOKUP(Tabla1[[#This Row],[IDProducto]],producto!$A$1:$C$33,3,FALSE)</f>
        <v>Deportes</v>
      </c>
      <c r="H870" s="6" t="str">
        <f>VLOOKUP(Tabla1[[#This Row],[Estado]],Tabla3[#All],2,0)</f>
        <v>Centro</v>
      </c>
    </row>
    <row r="871" spans="1:8" ht="15.75" customHeight="1" x14ac:dyDescent="0.25">
      <c r="A871" s="1">
        <v>200869</v>
      </c>
      <c r="B871" s="2">
        <v>45775</v>
      </c>
      <c r="C871" s="1">
        <v>15</v>
      </c>
      <c r="D871" s="1" t="s">
        <v>9</v>
      </c>
      <c r="E871" s="1">
        <v>1570</v>
      </c>
      <c r="F871" t="str">
        <f>VLOOKUP(Tabla1[[#This Row],[IDProducto]],producto!$A$1:$C$33,2,FALSE)</f>
        <v>Producto_15</v>
      </c>
      <c r="G871" t="str">
        <f>VLOOKUP(Tabla1[[#This Row],[IDProducto]],producto!$A$1:$C$33,3,FALSE)</f>
        <v>Hogar</v>
      </c>
      <c r="H871" s="6" t="str">
        <f>VLOOKUP(Tabla1[[#This Row],[Estado]],Tabla3[#All],2,0)</f>
        <v>Sur</v>
      </c>
    </row>
    <row r="872" spans="1:8" ht="15.75" customHeight="1" x14ac:dyDescent="0.25">
      <c r="A872" s="1">
        <v>200870</v>
      </c>
      <c r="B872" s="2">
        <v>45689</v>
      </c>
      <c r="C872" s="1">
        <v>19</v>
      </c>
      <c r="D872" s="1" t="s">
        <v>10</v>
      </c>
      <c r="E872" s="1">
        <v>1289</v>
      </c>
      <c r="F872" t="str">
        <f>VLOOKUP(Tabla1[[#This Row],[IDProducto]],producto!$A$1:$C$33,2,FALSE)</f>
        <v>Producto_19</v>
      </c>
      <c r="G872" t="str">
        <f>VLOOKUP(Tabla1[[#This Row],[IDProducto]],producto!$A$1:$C$33,3,FALSE)</f>
        <v>Ropa</v>
      </c>
      <c r="H872" s="6" t="str">
        <f>VLOOKUP(Tabla1[[#This Row],[Estado]],Tabla3[#All],2,0)</f>
        <v>Centro</v>
      </c>
    </row>
    <row r="873" spans="1:8" ht="15.75" customHeight="1" x14ac:dyDescent="0.25">
      <c r="A873" s="1">
        <v>200871</v>
      </c>
      <c r="B873" s="2">
        <v>45814</v>
      </c>
      <c r="C873" s="1">
        <v>29</v>
      </c>
      <c r="D873" s="1" t="s">
        <v>8</v>
      </c>
      <c r="E873" s="1">
        <v>1524</v>
      </c>
      <c r="F873" t="str">
        <f>VLOOKUP(Tabla1[[#This Row],[IDProducto]],producto!$A$1:$C$33,2,FALSE)</f>
        <v>Producto_29</v>
      </c>
      <c r="G873" t="str">
        <f>VLOOKUP(Tabla1[[#This Row],[IDProducto]],producto!$A$1:$C$33,3,FALSE)</f>
        <v>Electrónica</v>
      </c>
      <c r="H873" s="6" t="str">
        <f>VLOOKUP(Tabla1[[#This Row],[Estado]],Tabla3[#All],2,0)</f>
        <v>Norte</v>
      </c>
    </row>
    <row r="874" spans="1:8" ht="15.75" customHeight="1" x14ac:dyDescent="0.25">
      <c r="A874" s="1">
        <v>200872</v>
      </c>
      <c r="B874" s="2">
        <v>45677</v>
      </c>
      <c r="C874" s="1">
        <v>18</v>
      </c>
      <c r="D874" s="1" t="s">
        <v>7</v>
      </c>
      <c r="E874" s="1">
        <v>1934</v>
      </c>
      <c r="F874" t="str">
        <f>VLOOKUP(Tabla1[[#This Row],[IDProducto]],producto!$A$1:$C$33,2,FALSE)</f>
        <v>Producto_18</v>
      </c>
      <c r="G874" t="str">
        <f>VLOOKUP(Tabla1[[#This Row],[IDProducto]],producto!$A$1:$C$33,3,FALSE)</f>
        <v>Ropa</v>
      </c>
      <c r="H874" s="6" t="str">
        <f>VLOOKUP(Tabla1[[#This Row],[Estado]],Tabla3[#All],2,0)</f>
        <v>Norte</v>
      </c>
    </row>
    <row r="875" spans="1:8" ht="15.75" customHeight="1" x14ac:dyDescent="0.25">
      <c r="A875" s="1">
        <v>200873</v>
      </c>
      <c r="B875" s="2">
        <v>45674</v>
      </c>
      <c r="C875" s="1">
        <v>7</v>
      </c>
      <c r="D875" s="1" t="s">
        <v>12</v>
      </c>
      <c r="E875" s="1">
        <v>255</v>
      </c>
      <c r="F875" t="str">
        <f>VLOOKUP(Tabla1[[#This Row],[IDProducto]],producto!$A$1:$C$33,2,FALSE)</f>
        <v>Producto_7</v>
      </c>
      <c r="G875" t="str">
        <f>VLOOKUP(Tabla1[[#This Row],[IDProducto]],producto!$A$1:$C$33,3,FALSE)</f>
        <v>Ropa</v>
      </c>
      <c r="H875" s="6" t="str">
        <f>VLOOKUP(Tabla1[[#This Row],[Estado]],Tabla3[#All],2,0)</f>
        <v>Centro</v>
      </c>
    </row>
    <row r="876" spans="1:8" ht="15.75" customHeight="1" x14ac:dyDescent="0.25">
      <c r="A876" s="1">
        <v>200874</v>
      </c>
      <c r="B876" s="2">
        <v>45705</v>
      </c>
      <c r="C876" s="1">
        <v>21</v>
      </c>
      <c r="D876" s="1" t="s">
        <v>6</v>
      </c>
      <c r="E876" s="1">
        <v>344</v>
      </c>
      <c r="F876" t="str">
        <f>VLOOKUP(Tabla1[[#This Row],[IDProducto]],producto!$A$1:$C$33,2,FALSE)</f>
        <v>Producto_21</v>
      </c>
      <c r="G876" t="str">
        <f>VLOOKUP(Tabla1[[#This Row],[IDProducto]],producto!$A$1:$C$33,3,FALSE)</f>
        <v>Electrónica</v>
      </c>
      <c r="H876" s="6" t="str">
        <f>VLOOKUP(Tabla1[[#This Row],[Estado]],Tabla3[#All],2,0)</f>
        <v>Occidente</v>
      </c>
    </row>
    <row r="877" spans="1:8" ht="15.75" customHeight="1" x14ac:dyDescent="0.25">
      <c r="A877" s="1">
        <v>200875</v>
      </c>
      <c r="B877" s="2">
        <v>45770</v>
      </c>
      <c r="C877" s="1">
        <v>22</v>
      </c>
      <c r="D877" s="1" t="s">
        <v>10</v>
      </c>
      <c r="E877" s="1">
        <v>863</v>
      </c>
      <c r="F877" t="str">
        <f>VLOOKUP(Tabla1[[#This Row],[IDProducto]],producto!$A$1:$C$33,2,FALSE)</f>
        <v>Producto_22</v>
      </c>
      <c r="G877" t="str">
        <f>VLOOKUP(Tabla1[[#This Row],[IDProducto]],producto!$A$1:$C$33,3,FALSE)</f>
        <v>Hogar</v>
      </c>
      <c r="H877" s="6" t="str">
        <f>VLOOKUP(Tabla1[[#This Row],[Estado]],Tabla3[#All],2,0)</f>
        <v>Centro</v>
      </c>
    </row>
    <row r="878" spans="1:8" ht="15.75" customHeight="1" x14ac:dyDescent="0.25">
      <c r="A878" s="1">
        <v>200876</v>
      </c>
      <c r="B878" s="2">
        <v>45668</v>
      </c>
      <c r="C878" s="1">
        <v>9</v>
      </c>
      <c r="D878" s="1" t="s">
        <v>6</v>
      </c>
      <c r="E878" s="1">
        <v>1928</v>
      </c>
      <c r="F878" t="str">
        <f>VLOOKUP(Tabla1[[#This Row],[IDProducto]],producto!$A$1:$C$33,2,FALSE)</f>
        <v>Producto_9</v>
      </c>
      <c r="G878" t="str">
        <f>VLOOKUP(Tabla1[[#This Row],[IDProducto]],producto!$A$1:$C$33,3,FALSE)</f>
        <v>Electrónica</v>
      </c>
      <c r="H878" s="6" t="str">
        <f>VLOOKUP(Tabla1[[#This Row],[Estado]],Tabla3[#All],2,0)</f>
        <v>Occidente</v>
      </c>
    </row>
    <row r="879" spans="1:8" ht="15.75" customHeight="1" x14ac:dyDescent="0.25">
      <c r="A879" s="1">
        <v>200877</v>
      </c>
      <c r="B879" s="2">
        <v>45820</v>
      </c>
      <c r="C879" s="1">
        <v>14</v>
      </c>
      <c r="D879" s="1" t="s">
        <v>5</v>
      </c>
      <c r="E879" s="1">
        <v>1122</v>
      </c>
      <c r="F879" t="str">
        <f>VLOOKUP(Tabla1[[#This Row],[IDProducto]],producto!$A$1:$C$33,2,FALSE)</f>
        <v>Producto_14</v>
      </c>
      <c r="G879" t="str">
        <f>VLOOKUP(Tabla1[[#This Row],[IDProducto]],producto!$A$1:$C$33,3,FALSE)</f>
        <v>Hogar</v>
      </c>
      <c r="H879" s="6" t="str">
        <f>VLOOKUP(Tabla1[[#This Row],[Estado]],Tabla3[#All],2,0)</f>
        <v>Centro</v>
      </c>
    </row>
    <row r="880" spans="1:8" ht="15.75" customHeight="1" x14ac:dyDescent="0.25">
      <c r="A880" s="1">
        <v>200878</v>
      </c>
      <c r="B880" s="2">
        <v>45694</v>
      </c>
      <c r="C880" s="1">
        <v>25</v>
      </c>
      <c r="D880" s="1" t="s">
        <v>11</v>
      </c>
      <c r="E880" s="1">
        <v>1202</v>
      </c>
      <c r="F880" t="str">
        <f>VLOOKUP(Tabla1[[#This Row],[IDProducto]],producto!$A$1:$C$33,2,FALSE)</f>
        <v>Producto_25</v>
      </c>
      <c r="G880" t="str">
        <f>VLOOKUP(Tabla1[[#This Row],[IDProducto]],producto!$A$1:$C$33,3,FALSE)</f>
        <v>Electrónica</v>
      </c>
      <c r="H880" s="6" t="str">
        <f>VLOOKUP(Tabla1[[#This Row],[Estado]],Tabla3[#All],2,0)</f>
        <v>Occidente</v>
      </c>
    </row>
    <row r="881" spans="1:8" ht="15.75" customHeight="1" x14ac:dyDescent="0.25">
      <c r="A881" s="1">
        <v>200879</v>
      </c>
      <c r="B881" s="2">
        <v>45692</v>
      </c>
      <c r="C881" s="1">
        <v>19</v>
      </c>
      <c r="D881" s="1" t="s">
        <v>9</v>
      </c>
      <c r="E881" s="1">
        <v>870</v>
      </c>
      <c r="F881" t="str">
        <f>VLOOKUP(Tabla1[[#This Row],[IDProducto]],producto!$A$1:$C$33,2,FALSE)</f>
        <v>Producto_19</v>
      </c>
      <c r="G881" t="str">
        <f>VLOOKUP(Tabla1[[#This Row],[IDProducto]],producto!$A$1:$C$33,3,FALSE)</f>
        <v>Ropa</v>
      </c>
      <c r="H881" s="6" t="str">
        <f>VLOOKUP(Tabla1[[#This Row],[Estado]],Tabla3[#All],2,0)</f>
        <v>Sur</v>
      </c>
    </row>
    <row r="882" spans="1:8" ht="15.75" customHeight="1" x14ac:dyDescent="0.25">
      <c r="A882" s="1">
        <v>200880</v>
      </c>
      <c r="B882" s="2">
        <v>45658</v>
      </c>
      <c r="C882" s="1">
        <v>19</v>
      </c>
      <c r="D882" s="1" t="s">
        <v>6</v>
      </c>
      <c r="E882" s="1">
        <v>1375</v>
      </c>
      <c r="F882" t="str">
        <f>VLOOKUP(Tabla1[[#This Row],[IDProducto]],producto!$A$1:$C$33,2,FALSE)</f>
        <v>Producto_19</v>
      </c>
      <c r="G882" t="str">
        <f>VLOOKUP(Tabla1[[#This Row],[IDProducto]],producto!$A$1:$C$33,3,FALSE)</f>
        <v>Ropa</v>
      </c>
      <c r="H882" s="6" t="str">
        <f>VLOOKUP(Tabla1[[#This Row],[Estado]],Tabla3[#All],2,0)</f>
        <v>Occidente</v>
      </c>
    </row>
    <row r="883" spans="1:8" ht="15.75" customHeight="1" x14ac:dyDescent="0.25">
      <c r="A883" s="1">
        <v>200881</v>
      </c>
      <c r="B883" s="2">
        <v>45828</v>
      </c>
      <c r="C883" s="1">
        <v>19</v>
      </c>
      <c r="D883" s="1" t="s">
        <v>11</v>
      </c>
      <c r="E883" s="1">
        <v>1583</v>
      </c>
      <c r="F883" t="str">
        <f>VLOOKUP(Tabla1[[#This Row],[IDProducto]],producto!$A$1:$C$33,2,FALSE)</f>
        <v>Producto_19</v>
      </c>
      <c r="G883" t="str">
        <f>VLOOKUP(Tabla1[[#This Row],[IDProducto]],producto!$A$1:$C$33,3,FALSE)</f>
        <v>Ropa</v>
      </c>
      <c r="H883" s="6" t="str">
        <f>VLOOKUP(Tabla1[[#This Row],[Estado]],Tabla3[#All],2,0)</f>
        <v>Occidente</v>
      </c>
    </row>
    <row r="884" spans="1:8" ht="15.75" customHeight="1" x14ac:dyDescent="0.25">
      <c r="A884" s="1">
        <v>200882</v>
      </c>
      <c r="B884" s="2">
        <v>45826</v>
      </c>
      <c r="C884" s="1">
        <v>7</v>
      </c>
      <c r="D884" s="1" t="s">
        <v>10</v>
      </c>
      <c r="E884" s="1">
        <v>1885</v>
      </c>
      <c r="F884" t="str">
        <f>VLOOKUP(Tabla1[[#This Row],[IDProducto]],producto!$A$1:$C$33,2,FALSE)</f>
        <v>Producto_7</v>
      </c>
      <c r="G884" t="str">
        <f>VLOOKUP(Tabla1[[#This Row],[IDProducto]],producto!$A$1:$C$33,3,FALSE)</f>
        <v>Ropa</v>
      </c>
      <c r="H884" s="6" t="str">
        <f>VLOOKUP(Tabla1[[#This Row],[Estado]],Tabla3[#All],2,0)</f>
        <v>Centro</v>
      </c>
    </row>
    <row r="885" spans="1:8" ht="15.75" customHeight="1" x14ac:dyDescent="0.25">
      <c r="A885" s="1">
        <v>200883</v>
      </c>
      <c r="B885" s="2">
        <v>45678</v>
      </c>
      <c r="C885" s="1">
        <v>22</v>
      </c>
      <c r="D885" s="1" t="s">
        <v>9</v>
      </c>
      <c r="E885" s="1">
        <v>1033</v>
      </c>
      <c r="F885" t="str">
        <f>VLOOKUP(Tabla1[[#This Row],[IDProducto]],producto!$A$1:$C$33,2,FALSE)</f>
        <v>Producto_22</v>
      </c>
      <c r="G885" t="str">
        <f>VLOOKUP(Tabla1[[#This Row],[IDProducto]],producto!$A$1:$C$33,3,FALSE)</f>
        <v>Hogar</v>
      </c>
      <c r="H885" s="6" t="str">
        <f>VLOOKUP(Tabla1[[#This Row],[Estado]],Tabla3[#All],2,0)</f>
        <v>Sur</v>
      </c>
    </row>
    <row r="886" spans="1:8" ht="15.75" customHeight="1" x14ac:dyDescent="0.25">
      <c r="A886" s="1">
        <v>200884</v>
      </c>
      <c r="B886" s="2">
        <v>45693</v>
      </c>
      <c r="C886" s="1">
        <v>4</v>
      </c>
      <c r="D886" s="1" t="s">
        <v>8</v>
      </c>
      <c r="E886" s="1">
        <v>323</v>
      </c>
      <c r="F886" t="str">
        <f>VLOOKUP(Tabla1[[#This Row],[IDProducto]],producto!$A$1:$C$33,2,FALSE)</f>
        <v>Producto_4</v>
      </c>
      <c r="G886" t="str">
        <f>VLOOKUP(Tabla1[[#This Row],[IDProducto]],producto!$A$1:$C$33,3,FALSE)</f>
        <v>Deportes</v>
      </c>
      <c r="H886" s="6" t="str">
        <f>VLOOKUP(Tabla1[[#This Row],[Estado]],Tabla3[#All],2,0)</f>
        <v>Norte</v>
      </c>
    </row>
    <row r="887" spans="1:8" ht="15.75" customHeight="1" x14ac:dyDescent="0.25">
      <c r="A887" s="1">
        <v>200885</v>
      </c>
      <c r="B887" s="2">
        <v>45677</v>
      </c>
      <c r="C887" s="1">
        <v>16</v>
      </c>
      <c r="D887" s="1" t="s">
        <v>10</v>
      </c>
      <c r="E887" s="1">
        <v>783</v>
      </c>
      <c r="F887" t="str">
        <f>VLOOKUP(Tabla1[[#This Row],[IDProducto]],producto!$A$1:$C$33,2,FALSE)</f>
        <v>Producto_16</v>
      </c>
      <c r="G887" t="str">
        <f>VLOOKUP(Tabla1[[#This Row],[IDProducto]],producto!$A$1:$C$33,3,FALSE)</f>
        <v>Ropa</v>
      </c>
      <c r="H887" s="6" t="str">
        <f>VLOOKUP(Tabla1[[#This Row],[Estado]],Tabla3[#All],2,0)</f>
        <v>Centro</v>
      </c>
    </row>
    <row r="888" spans="1:8" ht="15.75" customHeight="1" x14ac:dyDescent="0.25">
      <c r="A888" s="1">
        <v>200886</v>
      </c>
      <c r="B888" s="2">
        <v>45694</v>
      </c>
      <c r="C888" s="1">
        <v>4</v>
      </c>
      <c r="D888" s="1" t="s">
        <v>8</v>
      </c>
      <c r="E888" s="1">
        <v>413</v>
      </c>
      <c r="F888" t="str">
        <f>VLOOKUP(Tabla1[[#This Row],[IDProducto]],producto!$A$1:$C$33,2,FALSE)</f>
        <v>Producto_4</v>
      </c>
      <c r="G888" t="str">
        <f>VLOOKUP(Tabla1[[#This Row],[IDProducto]],producto!$A$1:$C$33,3,FALSE)</f>
        <v>Deportes</v>
      </c>
      <c r="H888" s="6" t="str">
        <f>VLOOKUP(Tabla1[[#This Row],[Estado]],Tabla3[#All],2,0)</f>
        <v>Norte</v>
      </c>
    </row>
    <row r="889" spans="1:8" ht="15.75" customHeight="1" x14ac:dyDescent="0.25">
      <c r="A889" s="1">
        <v>200887</v>
      </c>
      <c r="B889" s="2">
        <v>45791</v>
      </c>
      <c r="C889" s="1">
        <v>10</v>
      </c>
      <c r="D889" s="1" t="s">
        <v>10</v>
      </c>
      <c r="E889" s="1">
        <v>741</v>
      </c>
      <c r="F889" t="str">
        <f>VLOOKUP(Tabla1[[#This Row],[IDProducto]],producto!$A$1:$C$33,2,FALSE)</f>
        <v>Producto_10</v>
      </c>
      <c r="G889" t="str">
        <f>VLOOKUP(Tabla1[[#This Row],[IDProducto]],producto!$A$1:$C$33,3,FALSE)</f>
        <v>Ropa</v>
      </c>
      <c r="H889" s="6" t="str">
        <f>VLOOKUP(Tabla1[[#This Row],[Estado]],Tabla3[#All],2,0)</f>
        <v>Centro</v>
      </c>
    </row>
    <row r="890" spans="1:8" ht="15.75" customHeight="1" x14ac:dyDescent="0.25">
      <c r="A890" s="1">
        <v>200888</v>
      </c>
      <c r="B890" s="2">
        <v>45737</v>
      </c>
      <c r="C890" s="1">
        <v>21</v>
      </c>
      <c r="D890" s="1" t="s">
        <v>6</v>
      </c>
      <c r="E890" s="1">
        <v>1970</v>
      </c>
      <c r="F890" t="str">
        <f>VLOOKUP(Tabla1[[#This Row],[IDProducto]],producto!$A$1:$C$33,2,FALSE)</f>
        <v>Producto_21</v>
      </c>
      <c r="G890" t="str">
        <f>VLOOKUP(Tabla1[[#This Row],[IDProducto]],producto!$A$1:$C$33,3,FALSE)</f>
        <v>Electrónica</v>
      </c>
      <c r="H890" s="6" t="str">
        <f>VLOOKUP(Tabla1[[#This Row],[Estado]],Tabla3[#All],2,0)</f>
        <v>Occidente</v>
      </c>
    </row>
    <row r="891" spans="1:8" ht="15.75" customHeight="1" x14ac:dyDescent="0.25">
      <c r="A891" s="1">
        <v>200889</v>
      </c>
      <c r="B891" s="2">
        <v>45789</v>
      </c>
      <c r="C891" s="1">
        <v>5</v>
      </c>
      <c r="D891" s="1" t="s">
        <v>11</v>
      </c>
      <c r="E891" s="1">
        <v>1330</v>
      </c>
      <c r="F891" t="str">
        <f>VLOOKUP(Tabla1[[#This Row],[IDProducto]],producto!$A$1:$C$33,2,FALSE)</f>
        <v>Producto_5</v>
      </c>
      <c r="G891" t="str">
        <f>VLOOKUP(Tabla1[[#This Row],[IDProducto]],producto!$A$1:$C$33,3,FALSE)</f>
        <v>Hogar</v>
      </c>
      <c r="H891" s="6" t="str">
        <f>VLOOKUP(Tabla1[[#This Row],[Estado]],Tabla3[#All],2,0)</f>
        <v>Occidente</v>
      </c>
    </row>
    <row r="892" spans="1:8" ht="15.75" customHeight="1" x14ac:dyDescent="0.25">
      <c r="A892" s="1">
        <v>200890</v>
      </c>
      <c r="B892" s="2">
        <v>45703</v>
      </c>
      <c r="C892" s="1">
        <v>32</v>
      </c>
      <c r="D892" s="1" t="s">
        <v>7</v>
      </c>
      <c r="E892" s="1">
        <v>688</v>
      </c>
      <c r="F892" t="str">
        <f>VLOOKUP(Tabla1[[#This Row],[IDProducto]],producto!$A$1:$C$33,2,FALSE)</f>
        <v>Producto_32</v>
      </c>
      <c r="G892" t="str">
        <f>VLOOKUP(Tabla1[[#This Row],[IDProducto]],producto!$A$1:$C$33,3,FALSE)</f>
        <v>Hogar</v>
      </c>
      <c r="H892" s="6" t="str">
        <f>VLOOKUP(Tabla1[[#This Row],[Estado]],Tabla3[#All],2,0)</f>
        <v>Norte</v>
      </c>
    </row>
    <row r="893" spans="1:8" ht="15.75" customHeight="1" x14ac:dyDescent="0.25">
      <c r="A893" s="1">
        <v>200891</v>
      </c>
      <c r="B893" s="2">
        <v>45819</v>
      </c>
      <c r="C893" s="1">
        <v>26</v>
      </c>
      <c r="D893" s="1" t="s">
        <v>8</v>
      </c>
      <c r="E893" s="1">
        <v>935</v>
      </c>
      <c r="F893" t="str">
        <f>VLOOKUP(Tabla1[[#This Row],[IDProducto]],producto!$A$1:$C$33,2,FALSE)</f>
        <v>Producto_26</v>
      </c>
      <c r="G893" t="str">
        <f>VLOOKUP(Tabla1[[#This Row],[IDProducto]],producto!$A$1:$C$33,3,FALSE)</f>
        <v>Hogar</v>
      </c>
      <c r="H893" s="6" t="str">
        <f>VLOOKUP(Tabla1[[#This Row],[Estado]],Tabla3[#All],2,0)</f>
        <v>Norte</v>
      </c>
    </row>
    <row r="894" spans="1:8" ht="15.75" customHeight="1" x14ac:dyDescent="0.25">
      <c r="A894" s="1">
        <v>200892</v>
      </c>
      <c r="B894" s="2">
        <v>45697</v>
      </c>
      <c r="C894" s="1">
        <v>31</v>
      </c>
      <c r="D894" s="1" t="s">
        <v>9</v>
      </c>
      <c r="E894" s="1">
        <v>616</v>
      </c>
      <c r="F894" t="str">
        <f>VLOOKUP(Tabla1[[#This Row],[IDProducto]],producto!$A$1:$C$33,2,FALSE)</f>
        <v>Producto_31</v>
      </c>
      <c r="G894" t="str">
        <f>VLOOKUP(Tabla1[[#This Row],[IDProducto]],producto!$A$1:$C$33,3,FALSE)</f>
        <v>Deportes</v>
      </c>
      <c r="H894" s="6" t="str">
        <f>VLOOKUP(Tabla1[[#This Row],[Estado]],Tabla3[#All],2,0)</f>
        <v>Sur</v>
      </c>
    </row>
    <row r="895" spans="1:8" ht="15.75" customHeight="1" x14ac:dyDescent="0.25">
      <c r="A895" s="1">
        <v>200893</v>
      </c>
      <c r="B895" s="2">
        <v>45751</v>
      </c>
      <c r="C895" s="1">
        <v>1</v>
      </c>
      <c r="D895" s="1" t="s">
        <v>5</v>
      </c>
      <c r="E895" s="1">
        <v>1769</v>
      </c>
      <c r="F895" t="str">
        <f>VLOOKUP(Tabla1[[#This Row],[IDProducto]],producto!$A$1:$C$33,2,FALSE)</f>
        <v>Producto_1</v>
      </c>
      <c r="G895" t="str">
        <f>VLOOKUP(Tabla1[[#This Row],[IDProducto]],producto!$A$1:$C$33,3,FALSE)</f>
        <v>Hogar</v>
      </c>
      <c r="H895" s="6" t="str">
        <f>VLOOKUP(Tabla1[[#This Row],[Estado]],Tabla3[#All],2,0)</f>
        <v>Centro</v>
      </c>
    </row>
    <row r="896" spans="1:8" ht="15.75" customHeight="1" x14ac:dyDescent="0.25">
      <c r="A896" s="1">
        <v>200894</v>
      </c>
      <c r="B896" s="2">
        <v>45673</v>
      </c>
      <c r="C896" s="1">
        <v>30</v>
      </c>
      <c r="D896" s="1" t="s">
        <v>9</v>
      </c>
      <c r="E896" s="1">
        <v>1926</v>
      </c>
      <c r="F896" t="str">
        <f>VLOOKUP(Tabla1[[#This Row],[IDProducto]],producto!$A$1:$C$33,2,FALSE)</f>
        <v>Producto_30</v>
      </c>
      <c r="G896" t="str">
        <f>VLOOKUP(Tabla1[[#This Row],[IDProducto]],producto!$A$1:$C$33,3,FALSE)</f>
        <v>Hogar</v>
      </c>
      <c r="H896" s="6" t="str">
        <f>VLOOKUP(Tabla1[[#This Row],[Estado]],Tabla3[#All],2,0)</f>
        <v>Sur</v>
      </c>
    </row>
    <row r="897" spans="1:8" ht="15.75" customHeight="1" x14ac:dyDescent="0.25">
      <c r="A897" s="1">
        <v>200895</v>
      </c>
      <c r="B897" s="2">
        <v>45792</v>
      </c>
      <c r="C897" s="1">
        <v>19</v>
      </c>
      <c r="D897" s="1" t="s">
        <v>5</v>
      </c>
      <c r="E897" s="1">
        <v>127</v>
      </c>
      <c r="F897" t="str">
        <f>VLOOKUP(Tabla1[[#This Row],[IDProducto]],producto!$A$1:$C$33,2,FALSE)</f>
        <v>Producto_19</v>
      </c>
      <c r="G897" t="str">
        <f>VLOOKUP(Tabla1[[#This Row],[IDProducto]],producto!$A$1:$C$33,3,FALSE)</f>
        <v>Ropa</v>
      </c>
      <c r="H897" s="6" t="str">
        <f>VLOOKUP(Tabla1[[#This Row],[Estado]],Tabla3[#All],2,0)</f>
        <v>Centro</v>
      </c>
    </row>
    <row r="898" spans="1:8" ht="15.75" customHeight="1" x14ac:dyDescent="0.25">
      <c r="A898" s="1">
        <v>200896</v>
      </c>
      <c r="B898" s="2">
        <v>45699</v>
      </c>
      <c r="C898" s="1">
        <v>18</v>
      </c>
      <c r="D898" s="1" t="s">
        <v>12</v>
      </c>
      <c r="E898" s="1">
        <v>1422</v>
      </c>
      <c r="F898" t="str">
        <f>VLOOKUP(Tabla1[[#This Row],[IDProducto]],producto!$A$1:$C$33,2,FALSE)</f>
        <v>Producto_18</v>
      </c>
      <c r="G898" t="str">
        <f>VLOOKUP(Tabla1[[#This Row],[IDProducto]],producto!$A$1:$C$33,3,FALSE)</f>
        <v>Ropa</v>
      </c>
      <c r="H898" s="6" t="str">
        <f>VLOOKUP(Tabla1[[#This Row],[Estado]],Tabla3[#All],2,0)</f>
        <v>Centro</v>
      </c>
    </row>
    <row r="899" spans="1:8" ht="15.75" customHeight="1" x14ac:dyDescent="0.25">
      <c r="A899" s="1">
        <v>200897</v>
      </c>
      <c r="B899" s="2">
        <v>45693</v>
      </c>
      <c r="C899" s="1">
        <v>2</v>
      </c>
      <c r="D899" s="1" t="s">
        <v>12</v>
      </c>
      <c r="E899" s="1">
        <v>1224</v>
      </c>
      <c r="F899" t="str">
        <f>VLOOKUP(Tabla1[[#This Row],[IDProducto]],producto!$A$1:$C$33,2,FALSE)</f>
        <v>Producto_2</v>
      </c>
      <c r="G899" t="str">
        <f>VLOOKUP(Tabla1[[#This Row],[IDProducto]],producto!$A$1:$C$33,3,FALSE)</f>
        <v>Deportes</v>
      </c>
      <c r="H899" s="6" t="str">
        <f>VLOOKUP(Tabla1[[#This Row],[Estado]],Tabla3[#All],2,0)</f>
        <v>Centro</v>
      </c>
    </row>
    <row r="900" spans="1:8" ht="15.75" customHeight="1" x14ac:dyDescent="0.25">
      <c r="A900" s="1">
        <v>200898</v>
      </c>
      <c r="B900" s="2">
        <v>45685</v>
      </c>
      <c r="C900" s="1">
        <v>23</v>
      </c>
      <c r="D900" s="1" t="s">
        <v>12</v>
      </c>
      <c r="E900" s="1">
        <v>1847</v>
      </c>
      <c r="F900" t="str">
        <f>VLOOKUP(Tabla1[[#This Row],[IDProducto]],producto!$A$1:$C$33,2,FALSE)</f>
        <v>Producto_23</v>
      </c>
      <c r="G900" t="str">
        <f>VLOOKUP(Tabla1[[#This Row],[IDProducto]],producto!$A$1:$C$33,3,FALSE)</f>
        <v>Deportes</v>
      </c>
      <c r="H900" s="6" t="str">
        <f>VLOOKUP(Tabla1[[#This Row],[Estado]],Tabla3[#All],2,0)</f>
        <v>Centro</v>
      </c>
    </row>
    <row r="901" spans="1:8" ht="15.75" customHeight="1" x14ac:dyDescent="0.25">
      <c r="A901" s="1">
        <v>200899</v>
      </c>
      <c r="B901" s="2">
        <v>45660</v>
      </c>
      <c r="C901" s="1">
        <v>4</v>
      </c>
      <c r="D901" s="1" t="s">
        <v>8</v>
      </c>
      <c r="E901" s="1">
        <v>144</v>
      </c>
      <c r="F901" t="str">
        <f>VLOOKUP(Tabla1[[#This Row],[IDProducto]],producto!$A$1:$C$33,2,FALSE)</f>
        <v>Producto_4</v>
      </c>
      <c r="G901" t="str">
        <f>VLOOKUP(Tabla1[[#This Row],[IDProducto]],producto!$A$1:$C$33,3,FALSE)</f>
        <v>Deportes</v>
      </c>
      <c r="H901" s="6" t="str">
        <f>VLOOKUP(Tabla1[[#This Row],[Estado]],Tabla3[#All],2,0)</f>
        <v>Norte</v>
      </c>
    </row>
    <row r="902" spans="1:8" ht="15.75" customHeight="1" x14ac:dyDescent="0.25">
      <c r="A902" s="1">
        <v>200900</v>
      </c>
      <c r="B902" s="2">
        <v>45759</v>
      </c>
      <c r="C902" s="1">
        <v>29</v>
      </c>
      <c r="D902" s="1" t="s">
        <v>7</v>
      </c>
      <c r="E902" s="1">
        <v>933</v>
      </c>
      <c r="F902" t="str">
        <f>VLOOKUP(Tabla1[[#This Row],[IDProducto]],producto!$A$1:$C$33,2,FALSE)</f>
        <v>Producto_29</v>
      </c>
      <c r="G902" t="str">
        <f>VLOOKUP(Tabla1[[#This Row],[IDProducto]],producto!$A$1:$C$33,3,FALSE)</f>
        <v>Electrónica</v>
      </c>
      <c r="H902" s="6" t="str">
        <f>VLOOKUP(Tabla1[[#This Row],[Estado]],Tabla3[#All],2,0)</f>
        <v>Norte</v>
      </c>
    </row>
    <row r="903" spans="1:8" ht="15.75" customHeight="1" x14ac:dyDescent="0.25">
      <c r="A903" s="1">
        <v>200901</v>
      </c>
      <c r="B903" s="2">
        <v>45689</v>
      </c>
      <c r="C903" s="1">
        <v>12</v>
      </c>
      <c r="D903" s="1" t="s">
        <v>11</v>
      </c>
      <c r="E903" s="1">
        <v>169</v>
      </c>
      <c r="F903" t="str">
        <f>VLOOKUP(Tabla1[[#This Row],[IDProducto]],producto!$A$1:$C$33,2,FALSE)</f>
        <v>Producto_12</v>
      </c>
      <c r="G903" t="str">
        <f>VLOOKUP(Tabla1[[#This Row],[IDProducto]],producto!$A$1:$C$33,3,FALSE)</f>
        <v>Hogar</v>
      </c>
      <c r="H903" s="6" t="str">
        <f>VLOOKUP(Tabla1[[#This Row],[Estado]],Tabla3[#All],2,0)</f>
        <v>Occidente</v>
      </c>
    </row>
    <row r="904" spans="1:8" ht="15.75" customHeight="1" x14ac:dyDescent="0.25">
      <c r="A904" s="1">
        <v>200902</v>
      </c>
      <c r="B904" s="2">
        <v>45663</v>
      </c>
      <c r="C904" s="1">
        <v>29</v>
      </c>
      <c r="D904" s="1" t="s">
        <v>7</v>
      </c>
      <c r="E904" s="1">
        <v>1961</v>
      </c>
      <c r="F904" t="str">
        <f>VLOOKUP(Tabla1[[#This Row],[IDProducto]],producto!$A$1:$C$33,2,FALSE)</f>
        <v>Producto_29</v>
      </c>
      <c r="G904" t="str">
        <f>VLOOKUP(Tabla1[[#This Row],[IDProducto]],producto!$A$1:$C$33,3,FALSE)</f>
        <v>Electrónica</v>
      </c>
      <c r="H904" s="6" t="str">
        <f>VLOOKUP(Tabla1[[#This Row],[Estado]],Tabla3[#All],2,0)</f>
        <v>Norte</v>
      </c>
    </row>
    <row r="905" spans="1:8" ht="15.75" customHeight="1" x14ac:dyDescent="0.25">
      <c r="A905" s="1">
        <v>200903</v>
      </c>
      <c r="B905" s="2">
        <v>45698</v>
      </c>
      <c r="C905" s="1">
        <v>16</v>
      </c>
      <c r="D905" s="1" t="s">
        <v>10</v>
      </c>
      <c r="E905" s="1">
        <v>898</v>
      </c>
      <c r="F905" t="str">
        <f>VLOOKUP(Tabla1[[#This Row],[IDProducto]],producto!$A$1:$C$33,2,FALSE)</f>
        <v>Producto_16</v>
      </c>
      <c r="G905" t="str">
        <f>VLOOKUP(Tabla1[[#This Row],[IDProducto]],producto!$A$1:$C$33,3,FALSE)</f>
        <v>Ropa</v>
      </c>
      <c r="H905" s="6" t="str">
        <f>VLOOKUP(Tabla1[[#This Row],[Estado]],Tabla3[#All],2,0)</f>
        <v>Centro</v>
      </c>
    </row>
    <row r="906" spans="1:8" ht="15.75" customHeight="1" x14ac:dyDescent="0.25">
      <c r="A906" s="1">
        <v>200904</v>
      </c>
      <c r="B906" s="2">
        <v>45823</v>
      </c>
      <c r="C906" s="1">
        <v>25</v>
      </c>
      <c r="D906" s="1" t="s">
        <v>10</v>
      </c>
      <c r="E906" s="1">
        <v>121</v>
      </c>
      <c r="F906" t="str">
        <f>VLOOKUP(Tabla1[[#This Row],[IDProducto]],producto!$A$1:$C$33,2,FALSE)</f>
        <v>Producto_25</v>
      </c>
      <c r="G906" t="str">
        <f>VLOOKUP(Tabla1[[#This Row],[IDProducto]],producto!$A$1:$C$33,3,FALSE)</f>
        <v>Electrónica</v>
      </c>
      <c r="H906" s="6" t="str">
        <f>VLOOKUP(Tabla1[[#This Row],[Estado]],Tabla3[#All],2,0)</f>
        <v>Centro</v>
      </c>
    </row>
    <row r="907" spans="1:8" ht="15.75" customHeight="1" x14ac:dyDescent="0.25">
      <c r="A907" s="1">
        <v>200905</v>
      </c>
      <c r="B907" s="2">
        <v>45703</v>
      </c>
      <c r="C907" s="1">
        <v>3</v>
      </c>
      <c r="D907" s="1" t="s">
        <v>7</v>
      </c>
      <c r="E907" s="1">
        <v>1492</v>
      </c>
      <c r="F907" t="str">
        <f>VLOOKUP(Tabla1[[#This Row],[IDProducto]],producto!$A$1:$C$33,2,FALSE)</f>
        <v>Producto_3</v>
      </c>
      <c r="G907" t="str">
        <f>VLOOKUP(Tabla1[[#This Row],[IDProducto]],producto!$A$1:$C$33,3,FALSE)</f>
        <v>Deportes</v>
      </c>
      <c r="H907" s="6" t="str">
        <f>VLOOKUP(Tabla1[[#This Row],[Estado]],Tabla3[#All],2,0)</f>
        <v>Norte</v>
      </c>
    </row>
    <row r="908" spans="1:8" ht="15.75" customHeight="1" x14ac:dyDescent="0.25">
      <c r="A908" s="1">
        <v>200906</v>
      </c>
      <c r="B908" s="2">
        <v>45712</v>
      </c>
      <c r="C908" s="1">
        <v>17</v>
      </c>
      <c r="D908" s="1" t="s">
        <v>5</v>
      </c>
      <c r="E908" s="1">
        <v>1598</v>
      </c>
      <c r="F908" t="str">
        <f>VLOOKUP(Tabla1[[#This Row],[IDProducto]],producto!$A$1:$C$33,2,FALSE)</f>
        <v>Producto_17</v>
      </c>
      <c r="G908" t="str">
        <f>VLOOKUP(Tabla1[[#This Row],[IDProducto]],producto!$A$1:$C$33,3,FALSE)</f>
        <v>Ropa</v>
      </c>
      <c r="H908" s="6" t="str">
        <f>VLOOKUP(Tabla1[[#This Row],[Estado]],Tabla3[#All],2,0)</f>
        <v>Centro</v>
      </c>
    </row>
    <row r="909" spans="1:8" ht="15.75" customHeight="1" x14ac:dyDescent="0.25">
      <c r="A909" s="1">
        <v>200907</v>
      </c>
      <c r="B909" s="2">
        <v>45778</v>
      </c>
      <c r="C909" s="1">
        <v>12</v>
      </c>
      <c r="D909" s="1" t="s">
        <v>9</v>
      </c>
      <c r="E909" s="1">
        <v>439</v>
      </c>
      <c r="F909" t="str">
        <f>VLOOKUP(Tabla1[[#This Row],[IDProducto]],producto!$A$1:$C$33,2,FALSE)</f>
        <v>Producto_12</v>
      </c>
      <c r="G909" t="str">
        <f>VLOOKUP(Tabla1[[#This Row],[IDProducto]],producto!$A$1:$C$33,3,FALSE)</f>
        <v>Hogar</v>
      </c>
      <c r="H909" s="6" t="str">
        <f>VLOOKUP(Tabla1[[#This Row],[Estado]],Tabla3[#All],2,0)</f>
        <v>Sur</v>
      </c>
    </row>
    <row r="910" spans="1:8" ht="15.75" customHeight="1" x14ac:dyDescent="0.25">
      <c r="A910" s="1">
        <v>200908</v>
      </c>
      <c r="B910" s="2">
        <v>45738</v>
      </c>
      <c r="C910" s="1">
        <v>24</v>
      </c>
      <c r="D910" s="1" t="s">
        <v>11</v>
      </c>
      <c r="E910" s="1">
        <v>184</v>
      </c>
      <c r="F910" t="str">
        <f>VLOOKUP(Tabla1[[#This Row],[IDProducto]],producto!$A$1:$C$33,2,FALSE)</f>
        <v>Producto_24</v>
      </c>
      <c r="G910" t="str">
        <f>VLOOKUP(Tabla1[[#This Row],[IDProducto]],producto!$A$1:$C$33,3,FALSE)</f>
        <v>Ropa</v>
      </c>
      <c r="H910" s="6" t="str">
        <f>VLOOKUP(Tabla1[[#This Row],[Estado]],Tabla3[#All],2,0)</f>
        <v>Occidente</v>
      </c>
    </row>
    <row r="911" spans="1:8" ht="15.75" customHeight="1" x14ac:dyDescent="0.25">
      <c r="A911" s="1">
        <v>200909</v>
      </c>
      <c r="B911" s="2">
        <v>45715</v>
      </c>
      <c r="C911" s="1">
        <v>24</v>
      </c>
      <c r="D911" s="1" t="s">
        <v>11</v>
      </c>
      <c r="E911" s="1">
        <v>1905</v>
      </c>
      <c r="F911" t="str">
        <f>VLOOKUP(Tabla1[[#This Row],[IDProducto]],producto!$A$1:$C$33,2,FALSE)</f>
        <v>Producto_24</v>
      </c>
      <c r="G911" t="str">
        <f>VLOOKUP(Tabla1[[#This Row],[IDProducto]],producto!$A$1:$C$33,3,FALSE)</f>
        <v>Ropa</v>
      </c>
      <c r="H911" s="6" t="str">
        <f>VLOOKUP(Tabla1[[#This Row],[Estado]],Tabla3[#All],2,0)</f>
        <v>Occidente</v>
      </c>
    </row>
    <row r="912" spans="1:8" ht="15.75" customHeight="1" x14ac:dyDescent="0.25">
      <c r="A912" s="1">
        <v>200910</v>
      </c>
      <c r="B912" s="2">
        <v>45760</v>
      </c>
      <c r="C912" s="1">
        <v>29</v>
      </c>
      <c r="D912" s="1" t="s">
        <v>9</v>
      </c>
      <c r="E912" s="1">
        <v>1554</v>
      </c>
      <c r="F912" t="str">
        <f>VLOOKUP(Tabla1[[#This Row],[IDProducto]],producto!$A$1:$C$33,2,FALSE)</f>
        <v>Producto_29</v>
      </c>
      <c r="G912" t="str">
        <f>VLOOKUP(Tabla1[[#This Row],[IDProducto]],producto!$A$1:$C$33,3,FALSE)</f>
        <v>Electrónica</v>
      </c>
      <c r="H912" s="6" t="str">
        <f>VLOOKUP(Tabla1[[#This Row],[Estado]],Tabla3[#All],2,0)</f>
        <v>Sur</v>
      </c>
    </row>
    <row r="913" spans="1:8" ht="15.75" customHeight="1" x14ac:dyDescent="0.25">
      <c r="A913" s="1">
        <v>200911</v>
      </c>
      <c r="B913" s="2">
        <v>45700</v>
      </c>
      <c r="C913" s="1">
        <v>3</v>
      </c>
      <c r="D913" s="1" t="s">
        <v>12</v>
      </c>
      <c r="E913" s="1">
        <v>1852</v>
      </c>
      <c r="F913" t="str">
        <f>VLOOKUP(Tabla1[[#This Row],[IDProducto]],producto!$A$1:$C$33,2,FALSE)</f>
        <v>Producto_3</v>
      </c>
      <c r="G913" t="str">
        <f>VLOOKUP(Tabla1[[#This Row],[IDProducto]],producto!$A$1:$C$33,3,FALSE)</f>
        <v>Deportes</v>
      </c>
      <c r="H913" s="6" t="str">
        <f>VLOOKUP(Tabla1[[#This Row],[Estado]],Tabla3[#All],2,0)</f>
        <v>Centro</v>
      </c>
    </row>
    <row r="914" spans="1:8" ht="15.75" customHeight="1" x14ac:dyDescent="0.25">
      <c r="A914" s="1">
        <v>200912</v>
      </c>
      <c r="B914" s="2">
        <v>45693</v>
      </c>
      <c r="C914" s="1">
        <v>31</v>
      </c>
      <c r="D914" s="1" t="s">
        <v>11</v>
      </c>
      <c r="E914" s="1">
        <v>274</v>
      </c>
      <c r="F914" t="str">
        <f>VLOOKUP(Tabla1[[#This Row],[IDProducto]],producto!$A$1:$C$33,2,FALSE)</f>
        <v>Producto_31</v>
      </c>
      <c r="G914" t="str">
        <f>VLOOKUP(Tabla1[[#This Row],[IDProducto]],producto!$A$1:$C$33,3,FALSE)</f>
        <v>Deportes</v>
      </c>
      <c r="H914" s="6" t="str">
        <f>VLOOKUP(Tabla1[[#This Row],[Estado]],Tabla3[#All],2,0)</f>
        <v>Occidente</v>
      </c>
    </row>
    <row r="915" spans="1:8" ht="15.75" customHeight="1" x14ac:dyDescent="0.25">
      <c r="A915" s="1">
        <v>200913</v>
      </c>
      <c r="B915" s="2">
        <v>45699</v>
      </c>
      <c r="C915" s="1">
        <v>19</v>
      </c>
      <c r="D915" s="1" t="s">
        <v>12</v>
      </c>
      <c r="E915" s="1">
        <v>707</v>
      </c>
      <c r="F915" t="str">
        <f>VLOOKUP(Tabla1[[#This Row],[IDProducto]],producto!$A$1:$C$33,2,FALSE)</f>
        <v>Producto_19</v>
      </c>
      <c r="G915" t="str">
        <f>VLOOKUP(Tabla1[[#This Row],[IDProducto]],producto!$A$1:$C$33,3,FALSE)</f>
        <v>Ropa</v>
      </c>
      <c r="H915" s="6" t="str">
        <f>VLOOKUP(Tabla1[[#This Row],[Estado]],Tabla3[#All],2,0)</f>
        <v>Centro</v>
      </c>
    </row>
    <row r="916" spans="1:8" ht="15.75" customHeight="1" x14ac:dyDescent="0.25">
      <c r="A916" s="1">
        <v>200914</v>
      </c>
      <c r="B916" s="2">
        <v>45718</v>
      </c>
      <c r="C916" s="1">
        <v>20</v>
      </c>
      <c r="D916" s="1" t="s">
        <v>6</v>
      </c>
      <c r="E916" s="1">
        <v>860</v>
      </c>
      <c r="F916" t="str">
        <f>VLOOKUP(Tabla1[[#This Row],[IDProducto]],producto!$A$1:$C$33,2,FALSE)</f>
        <v>Producto_20</v>
      </c>
      <c r="G916" t="str">
        <f>VLOOKUP(Tabla1[[#This Row],[IDProducto]],producto!$A$1:$C$33,3,FALSE)</f>
        <v>Deportes</v>
      </c>
      <c r="H916" s="6" t="str">
        <f>VLOOKUP(Tabla1[[#This Row],[Estado]],Tabla3[#All],2,0)</f>
        <v>Occidente</v>
      </c>
    </row>
    <row r="917" spans="1:8" ht="15.75" customHeight="1" x14ac:dyDescent="0.25">
      <c r="A917" s="1">
        <v>200915</v>
      </c>
      <c r="B917" s="2">
        <v>45781</v>
      </c>
      <c r="C917" s="1">
        <v>20</v>
      </c>
      <c r="D917" s="1" t="s">
        <v>5</v>
      </c>
      <c r="E917" s="1">
        <v>1039</v>
      </c>
      <c r="F917" t="str">
        <f>VLOOKUP(Tabla1[[#This Row],[IDProducto]],producto!$A$1:$C$33,2,FALSE)</f>
        <v>Producto_20</v>
      </c>
      <c r="G917" t="str">
        <f>VLOOKUP(Tabla1[[#This Row],[IDProducto]],producto!$A$1:$C$33,3,FALSE)</f>
        <v>Deportes</v>
      </c>
      <c r="H917" s="6" t="str">
        <f>VLOOKUP(Tabla1[[#This Row],[Estado]],Tabla3[#All],2,0)</f>
        <v>Centro</v>
      </c>
    </row>
    <row r="918" spans="1:8" ht="15.75" customHeight="1" x14ac:dyDescent="0.25">
      <c r="A918" s="1">
        <v>200916</v>
      </c>
      <c r="B918" s="2">
        <v>45686</v>
      </c>
      <c r="C918" s="1">
        <v>14</v>
      </c>
      <c r="D918" s="1" t="s">
        <v>11</v>
      </c>
      <c r="E918" s="1">
        <v>1961</v>
      </c>
      <c r="F918" t="str">
        <f>VLOOKUP(Tabla1[[#This Row],[IDProducto]],producto!$A$1:$C$33,2,FALSE)</f>
        <v>Producto_14</v>
      </c>
      <c r="G918" t="str">
        <f>VLOOKUP(Tabla1[[#This Row],[IDProducto]],producto!$A$1:$C$33,3,FALSE)</f>
        <v>Hogar</v>
      </c>
      <c r="H918" s="6" t="str">
        <f>VLOOKUP(Tabla1[[#This Row],[Estado]],Tabla3[#All],2,0)</f>
        <v>Occidente</v>
      </c>
    </row>
    <row r="919" spans="1:8" ht="15.75" customHeight="1" x14ac:dyDescent="0.25">
      <c r="A919" s="1">
        <v>200917</v>
      </c>
      <c r="B919" s="2">
        <v>45750</v>
      </c>
      <c r="C919" s="1">
        <v>9</v>
      </c>
      <c r="D919" s="1" t="s">
        <v>5</v>
      </c>
      <c r="E919" s="1">
        <v>1009</v>
      </c>
      <c r="F919" t="str">
        <f>VLOOKUP(Tabla1[[#This Row],[IDProducto]],producto!$A$1:$C$33,2,FALSE)</f>
        <v>Producto_9</v>
      </c>
      <c r="G919" t="str">
        <f>VLOOKUP(Tabla1[[#This Row],[IDProducto]],producto!$A$1:$C$33,3,FALSE)</f>
        <v>Electrónica</v>
      </c>
      <c r="H919" s="6" t="str">
        <f>VLOOKUP(Tabla1[[#This Row],[Estado]],Tabla3[#All],2,0)</f>
        <v>Centro</v>
      </c>
    </row>
    <row r="920" spans="1:8" ht="15.75" customHeight="1" x14ac:dyDescent="0.25">
      <c r="A920" s="1">
        <v>200918</v>
      </c>
      <c r="B920" s="2">
        <v>45795</v>
      </c>
      <c r="C920" s="1">
        <v>22</v>
      </c>
      <c r="D920" s="1" t="s">
        <v>10</v>
      </c>
      <c r="E920" s="1">
        <v>357</v>
      </c>
      <c r="F920" t="str">
        <f>VLOOKUP(Tabla1[[#This Row],[IDProducto]],producto!$A$1:$C$33,2,FALSE)</f>
        <v>Producto_22</v>
      </c>
      <c r="G920" t="str">
        <f>VLOOKUP(Tabla1[[#This Row],[IDProducto]],producto!$A$1:$C$33,3,FALSE)</f>
        <v>Hogar</v>
      </c>
      <c r="H920" s="6" t="str">
        <f>VLOOKUP(Tabla1[[#This Row],[Estado]],Tabla3[#All],2,0)</f>
        <v>Centro</v>
      </c>
    </row>
    <row r="921" spans="1:8" ht="15.75" customHeight="1" x14ac:dyDescent="0.25">
      <c r="A921" s="1">
        <v>200919</v>
      </c>
      <c r="B921" s="2">
        <v>45683</v>
      </c>
      <c r="C921" s="1">
        <v>17</v>
      </c>
      <c r="D921" s="1" t="s">
        <v>8</v>
      </c>
      <c r="E921" s="1">
        <v>1945</v>
      </c>
      <c r="F921" t="str">
        <f>VLOOKUP(Tabla1[[#This Row],[IDProducto]],producto!$A$1:$C$33,2,FALSE)</f>
        <v>Producto_17</v>
      </c>
      <c r="G921" t="str">
        <f>VLOOKUP(Tabla1[[#This Row],[IDProducto]],producto!$A$1:$C$33,3,FALSE)</f>
        <v>Ropa</v>
      </c>
      <c r="H921" s="6" t="str">
        <f>VLOOKUP(Tabla1[[#This Row],[Estado]],Tabla3[#All],2,0)</f>
        <v>Norte</v>
      </c>
    </row>
    <row r="922" spans="1:8" ht="15.75" customHeight="1" x14ac:dyDescent="0.25">
      <c r="A922" s="1">
        <v>200920</v>
      </c>
      <c r="B922" s="2">
        <v>45680</v>
      </c>
      <c r="C922" s="1">
        <v>22</v>
      </c>
      <c r="D922" s="1" t="s">
        <v>5</v>
      </c>
      <c r="E922" s="1">
        <v>1762</v>
      </c>
      <c r="F922" t="str">
        <f>VLOOKUP(Tabla1[[#This Row],[IDProducto]],producto!$A$1:$C$33,2,FALSE)</f>
        <v>Producto_22</v>
      </c>
      <c r="G922" t="str">
        <f>VLOOKUP(Tabla1[[#This Row],[IDProducto]],producto!$A$1:$C$33,3,FALSE)</f>
        <v>Hogar</v>
      </c>
      <c r="H922" s="6" t="str">
        <f>VLOOKUP(Tabla1[[#This Row],[Estado]],Tabla3[#All],2,0)</f>
        <v>Centro</v>
      </c>
    </row>
    <row r="923" spans="1:8" ht="15.75" customHeight="1" x14ac:dyDescent="0.25">
      <c r="A923" s="1">
        <v>200921</v>
      </c>
      <c r="B923" s="2">
        <v>45664</v>
      </c>
      <c r="C923" s="1">
        <v>12</v>
      </c>
      <c r="D923" s="1" t="s">
        <v>6</v>
      </c>
      <c r="E923" s="1">
        <v>953</v>
      </c>
      <c r="F923" t="str">
        <f>VLOOKUP(Tabla1[[#This Row],[IDProducto]],producto!$A$1:$C$33,2,FALSE)</f>
        <v>Producto_12</v>
      </c>
      <c r="G923" t="str">
        <f>VLOOKUP(Tabla1[[#This Row],[IDProducto]],producto!$A$1:$C$33,3,FALSE)</f>
        <v>Hogar</v>
      </c>
      <c r="H923" s="6" t="str">
        <f>VLOOKUP(Tabla1[[#This Row],[Estado]],Tabla3[#All],2,0)</f>
        <v>Occidente</v>
      </c>
    </row>
    <row r="924" spans="1:8" ht="15.75" customHeight="1" x14ac:dyDescent="0.25">
      <c r="A924" s="1">
        <v>200922</v>
      </c>
      <c r="B924" s="2">
        <v>45804</v>
      </c>
      <c r="C924" s="1">
        <v>22</v>
      </c>
      <c r="D924" s="1" t="s">
        <v>6</v>
      </c>
      <c r="E924" s="1">
        <v>1082</v>
      </c>
      <c r="F924" t="str">
        <f>VLOOKUP(Tabla1[[#This Row],[IDProducto]],producto!$A$1:$C$33,2,FALSE)</f>
        <v>Producto_22</v>
      </c>
      <c r="G924" t="str">
        <f>VLOOKUP(Tabla1[[#This Row],[IDProducto]],producto!$A$1:$C$33,3,FALSE)</f>
        <v>Hogar</v>
      </c>
      <c r="H924" s="6" t="str">
        <f>VLOOKUP(Tabla1[[#This Row],[Estado]],Tabla3[#All],2,0)</f>
        <v>Occidente</v>
      </c>
    </row>
    <row r="925" spans="1:8" ht="15.75" customHeight="1" x14ac:dyDescent="0.25">
      <c r="A925" s="1">
        <v>200923</v>
      </c>
      <c r="B925" s="2">
        <v>45750</v>
      </c>
      <c r="C925" s="1">
        <v>29</v>
      </c>
      <c r="D925" s="1" t="s">
        <v>11</v>
      </c>
      <c r="E925" s="1">
        <v>1963</v>
      </c>
      <c r="F925" t="str">
        <f>VLOOKUP(Tabla1[[#This Row],[IDProducto]],producto!$A$1:$C$33,2,FALSE)</f>
        <v>Producto_29</v>
      </c>
      <c r="G925" t="str">
        <f>VLOOKUP(Tabla1[[#This Row],[IDProducto]],producto!$A$1:$C$33,3,FALSE)</f>
        <v>Electrónica</v>
      </c>
      <c r="H925" s="6" t="str">
        <f>VLOOKUP(Tabla1[[#This Row],[Estado]],Tabla3[#All],2,0)</f>
        <v>Occidente</v>
      </c>
    </row>
    <row r="926" spans="1:8" ht="15.75" customHeight="1" x14ac:dyDescent="0.25">
      <c r="A926" s="1">
        <v>200924</v>
      </c>
      <c r="B926" s="2">
        <v>45667</v>
      </c>
      <c r="C926" s="1">
        <v>20</v>
      </c>
      <c r="D926" s="1" t="s">
        <v>7</v>
      </c>
      <c r="E926" s="1">
        <v>477</v>
      </c>
      <c r="F926" t="str">
        <f>VLOOKUP(Tabla1[[#This Row],[IDProducto]],producto!$A$1:$C$33,2,FALSE)</f>
        <v>Producto_20</v>
      </c>
      <c r="G926" t="str">
        <f>VLOOKUP(Tabla1[[#This Row],[IDProducto]],producto!$A$1:$C$33,3,FALSE)</f>
        <v>Deportes</v>
      </c>
      <c r="H926" s="6" t="str">
        <f>VLOOKUP(Tabla1[[#This Row],[Estado]],Tabla3[#All],2,0)</f>
        <v>Norte</v>
      </c>
    </row>
    <row r="927" spans="1:8" ht="15.75" customHeight="1" x14ac:dyDescent="0.25">
      <c r="A927" s="1">
        <v>200925</v>
      </c>
      <c r="B927" s="2">
        <v>45761</v>
      </c>
      <c r="C927" s="1">
        <v>11</v>
      </c>
      <c r="D927" s="1" t="s">
        <v>10</v>
      </c>
      <c r="E927" s="1">
        <v>710</v>
      </c>
      <c r="F927" t="str">
        <f>VLOOKUP(Tabla1[[#This Row],[IDProducto]],producto!$A$1:$C$33,2,FALSE)</f>
        <v>Producto_11</v>
      </c>
      <c r="G927" t="str">
        <f>VLOOKUP(Tabla1[[#This Row],[IDProducto]],producto!$A$1:$C$33,3,FALSE)</f>
        <v>Ropa</v>
      </c>
      <c r="H927" s="6" t="str">
        <f>VLOOKUP(Tabla1[[#This Row],[Estado]],Tabla3[#All],2,0)</f>
        <v>Centro</v>
      </c>
    </row>
    <row r="928" spans="1:8" ht="15.75" customHeight="1" x14ac:dyDescent="0.25">
      <c r="A928" s="1">
        <v>200926</v>
      </c>
      <c r="B928" s="2">
        <v>45813</v>
      </c>
      <c r="C928" s="1">
        <v>14</v>
      </c>
      <c r="D928" s="1" t="s">
        <v>12</v>
      </c>
      <c r="E928" s="1">
        <v>1207</v>
      </c>
      <c r="F928" t="str">
        <f>VLOOKUP(Tabla1[[#This Row],[IDProducto]],producto!$A$1:$C$33,2,FALSE)</f>
        <v>Producto_14</v>
      </c>
      <c r="G928" t="str">
        <f>VLOOKUP(Tabla1[[#This Row],[IDProducto]],producto!$A$1:$C$33,3,FALSE)</f>
        <v>Hogar</v>
      </c>
      <c r="H928" s="6" t="str">
        <f>VLOOKUP(Tabla1[[#This Row],[Estado]],Tabla3[#All],2,0)</f>
        <v>Centro</v>
      </c>
    </row>
    <row r="929" spans="1:8" ht="15.75" customHeight="1" x14ac:dyDescent="0.25">
      <c r="A929" s="1">
        <v>200927</v>
      </c>
      <c r="B929" s="2">
        <v>45680</v>
      </c>
      <c r="C929" s="1">
        <v>18</v>
      </c>
      <c r="D929" s="1" t="s">
        <v>5</v>
      </c>
      <c r="E929" s="1">
        <v>961</v>
      </c>
      <c r="F929" t="str">
        <f>VLOOKUP(Tabla1[[#This Row],[IDProducto]],producto!$A$1:$C$33,2,FALSE)</f>
        <v>Producto_18</v>
      </c>
      <c r="G929" t="str">
        <f>VLOOKUP(Tabla1[[#This Row],[IDProducto]],producto!$A$1:$C$33,3,FALSE)</f>
        <v>Ropa</v>
      </c>
      <c r="H929" s="6" t="str">
        <f>VLOOKUP(Tabla1[[#This Row],[Estado]],Tabla3[#All],2,0)</f>
        <v>Centro</v>
      </c>
    </row>
    <row r="930" spans="1:8" ht="15.75" customHeight="1" x14ac:dyDescent="0.25">
      <c r="A930" s="1">
        <v>200928</v>
      </c>
      <c r="B930" s="2">
        <v>45669</v>
      </c>
      <c r="C930" s="1">
        <v>6</v>
      </c>
      <c r="D930" s="1" t="s">
        <v>10</v>
      </c>
      <c r="E930" s="1">
        <v>493</v>
      </c>
      <c r="F930" t="str">
        <f>VLOOKUP(Tabla1[[#This Row],[IDProducto]],producto!$A$1:$C$33,2,FALSE)</f>
        <v>Producto_6</v>
      </c>
      <c r="G930" t="str">
        <f>VLOOKUP(Tabla1[[#This Row],[IDProducto]],producto!$A$1:$C$33,3,FALSE)</f>
        <v>Electrónica</v>
      </c>
      <c r="H930" s="6" t="str">
        <f>VLOOKUP(Tabla1[[#This Row],[Estado]],Tabla3[#All],2,0)</f>
        <v>Centro</v>
      </c>
    </row>
    <row r="931" spans="1:8" ht="15.75" customHeight="1" x14ac:dyDescent="0.25">
      <c r="A931" s="1">
        <v>200929</v>
      </c>
      <c r="B931" s="2">
        <v>45809</v>
      </c>
      <c r="C931" s="1">
        <v>20</v>
      </c>
      <c r="D931" s="1" t="s">
        <v>8</v>
      </c>
      <c r="E931" s="1">
        <v>441</v>
      </c>
      <c r="F931" t="str">
        <f>VLOOKUP(Tabla1[[#This Row],[IDProducto]],producto!$A$1:$C$33,2,FALSE)</f>
        <v>Producto_20</v>
      </c>
      <c r="G931" t="str">
        <f>VLOOKUP(Tabla1[[#This Row],[IDProducto]],producto!$A$1:$C$33,3,FALSE)</f>
        <v>Deportes</v>
      </c>
      <c r="H931" s="6" t="str">
        <f>VLOOKUP(Tabla1[[#This Row],[Estado]],Tabla3[#All],2,0)</f>
        <v>Norte</v>
      </c>
    </row>
    <row r="932" spans="1:8" ht="15.75" customHeight="1" x14ac:dyDescent="0.25">
      <c r="A932" s="1">
        <v>200930</v>
      </c>
      <c r="B932" s="2">
        <v>45726</v>
      </c>
      <c r="C932" s="1">
        <v>10</v>
      </c>
      <c r="D932" s="1" t="s">
        <v>11</v>
      </c>
      <c r="E932" s="1">
        <v>213</v>
      </c>
      <c r="F932" t="str">
        <f>VLOOKUP(Tabla1[[#This Row],[IDProducto]],producto!$A$1:$C$33,2,FALSE)</f>
        <v>Producto_10</v>
      </c>
      <c r="G932" t="str">
        <f>VLOOKUP(Tabla1[[#This Row],[IDProducto]],producto!$A$1:$C$33,3,FALSE)</f>
        <v>Ropa</v>
      </c>
      <c r="H932" s="6" t="str">
        <f>VLOOKUP(Tabla1[[#This Row],[Estado]],Tabla3[#All],2,0)</f>
        <v>Occidente</v>
      </c>
    </row>
    <row r="933" spans="1:8" ht="15.75" customHeight="1" x14ac:dyDescent="0.25">
      <c r="A933" s="1">
        <v>200931</v>
      </c>
      <c r="B933" s="2">
        <v>45830</v>
      </c>
      <c r="C933" s="1">
        <v>16</v>
      </c>
      <c r="D933" s="1" t="s">
        <v>9</v>
      </c>
      <c r="E933" s="1">
        <v>606</v>
      </c>
      <c r="F933" t="str">
        <f>VLOOKUP(Tabla1[[#This Row],[IDProducto]],producto!$A$1:$C$33,2,FALSE)</f>
        <v>Producto_16</v>
      </c>
      <c r="G933" t="str">
        <f>VLOOKUP(Tabla1[[#This Row],[IDProducto]],producto!$A$1:$C$33,3,FALSE)</f>
        <v>Ropa</v>
      </c>
      <c r="H933" s="6" t="str">
        <f>VLOOKUP(Tabla1[[#This Row],[Estado]],Tabla3[#All],2,0)</f>
        <v>Sur</v>
      </c>
    </row>
    <row r="934" spans="1:8" ht="15.75" customHeight="1" x14ac:dyDescent="0.25">
      <c r="A934" s="1">
        <v>200932</v>
      </c>
      <c r="B934" s="2">
        <v>45680</v>
      </c>
      <c r="C934" s="1">
        <v>10</v>
      </c>
      <c r="D934" s="1" t="s">
        <v>8</v>
      </c>
      <c r="E934" s="1">
        <v>428</v>
      </c>
      <c r="F934" t="str">
        <f>VLOOKUP(Tabla1[[#This Row],[IDProducto]],producto!$A$1:$C$33,2,FALSE)</f>
        <v>Producto_10</v>
      </c>
      <c r="G934" t="str">
        <f>VLOOKUP(Tabla1[[#This Row],[IDProducto]],producto!$A$1:$C$33,3,FALSE)</f>
        <v>Ropa</v>
      </c>
      <c r="H934" s="6" t="str">
        <f>VLOOKUP(Tabla1[[#This Row],[Estado]],Tabla3[#All],2,0)</f>
        <v>Norte</v>
      </c>
    </row>
    <row r="935" spans="1:8" ht="15.75" customHeight="1" x14ac:dyDescent="0.25">
      <c r="A935" s="1">
        <v>200933</v>
      </c>
      <c r="B935" s="2">
        <v>45778</v>
      </c>
      <c r="C935" s="1">
        <v>13</v>
      </c>
      <c r="D935" s="1" t="s">
        <v>8</v>
      </c>
      <c r="E935" s="1">
        <v>810</v>
      </c>
      <c r="F935" t="str">
        <f>VLOOKUP(Tabla1[[#This Row],[IDProducto]],producto!$A$1:$C$33,2,FALSE)</f>
        <v>Producto_13</v>
      </c>
      <c r="G935" t="str">
        <f>VLOOKUP(Tabla1[[#This Row],[IDProducto]],producto!$A$1:$C$33,3,FALSE)</f>
        <v>Deportes</v>
      </c>
      <c r="H935" s="6" t="str">
        <f>VLOOKUP(Tabla1[[#This Row],[Estado]],Tabla3[#All],2,0)</f>
        <v>Norte</v>
      </c>
    </row>
    <row r="936" spans="1:8" ht="15.75" customHeight="1" x14ac:dyDescent="0.25">
      <c r="A936" s="1">
        <v>200934</v>
      </c>
      <c r="B936" s="2">
        <v>45779</v>
      </c>
      <c r="C936" s="1">
        <v>23</v>
      </c>
      <c r="D936" s="1" t="s">
        <v>7</v>
      </c>
      <c r="E936" s="1">
        <v>1680</v>
      </c>
      <c r="F936" t="str">
        <f>VLOOKUP(Tabla1[[#This Row],[IDProducto]],producto!$A$1:$C$33,2,FALSE)</f>
        <v>Producto_23</v>
      </c>
      <c r="G936" t="str">
        <f>VLOOKUP(Tabla1[[#This Row],[IDProducto]],producto!$A$1:$C$33,3,FALSE)</f>
        <v>Deportes</v>
      </c>
      <c r="H936" s="6" t="str">
        <f>VLOOKUP(Tabla1[[#This Row],[Estado]],Tabla3[#All],2,0)</f>
        <v>Norte</v>
      </c>
    </row>
    <row r="937" spans="1:8" ht="15.75" customHeight="1" x14ac:dyDescent="0.25">
      <c r="A937" s="1">
        <v>200935</v>
      </c>
      <c r="B937" s="2">
        <v>45706</v>
      </c>
      <c r="C937" s="1">
        <v>4</v>
      </c>
      <c r="D937" s="1" t="s">
        <v>8</v>
      </c>
      <c r="E937" s="1">
        <v>1497</v>
      </c>
      <c r="F937" t="str">
        <f>VLOOKUP(Tabla1[[#This Row],[IDProducto]],producto!$A$1:$C$33,2,FALSE)</f>
        <v>Producto_4</v>
      </c>
      <c r="G937" t="str">
        <f>VLOOKUP(Tabla1[[#This Row],[IDProducto]],producto!$A$1:$C$33,3,FALSE)</f>
        <v>Deportes</v>
      </c>
      <c r="H937" s="6" t="str">
        <f>VLOOKUP(Tabla1[[#This Row],[Estado]],Tabla3[#All],2,0)</f>
        <v>Norte</v>
      </c>
    </row>
    <row r="938" spans="1:8" ht="15.75" customHeight="1" x14ac:dyDescent="0.25">
      <c r="A938" s="1">
        <v>200936</v>
      </c>
      <c r="B938" s="2">
        <v>45787</v>
      </c>
      <c r="C938" s="1">
        <v>30</v>
      </c>
      <c r="D938" s="1" t="s">
        <v>8</v>
      </c>
      <c r="E938" s="1">
        <v>154</v>
      </c>
      <c r="F938" t="str">
        <f>VLOOKUP(Tabla1[[#This Row],[IDProducto]],producto!$A$1:$C$33,2,FALSE)</f>
        <v>Producto_30</v>
      </c>
      <c r="G938" t="str">
        <f>VLOOKUP(Tabla1[[#This Row],[IDProducto]],producto!$A$1:$C$33,3,FALSE)</f>
        <v>Hogar</v>
      </c>
      <c r="H938" s="6" t="str">
        <f>VLOOKUP(Tabla1[[#This Row],[Estado]],Tabla3[#All],2,0)</f>
        <v>Norte</v>
      </c>
    </row>
    <row r="939" spans="1:8" ht="15.75" customHeight="1" x14ac:dyDescent="0.25">
      <c r="A939" s="1">
        <v>200937</v>
      </c>
      <c r="B939" s="2">
        <v>45685</v>
      </c>
      <c r="C939" s="1">
        <v>26</v>
      </c>
      <c r="D939" s="1" t="s">
        <v>11</v>
      </c>
      <c r="E939" s="1">
        <v>539</v>
      </c>
      <c r="F939" t="str">
        <f>VLOOKUP(Tabla1[[#This Row],[IDProducto]],producto!$A$1:$C$33,2,FALSE)</f>
        <v>Producto_26</v>
      </c>
      <c r="G939" t="str">
        <f>VLOOKUP(Tabla1[[#This Row],[IDProducto]],producto!$A$1:$C$33,3,FALSE)</f>
        <v>Hogar</v>
      </c>
      <c r="H939" s="6" t="str">
        <f>VLOOKUP(Tabla1[[#This Row],[Estado]],Tabla3[#All],2,0)</f>
        <v>Occidente</v>
      </c>
    </row>
    <row r="940" spans="1:8" ht="15.75" customHeight="1" x14ac:dyDescent="0.25">
      <c r="A940" s="1">
        <v>200938</v>
      </c>
      <c r="B940" s="2">
        <v>45775</v>
      </c>
      <c r="C940" s="1">
        <v>6</v>
      </c>
      <c r="D940" s="1" t="s">
        <v>6</v>
      </c>
      <c r="E940" s="1">
        <v>1640</v>
      </c>
      <c r="F940" t="str">
        <f>VLOOKUP(Tabla1[[#This Row],[IDProducto]],producto!$A$1:$C$33,2,FALSE)</f>
        <v>Producto_6</v>
      </c>
      <c r="G940" t="str">
        <f>VLOOKUP(Tabla1[[#This Row],[IDProducto]],producto!$A$1:$C$33,3,FALSE)</f>
        <v>Electrónica</v>
      </c>
      <c r="H940" s="6" t="str">
        <f>VLOOKUP(Tabla1[[#This Row],[Estado]],Tabla3[#All],2,0)</f>
        <v>Occidente</v>
      </c>
    </row>
    <row r="941" spans="1:8" ht="15.75" customHeight="1" x14ac:dyDescent="0.25">
      <c r="A941" s="1">
        <v>200939</v>
      </c>
      <c r="B941" s="2">
        <v>45833</v>
      </c>
      <c r="C941" s="1">
        <v>21</v>
      </c>
      <c r="D941" s="1" t="s">
        <v>5</v>
      </c>
      <c r="E941" s="1">
        <v>1175</v>
      </c>
      <c r="F941" t="str">
        <f>VLOOKUP(Tabla1[[#This Row],[IDProducto]],producto!$A$1:$C$33,2,FALSE)</f>
        <v>Producto_21</v>
      </c>
      <c r="G941" t="str">
        <f>VLOOKUP(Tabla1[[#This Row],[IDProducto]],producto!$A$1:$C$33,3,FALSE)</f>
        <v>Electrónica</v>
      </c>
      <c r="H941" s="6" t="str">
        <f>VLOOKUP(Tabla1[[#This Row],[Estado]],Tabla3[#All],2,0)</f>
        <v>Centro</v>
      </c>
    </row>
    <row r="942" spans="1:8" ht="15.75" customHeight="1" x14ac:dyDescent="0.25">
      <c r="A942" s="1">
        <v>200940</v>
      </c>
      <c r="B942" s="2">
        <v>45701</v>
      </c>
      <c r="C942" s="1">
        <v>13</v>
      </c>
      <c r="D942" s="1" t="s">
        <v>7</v>
      </c>
      <c r="E942" s="1">
        <v>446</v>
      </c>
      <c r="F942" t="str">
        <f>VLOOKUP(Tabla1[[#This Row],[IDProducto]],producto!$A$1:$C$33,2,FALSE)</f>
        <v>Producto_13</v>
      </c>
      <c r="G942" t="str">
        <f>VLOOKUP(Tabla1[[#This Row],[IDProducto]],producto!$A$1:$C$33,3,FALSE)</f>
        <v>Deportes</v>
      </c>
      <c r="H942" s="6" t="str">
        <f>VLOOKUP(Tabla1[[#This Row],[Estado]],Tabla3[#All],2,0)</f>
        <v>Norte</v>
      </c>
    </row>
    <row r="943" spans="1:8" ht="15.75" customHeight="1" x14ac:dyDescent="0.25">
      <c r="A943" s="1">
        <v>200941</v>
      </c>
      <c r="B943" s="2">
        <v>45720</v>
      </c>
      <c r="C943" s="1">
        <v>2</v>
      </c>
      <c r="D943" s="1" t="s">
        <v>5</v>
      </c>
      <c r="E943" s="1">
        <v>1623</v>
      </c>
      <c r="F943" t="str">
        <f>VLOOKUP(Tabla1[[#This Row],[IDProducto]],producto!$A$1:$C$33,2,FALSE)</f>
        <v>Producto_2</v>
      </c>
      <c r="G943" t="str">
        <f>VLOOKUP(Tabla1[[#This Row],[IDProducto]],producto!$A$1:$C$33,3,FALSE)</f>
        <v>Deportes</v>
      </c>
      <c r="H943" s="6" t="str">
        <f>VLOOKUP(Tabla1[[#This Row],[Estado]],Tabla3[#All],2,0)</f>
        <v>Centro</v>
      </c>
    </row>
    <row r="944" spans="1:8" ht="15.75" customHeight="1" x14ac:dyDescent="0.25">
      <c r="A944" s="1">
        <v>200942</v>
      </c>
      <c r="B944" s="2">
        <v>45706</v>
      </c>
      <c r="C944" s="1">
        <v>25</v>
      </c>
      <c r="D944" s="1" t="s">
        <v>8</v>
      </c>
      <c r="E944" s="1">
        <v>696</v>
      </c>
      <c r="F944" t="str">
        <f>VLOOKUP(Tabla1[[#This Row],[IDProducto]],producto!$A$1:$C$33,2,FALSE)</f>
        <v>Producto_25</v>
      </c>
      <c r="G944" t="str">
        <f>VLOOKUP(Tabla1[[#This Row],[IDProducto]],producto!$A$1:$C$33,3,FALSE)</f>
        <v>Electrónica</v>
      </c>
      <c r="H944" s="6" t="str">
        <f>VLOOKUP(Tabla1[[#This Row],[Estado]],Tabla3[#All],2,0)</f>
        <v>Norte</v>
      </c>
    </row>
    <row r="945" spans="1:8" ht="15.75" customHeight="1" x14ac:dyDescent="0.25">
      <c r="A945" s="1">
        <v>200943</v>
      </c>
      <c r="B945" s="2">
        <v>45687</v>
      </c>
      <c r="C945" s="1">
        <v>6</v>
      </c>
      <c r="D945" s="1" t="s">
        <v>8</v>
      </c>
      <c r="E945" s="1">
        <v>1482</v>
      </c>
      <c r="F945" t="str">
        <f>VLOOKUP(Tabla1[[#This Row],[IDProducto]],producto!$A$1:$C$33,2,FALSE)</f>
        <v>Producto_6</v>
      </c>
      <c r="G945" t="str">
        <f>VLOOKUP(Tabla1[[#This Row],[IDProducto]],producto!$A$1:$C$33,3,FALSE)</f>
        <v>Electrónica</v>
      </c>
      <c r="H945" s="6" t="str">
        <f>VLOOKUP(Tabla1[[#This Row],[Estado]],Tabla3[#All],2,0)</f>
        <v>Norte</v>
      </c>
    </row>
    <row r="946" spans="1:8" ht="15.75" customHeight="1" x14ac:dyDescent="0.25">
      <c r="A946" s="1">
        <v>200944</v>
      </c>
      <c r="B946" s="2">
        <v>45689</v>
      </c>
      <c r="C946" s="1">
        <v>11</v>
      </c>
      <c r="D946" s="1" t="s">
        <v>10</v>
      </c>
      <c r="E946" s="1">
        <v>1520</v>
      </c>
      <c r="F946" t="str">
        <f>VLOOKUP(Tabla1[[#This Row],[IDProducto]],producto!$A$1:$C$33,2,FALSE)</f>
        <v>Producto_11</v>
      </c>
      <c r="G946" t="str">
        <f>VLOOKUP(Tabla1[[#This Row],[IDProducto]],producto!$A$1:$C$33,3,FALSE)</f>
        <v>Ropa</v>
      </c>
      <c r="H946" s="6" t="str">
        <f>VLOOKUP(Tabla1[[#This Row],[Estado]],Tabla3[#All],2,0)</f>
        <v>Centro</v>
      </c>
    </row>
    <row r="947" spans="1:8" ht="15.75" customHeight="1" x14ac:dyDescent="0.25">
      <c r="A947" s="1">
        <v>200945</v>
      </c>
      <c r="B947" s="2">
        <v>45721</v>
      </c>
      <c r="C947" s="1">
        <v>27</v>
      </c>
      <c r="D947" s="1" t="s">
        <v>12</v>
      </c>
      <c r="E947" s="1">
        <v>383</v>
      </c>
      <c r="F947" t="str">
        <f>VLOOKUP(Tabla1[[#This Row],[IDProducto]],producto!$A$1:$C$33,2,FALSE)</f>
        <v>Producto_27</v>
      </c>
      <c r="G947" t="str">
        <f>VLOOKUP(Tabla1[[#This Row],[IDProducto]],producto!$A$1:$C$33,3,FALSE)</f>
        <v>Electrónica</v>
      </c>
      <c r="H947" s="6" t="str">
        <f>VLOOKUP(Tabla1[[#This Row],[Estado]],Tabla3[#All],2,0)</f>
        <v>Centro</v>
      </c>
    </row>
    <row r="948" spans="1:8" ht="15.75" customHeight="1" x14ac:dyDescent="0.25">
      <c r="A948" s="1">
        <v>200946</v>
      </c>
      <c r="B948" s="2">
        <v>45665</v>
      </c>
      <c r="C948" s="1">
        <v>5</v>
      </c>
      <c r="D948" s="1" t="s">
        <v>10</v>
      </c>
      <c r="E948" s="1">
        <v>1070</v>
      </c>
      <c r="F948" t="str">
        <f>VLOOKUP(Tabla1[[#This Row],[IDProducto]],producto!$A$1:$C$33,2,FALSE)</f>
        <v>Producto_5</v>
      </c>
      <c r="G948" t="str">
        <f>VLOOKUP(Tabla1[[#This Row],[IDProducto]],producto!$A$1:$C$33,3,FALSE)</f>
        <v>Hogar</v>
      </c>
      <c r="H948" s="6" t="str">
        <f>VLOOKUP(Tabla1[[#This Row],[Estado]],Tabla3[#All],2,0)</f>
        <v>Centro</v>
      </c>
    </row>
    <row r="949" spans="1:8" ht="15.75" customHeight="1" x14ac:dyDescent="0.25">
      <c r="A949" s="1">
        <v>200947</v>
      </c>
      <c r="B949" s="2">
        <v>45806</v>
      </c>
      <c r="C949" s="1">
        <v>6</v>
      </c>
      <c r="D949" s="1" t="s">
        <v>9</v>
      </c>
      <c r="E949" s="1">
        <v>1397</v>
      </c>
      <c r="F949" t="str">
        <f>VLOOKUP(Tabla1[[#This Row],[IDProducto]],producto!$A$1:$C$33,2,FALSE)</f>
        <v>Producto_6</v>
      </c>
      <c r="G949" t="str">
        <f>VLOOKUP(Tabla1[[#This Row],[IDProducto]],producto!$A$1:$C$33,3,FALSE)</f>
        <v>Electrónica</v>
      </c>
      <c r="H949" s="6" t="str">
        <f>VLOOKUP(Tabla1[[#This Row],[Estado]],Tabla3[#All],2,0)</f>
        <v>Sur</v>
      </c>
    </row>
    <row r="950" spans="1:8" ht="15.75" customHeight="1" x14ac:dyDescent="0.25">
      <c r="A950" s="1">
        <v>200948</v>
      </c>
      <c r="B950" s="2">
        <v>45798</v>
      </c>
      <c r="C950" s="1">
        <v>23</v>
      </c>
      <c r="D950" s="1" t="s">
        <v>5</v>
      </c>
      <c r="E950" s="1">
        <v>155</v>
      </c>
      <c r="F950" t="str">
        <f>VLOOKUP(Tabla1[[#This Row],[IDProducto]],producto!$A$1:$C$33,2,FALSE)</f>
        <v>Producto_23</v>
      </c>
      <c r="G950" t="str">
        <f>VLOOKUP(Tabla1[[#This Row],[IDProducto]],producto!$A$1:$C$33,3,FALSE)</f>
        <v>Deportes</v>
      </c>
      <c r="H950" s="6" t="str">
        <f>VLOOKUP(Tabla1[[#This Row],[Estado]],Tabla3[#All],2,0)</f>
        <v>Centro</v>
      </c>
    </row>
    <row r="951" spans="1:8" ht="15.75" customHeight="1" x14ac:dyDescent="0.25">
      <c r="A951" s="1">
        <v>200949</v>
      </c>
      <c r="B951" s="2">
        <v>45761</v>
      </c>
      <c r="C951" s="1">
        <v>15</v>
      </c>
      <c r="D951" s="1" t="s">
        <v>7</v>
      </c>
      <c r="E951" s="1">
        <v>754</v>
      </c>
      <c r="F951" t="str">
        <f>VLOOKUP(Tabla1[[#This Row],[IDProducto]],producto!$A$1:$C$33,2,FALSE)</f>
        <v>Producto_15</v>
      </c>
      <c r="G951" t="str">
        <f>VLOOKUP(Tabla1[[#This Row],[IDProducto]],producto!$A$1:$C$33,3,FALSE)</f>
        <v>Hogar</v>
      </c>
      <c r="H951" s="6" t="str">
        <f>VLOOKUP(Tabla1[[#This Row],[Estado]],Tabla3[#All],2,0)</f>
        <v>Norte</v>
      </c>
    </row>
    <row r="952" spans="1:8" ht="15.75" customHeight="1" x14ac:dyDescent="0.25">
      <c r="A952" s="1">
        <v>200950</v>
      </c>
      <c r="B952" s="2">
        <v>45723</v>
      </c>
      <c r="C952" s="1">
        <v>19</v>
      </c>
      <c r="D952" s="1" t="s">
        <v>6</v>
      </c>
      <c r="E952" s="1">
        <v>1942</v>
      </c>
      <c r="F952" t="str">
        <f>VLOOKUP(Tabla1[[#This Row],[IDProducto]],producto!$A$1:$C$33,2,FALSE)</f>
        <v>Producto_19</v>
      </c>
      <c r="G952" t="str">
        <f>VLOOKUP(Tabla1[[#This Row],[IDProducto]],producto!$A$1:$C$33,3,FALSE)</f>
        <v>Ropa</v>
      </c>
      <c r="H952" s="6" t="str">
        <f>VLOOKUP(Tabla1[[#This Row],[Estado]],Tabla3[#All],2,0)</f>
        <v>Occidente</v>
      </c>
    </row>
    <row r="953" spans="1:8" ht="15.75" customHeight="1" x14ac:dyDescent="0.25">
      <c r="A953" s="1">
        <v>200951</v>
      </c>
      <c r="B953" s="2">
        <v>45735</v>
      </c>
      <c r="C953" s="1">
        <v>15</v>
      </c>
      <c r="D953" s="1" t="s">
        <v>8</v>
      </c>
      <c r="E953" s="1">
        <v>1596</v>
      </c>
      <c r="F953" t="str">
        <f>VLOOKUP(Tabla1[[#This Row],[IDProducto]],producto!$A$1:$C$33,2,FALSE)</f>
        <v>Producto_15</v>
      </c>
      <c r="G953" t="str">
        <f>VLOOKUP(Tabla1[[#This Row],[IDProducto]],producto!$A$1:$C$33,3,FALSE)</f>
        <v>Hogar</v>
      </c>
      <c r="H953" s="6" t="str">
        <f>VLOOKUP(Tabla1[[#This Row],[Estado]],Tabla3[#All],2,0)</f>
        <v>Norte</v>
      </c>
    </row>
    <row r="954" spans="1:8" ht="15.75" customHeight="1" x14ac:dyDescent="0.25">
      <c r="A954" s="1">
        <v>200952</v>
      </c>
      <c r="B954" s="2">
        <v>45732</v>
      </c>
      <c r="C954" s="1">
        <v>2</v>
      </c>
      <c r="D954" s="1" t="s">
        <v>11</v>
      </c>
      <c r="E954" s="1">
        <v>1963</v>
      </c>
      <c r="F954" t="str">
        <f>VLOOKUP(Tabla1[[#This Row],[IDProducto]],producto!$A$1:$C$33,2,FALSE)</f>
        <v>Producto_2</v>
      </c>
      <c r="G954" t="str">
        <f>VLOOKUP(Tabla1[[#This Row],[IDProducto]],producto!$A$1:$C$33,3,FALSE)</f>
        <v>Deportes</v>
      </c>
      <c r="H954" s="6" t="str">
        <f>VLOOKUP(Tabla1[[#This Row],[Estado]],Tabla3[#All],2,0)</f>
        <v>Occidente</v>
      </c>
    </row>
    <row r="955" spans="1:8" ht="15.75" customHeight="1" x14ac:dyDescent="0.25">
      <c r="A955" s="1">
        <v>200953</v>
      </c>
      <c r="B955" s="2">
        <v>45749</v>
      </c>
      <c r="C955" s="1">
        <v>32</v>
      </c>
      <c r="D955" s="1" t="s">
        <v>7</v>
      </c>
      <c r="E955" s="1">
        <v>279</v>
      </c>
      <c r="F955" t="str">
        <f>VLOOKUP(Tabla1[[#This Row],[IDProducto]],producto!$A$1:$C$33,2,FALSE)</f>
        <v>Producto_32</v>
      </c>
      <c r="G955" t="str">
        <f>VLOOKUP(Tabla1[[#This Row],[IDProducto]],producto!$A$1:$C$33,3,FALSE)</f>
        <v>Hogar</v>
      </c>
      <c r="H955" s="6" t="str">
        <f>VLOOKUP(Tabla1[[#This Row],[Estado]],Tabla3[#All],2,0)</f>
        <v>Norte</v>
      </c>
    </row>
    <row r="956" spans="1:8" ht="15.75" customHeight="1" x14ac:dyDescent="0.25">
      <c r="A956" s="1">
        <v>200954</v>
      </c>
      <c r="B956" s="2">
        <v>45716</v>
      </c>
      <c r="C956" s="1">
        <v>13</v>
      </c>
      <c r="D956" s="1" t="s">
        <v>8</v>
      </c>
      <c r="E956" s="1">
        <v>1646</v>
      </c>
      <c r="F956" t="str">
        <f>VLOOKUP(Tabla1[[#This Row],[IDProducto]],producto!$A$1:$C$33,2,FALSE)</f>
        <v>Producto_13</v>
      </c>
      <c r="G956" t="str">
        <f>VLOOKUP(Tabla1[[#This Row],[IDProducto]],producto!$A$1:$C$33,3,FALSE)</f>
        <v>Deportes</v>
      </c>
      <c r="H956" s="6" t="str">
        <f>VLOOKUP(Tabla1[[#This Row],[Estado]],Tabla3[#All],2,0)</f>
        <v>Norte</v>
      </c>
    </row>
    <row r="957" spans="1:8" ht="15.75" customHeight="1" x14ac:dyDescent="0.25">
      <c r="A957" s="1">
        <v>200955</v>
      </c>
      <c r="B957" s="2">
        <v>45821</v>
      </c>
      <c r="C957" s="1">
        <v>7</v>
      </c>
      <c r="D957" s="1" t="s">
        <v>6</v>
      </c>
      <c r="E957" s="1">
        <v>1327</v>
      </c>
      <c r="F957" t="str">
        <f>VLOOKUP(Tabla1[[#This Row],[IDProducto]],producto!$A$1:$C$33,2,FALSE)</f>
        <v>Producto_7</v>
      </c>
      <c r="G957" t="str">
        <f>VLOOKUP(Tabla1[[#This Row],[IDProducto]],producto!$A$1:$C$33,3,FALSE)</f>
        <v>Ropa</v>
      </c>
      <c r="H957" s="6" t="str">
        <f>VLOOKUP(Tabla1[[#This Row],[Estado]],Tabla3[#All],2,0)</f>
        <v>Occidente</v>
      </c>
    </row>
    <row r="958" spans="1:8" ht="15.75" customHeight="1" x14ac:dyDescent="0.25">
      <c r="A958" s="1">
        <v>200956</v>
      </c>
      <c r="B958" s="2">
        <v>45770</v>
      </c>
      <c r="C958" s="1">
        <v>9</v>
      </c>
      <c r="D958" s="1" t="s">
        <v>7</v>
      </c>
      <c r="E958" s="1">
        <v>545</v>
      </c>
      <c r="F958" t="str">
        <f>VLOOKUP(Tabla1[[#This Row],[IDProducto]],producto!$A$1:$C$33,2,FALSE)</f>
        <v>Producto_9</v>
      </c>
      <c r="G958" t="str">
        <f>VLOOKUP(Tabla1[[#This Row],[IDProducto]],producto!$A$1:$C$33,3,FALSE)</f>
        <v>Electrónica</v>
      </c>
      <c r="H958" s="6" t="str">
        <f>VLOOKUP(Tabla1[[#This Row],[Estado]],Tabla3[#All],2,0)</f>
        <v>Norte</v>
      </c>
    </row>
    <row r="959" spans="1:8" ht="15.75" customHeight="1" x14ac:dyDescent="0.25">
      <c r="A959" s="1">
        <v>200957</v>
      </c>
      <c r="B959" s="2">
        <v>45672</v>
      </c>
      <c r="C959" s="1">
        <v>30</v>
      </c>
      <c r="D959" s="1" t="s">
        <v>7</v>
      </c>
      <c r="E959" s="1">
        <v>1307</v>
      </c>
      <c r="F959" t="str">
        <f>VLOOKUP(Tabla1[[#This Row],[IDProducto]],producto!$A$1:$C$33,2,FALSE)</f>
        <v>Producto_30</v>
      </c>
      <c r="G959" t="str">
        <f>VLOOKUP(Tabla1[[#This Row],[IDProducto]],producto!$A$1:$C$33,3,FALSE)</f>
        <v>Hogar</v>
      </c>
      <c r="H959" s="6" t="str">
        <f>VLOOKUP(Tabla1[[#This Row],[Estado]],Tabla3[#All],2,0)</f>
        <v>Norte</v>
      </c>
    </row>
    <row r="960" spans="1:8" ht="15.75" customHeight="1" x14ac:dyDescent="0.25">
      <c r="A960" s="1">
        <v>200958</v>
      </c>
      <c r="B960" s="2">
        <v>45664</v>
      </c>
      <c r="C960" s="1">
        <v>12</v>
      </c>
      <c r="D960" s="1" t="s">
        <v>5</v>
      </c>
      <c r="E960" s="1">
        <v>1726</v>
      </c>
      <c r="F960" t="str">
        <f>VLOOKUP(Tabla1[[#This Row],[IDProducto]],producto!$A$1:$C$33,2,FALSE)</f>
        <v>Producto_12</v>
      </c>
      <c r="G960" t="str">
        <f>VLOOKUP(Tabla1[[#This Row],[IDProducto]],producto!$A$1:$C$33,3,FALSE)</f>
        <v>Hogar</v>
      </c>
      <c r="H960" s="6" t="str">
        <f>VLOOKUP(Tabla1[[#This Row],[Estado]],Tabla3[#All],2,0)</f>
        <v>Centro</v>
      </c>
    </row>
    <row r="961" spans="1:8" ht="15.75" customHeight="1" x14ac:dyDescent="0.25">
      <c r="A961" s="1">
        <v>200959</v>
      </c>
      <c r="B961" s="2">
        <v>45760</v>
      </c>
      <c r="C961" s="1">
        <v>25</v>
      </c>
      <c r="D961" s="1" t="s">
        <v>9</v>
      </c>
      <c r="E961" s="1">
        <v>1769</v>
      </c>
      <c r="F961" t="str">
        <f>VLOOKUP(Tabla1[[#This Row],[IDProducto]],producto!$A$1:$C$33,2,FALSE)</f>
        <v>Producto_25</v>
      </c>
      <c r="G961" t="str">
        <f>VLOOKUP(Tabla1[[#This Row],[IDProducto]],producto!$A$1:$C$33,3,FALSE)</f>
        <v>Electrónica</v>
      </c>
      <c r="H961" s="6" t="str">
        <f>VLOOKUP(Tabla1[[#This Row],[Estado]],Tabla3[#All],2,0)</f>
        <v>Sur</v>
      </c>
    </row>
    <row r="962" spans="1:8" ht="15.75" customHeight="1" x14ac:dyDescent="0.25">
      <c r="A962" s="1">
        <v>200960</v>
      </c>
      <c r="B962" s="2">
        <v>45764</v>
      </c>
      <c r="C962" s="1">
        <v>25</v>
      </c>
      <c r="D962" s="1" t="s">
        <v>5</v>
      </c>
      <c r="E962" s="1">
        <v>1219</v>
      </c>
      <c r="F962" t="str">
        <f>VLOOKUP(Tabla1[[#This Row],[IDProducto]],producto!$A$1:$C$33,2,FALSE)</f>
        <v>Producto_25</v>
      </c>
      <c r="G962" t="str">
        <f>VLOOKUP(Tabla1[[#This Row],[IDProducto]],producto!$A$1:$C$33,3,FALSE)</f>
        <v>Electrónica</v>
      </c>
      <c r="H962" s="6" t="str">
        <f>VLOOKUP(Tabla1[[#This Row],[Estado]],Tabla3[#All],2,0)</f>
        <v>Centro</v>
      </c>
    </row>
    <row r="963" spans="1:8" ht="15.75" customHeight="1" x14ac:dyDescent="0.25">
      <c r="A963" s="1">
        <v>200961</v>
      </c>
      <c r="B963" s="2">
        <v>45673</v>
      </c>
      <c r="C963" s="1">
        <v>14</v>
      </c>
      <c r="D963" s="1" t="s">
        <v>7</v>
      </c>
      <c r="E963" s="1">
        <v>1636</v>
      </c>
      <c r="F963" t="str">
        <f>VLOOKUP(Tabla1[[#This Row],[IDProducto]],producto!$A$1:$C$33,2,FALSE)</f>
        <v>Producto_14</v>
      </c>
      <c r="G963" t="str">
        <f>VLOOKUP(Tabla1[[#This Row],[IDProducto]],producto!$A$1:$C$33,3,FALSE)</f>
        <v>Hogar</v>
      </c>
      <c r="H963" s="6" t="str">
        <f>VLOOKUP(Tabla1[[#This Row],[Estado]],Tabla3[#All],2,0)</f>
        <v>Norte</v>
      </c>
    </row>
    <row r="964" spans="1:8" ht="15.75" customHeight="1" x14ac:dyDescent="0.25">
      <c r="A964" s="1">
        <v>200962</v>
      </c>
      <c r="B964" s="2">
        <v>45726</v>
      </c>
      <c r="C964" s="1">
        <v>26</v>
      </c>
      <c r="D964" s="1" t="s">
        <v>5</v>
      </c>
      <c r="E964" s="1">
        <v>496</v>
      </c>
      <c r="F964" t="str">
        <f>VLOOKUP(Tabla1[[#This Row],[IDProducto]],producto!$A$1:$C$33,2,FALSE)</f>
        <v>Producto_26</v>
      </c>
      <c r="G964" t="str">
        <f>VLOOKUP(Tabla1[[#This Row],[IDProducto]],producto!$A$1:$C$33,3,FALSE)</f>
        <v>Hogar</v>
      </c>
      <c r="H964" s="6" t="str">
        <f>VLOOKUP(Tabla1[[#This Row],[Estado]],Tabla3[#All],2,0)</f>
        <v>Centro</v>
      </c>
    </row>
    <row r="965" spans="1:8" ht="15.75" customHeight="1" x14ac:dyDescent="0.25">
      <c r="A965" s="1">
        <v>200963</v>
      </c>
      <c r="B965" s="2">
        <v>45805</v>
      </c>
      <c r="C965" s="1">
        <v>4</v>
      </c>
      <c r="D965" s="1" t="s">
        <v>12</v>
      </c>
      <c r="E965" s="1">
        <v>1300</v>
      </c>
      <c r="F965" t="str">
        <f>VLOOKUP(Tabla1[[#This Row],[IDProducto]],producto!$A$1:$C$33,2,FALSE)</f>
        <v>Producto_4</v>
      </c>
      <c r="G965" t="str">
        <f>VLOOKUP(Tabla1[[#This Row],[IDProducto]],producto!$A$1:$C$33,3,FALSE)</f>
        <v>Deportes</v>
      </c>
      <c r="H965" s="6" t="str">
        <f>VLOOKUP(Tabla1[[#This Row],[Estado]],Tabla3[#All],2,0)</f>
        <v>Centro</v>
      </c>
    </row>
    <row r="966" spans="1:8" ht="15.75" customHeight="1" x14ac:dyDescent="0.25">
      <c r="A966" s="1">
        <v>200964</v>
      </c>
      <c r="B966" s="2">
        <v>45771</v>
      </c>
      <c r="C966" s="1">
        <v>27</v>
      </c>
      <c r="D966" s="1" t="s">
        <v>11</v>
      </c>
      <c r="E966" s="1">
        <v>1644</v>
      </c>
      <c r="F966" t="str">
        <f>VLOOKUP(Tabla1[[#This Row],[IDProducto]],producto!$A$1:$C$33,2,FALSE)</f>
        <v>Producto_27</v>
      </c>
      <c r="G966" t="str">
        <f>VLOOKUP(Tabla1[[#This Row],[IDProducto]],producto!$A$1:$C$33,3,FALSE)</f>
        <v>Electrónica</v>
      </c>
      <c r="H966" s="6" t="str">
        <f>VLOOKUP(Tabla1[[#This Row],[Estado]],Tabla3[#All],2,0)</f>
        <v>Occidente</v>
      </c>
    </row>
    <row r="967" spans="1:8" ht="15.75" customHeight="1" x14ac:dyDescent="0.25">
      <c r="A967" s="1">
        <v>200965</v>
      </c>
      <c r="B967" s="2">
        <v>45665</v>
      </c>
      <c r="C967" s="1">
        <v>4</v>
      </c>
      <c r="D967" s="1" t="s">
        <v>11</v>
      </c>
      <c r="E967" s="1">
        <v>1714</v>
      </c>
      <c r="F967" t="str">
        <f>VLOOKUP(Tabla1[[#This Row],[IDProducto]],producto!$A$1:$C$33,2,FALSE)</f>
        <v>Producto_4</v>
      </c>
      <c r="G967" t="str">
        <f>VLOOKUP(Tabla1[[#This Row],[IDProducto]],producto!$A$1:$C$33,3,FALSE)</f>
        <v>Deportes</v>
      </c>
      <c r="H967" s="6" t="str">
        <f>VLOOKUP(Tabla1[[#This Row],[Estado]],Tabla3[#All],2,0)</f>
        <v>Occidente</v>
      </c>
    </row>
    <row r="968" spans="1:8" ht="15.75" customHeight="1" x14ac:dyDescent="0.25">
      <c r="A968" s="1">
        <v>200966</v>
      </c>
      <c r="B968" s="2">
        <v>45738</v>
      </c>
      <c r="C968" s="1">
        <v>4</v>
      </c>
      <c r="D968" s="1" t="s">
        <v>12</v>
      </c>
      <c r="E968" s="1">
        <v>725</v>
      </c>
      <c r="F968" t="str">
        <f>VLOOKUP(Tabla1[[#This Row],[IDProducto]],producto!$A$1:$C$33,2,FALSE)</f>
        <v>Producto_4</v>
      </c>
      <c r="G968" t="str">
        <f>VLOOKUP(Tabla1[[#This Row],[IDProducto]],producto!$A$1:$C$33,3,FALSE)</f>
        <v>Deportes</v>
      </c>
      <c r="H968" s="6" t="str">
        <f>VLOOKUP(Tabla1[[#This Row],[Estado]],Tabla3[#All],2,0)</f>
        <v>Centro</v>
      </c>
    </row>
    <row r="969" spans="1:8" ht="15.75" customHeight="1" x14ac:dyDescent="0.25">
      <c r="A969" s="1">
        <v>200967</v>
      </c>
      <c r="B969" s="2">
        <v>45658</v>
      </c>
      <c r="C969" s="1">
        <v>3</v>
      </c>
      <c r="D969" s="1" t="s">
        <v>12</v>
      </c>
      <c r="E969" s="1">
        <v>914</v>
      </c>
      <c r="F969" t="str">
        <f>VLOOKUP(Tabla1[[#This Row],[IDProducto]],producto!$A$1:$C$33,2,FALSE)</f>
        <v>Producto_3</v>
      </c>
      <c r="G969" t="str">
        <f>VLOOKUP(Tabla1[[#This Row],[IDProducto]],producto!$A$1:$C$33,3,FALSE)</f>
        <v>Deportes</v>
      </c>
      <c r="H969" s="6" t="str">
        <f>VLOOKUP(Tabla1[[#This Row],[Estado]],Tabla3[#All],2,0)</f>
        <v>Centro</v>
      </c>
    </row>
    <row r="970" spans="1:8" ht="15.75" customHeight="1" x14ac:dyDescent="0.25">
      <c r="A970" s="1">
        <v>200968</v>
      </c>
      <c r="B970" s="2">
        <v>45818</v>
      </c>
      <c r="C970" s="1">
        <v>8</v>
      </c>
      <c r="D970" s="1" t="s">
        <v>6</v>
      </c>
      <c r="E970" s="1">
        <v>381</v>
      </c>
      <c r="F970" t="str">
        <f>VLOOKUP(Tabla1[[#This Row],[IDProducto]],producto!$A$1:$C$33,2,FALSE)</f>
        <v>Producto_8</v>
      </c>
      <c r="G970" t="str">
        <f>VLOOKUP(Tabla1[[#This Row],[IDProducto]],producto!$A$1:$C$33,3,FALSE)</f>
        <v>Electrónica</v>
      </c>
      <c r="H970" s="6" t="str">
        <f>VLOOKUP(Tabla1[[#This Row],[Estado]],Tabla3[#All],2,0)</f>
        <v>Occidente</v>
      </c>
    </row>
    <row r="971" spans="1:8" ht="15.75" customHeight="1" x14ac:dyDescent="0.25">
      <c r="A971" s="1">
        <v>200969</v>
      </c>
      <c r="B971" s="2">
        <v>45672</v>
      </c>
      <c r="C971" s="1">
        <v>24</v>
      </c>
      <c r="D971" s="1" t="s">
        <v>10</v>
      </c>
      <c r="E971" s="1">
        <v>139</v>
      </c>
      <c r="F971" t="str">
        <f>VLOOKUP(Tabla1[[#This Row],[IDProducto]],producto!$A$1:$C$33,2,FALSE)</f>
        <v>Producto_24</v>
      </c>
      <c r="G971" t="str">
        <f>VLOOKUP(Tabla1[[#This Row],[IDProducto]],producto!$A$1:$C$33,3,FALSE)</f>
        <v>Ropa</v>
      </c>
      <c r="H971" s="6" t="str">
        <f>VLOOKUP(Tabla1[[#This Row],[Estado]],Tabla3[#All],2,0)</f>
        <v>Centro</v>
      </c>
    </row>
    <row r="972" spans="1:8" ht="15.75" customHeight="1" x14ac:dyDescent="0.25">
      <c r="A972" s="1">
        <v>200970</v>
      </c>
      <c r="B972" s="2">
        <v>45745</v>
      </c>
      <c r="C972" s="1">
        <v>20</v>
      </c>
      <c r="D972" s="1" t="s">
        <v>5</v>
      </c>
      <c r="E972" s="1">
        <v>544</v>
      </c>
      <c r="F972" t="str">
        <f>VLOOKUP(Tabla1[[#This Row],[IDProducto]],producto!$A$1:$C$33,2,FALSE)</f>
        <v>Producto_20</v>
      </c>
      <c r="G972" t="str">
        <f>VLOOKUP(Tabla1[[#This Row],[IDProducto]],producto!$A$1:$C$33,3,FALSE)</f>
        <v>Deportes</v>
      </c>
      <c r="H972" s="6" t="str">
        <f>VLOOKUP(Tabla1[[#This Row],[Estado]],Tabla3[#All],2,0)</f>
        <v>Centro</v>
      </c>
    </row>
    <row r="973" spans="1:8" ht="15.75" customHeight="1" x14ac:dyDescent="0.25">
      <c r="A973" s="1">
        <v>200971</v>
      </c>
      <c r="B973" s="2">
        <v>45830</v>
      </c>
      <c r="C973" s="1">
        <v>26</v>
      </c>
      <c r="D973" s="1" t="s">
        <v>12</v>
      </c>
      <c r="E973" s="1">
        <v>1995</v>
      </c>
      <c r="F973" t="str">
        <f>VLOOKUP(Tabla1[[#This Row],[IDProducto]],producto!$A$1:$C$33,2,FALSE)</f>
        <v>Producto_26</v>
      </c>
      <c r="G973" t="str">
        <f>VLOOKUP(Tabla1[[#This Row],[IDProducto]],producto!$A$1:$C$33,3,FALSE)</f>
        <v>Hogar</v>
      </c>
      <c r="H973" s="6" t="str">
        <f>VLOOKUP(Tabla1[[#This Row],[Estado]],Tabla3[#All],2,0)</f>
        <v>Centro</v>
      </c>
    </row>
    <row r="974" spans="1:8" ht="15.75" customHeight="1" x14ac:dyDescent="0.25">
      <c r="A974" s="1">
        <v>200972</v>
      </c>
      <c r="B974" s="2">
        <v>45709</v>
      </c>
      <c r="C974" s="1">
        <v>8</v>
      </c>
      <c r="D974" s="1" t="s">
        <v>5</v>
      </c>
      <c r="E974" s="1">
        <v>274</v>
      </c>
      <c r="F974" t="str">
        <f>VLOOKUP(Tabla1[[#This Row],[IDProducto]],producto!$A$1:$C$33,2,FALSE)</f>
        <v>Producto_8</v>
      </c>
      <c r="G974" t="str">
        <f>VLOOKUP(Tabla1[[#This Row],[IDProducto]],producto!$A$1:$C$33,3,FALSE)</f>
        <v>Electrónica</v>
      </c>
      <c r="H974" s="6" t="str">
        <f>VLOOKUP(Tabla1[[#This Row],[Estado]],Tabla3[#All],2,0)</f>
        <v>Centro</v>
      </c>
    </row>
    <row r="975" spans="1:8" ht="15.75" customHeight="1" x14ac:dyDescent="0.25">
      <c r="A975" s="1">
        <v>200973</v>
      </c>
      <c r="B975" s="2">
        <v>45774</v>
      </c>
      <c r="C975" s="1">
        <v>5</v>
      </c>
      <c r="D975" s="1" t="s">
        <v>10</v>
      </c>
      <c r="E975" s="1">
        <v>985</v>
      </c>
      <c r="F975" t="str">
        <f>VLOOKUP(Tabla1[[#This Row],[IDProducto]],producto!$A$1:$C$33,2,FALSE)</f>
        <v>Producto_5</v>
      </c>
      <c r="G975" t="str">
        <f>VLOOKUP(Tabla1[[#This Row],[IDProducto]],producto!$A$1:$C$33,3,FALSE)</f>
        <v>Hogar</v>
      </c>
      <c r="H975" s="6" t="str">
        <f>VLOOKUP(Tabla1[[#This Row],[Estado]],Tabla3[#All],2,0)</f>
        <v>Centro</v>
      </c>
    </row>
    <row r="976" spans="1:8" ht="15.75" customHeight="1" x14ac:dyDescent="0.25">
      <c r="A976" s="1">
        <v>200974</v>
      </c>
      <c r="B976" s="2">
        <v>45713</v>
      </c>
      <c r="C976" s="1">
        <v>8</v>
      </c>
      <c r="D976" s="1" t="s">
        <v>6</v>
      </c>
      <c r="E976" s="1">
        <v>1371</v>
      </c>
      <c r="F976" t="str">
        <f>VLOOKUP(Tabla1[[#This Row],[IDProducto]],producto!$A$1:$C$33,2,FALSE)</f>
        <v>Producto_8</v>
      </c>
      <c r="G976" t="str">
        <f>VLOOKUP(Tabla1[[#This Row],[IDProducto]],producto!$A$1:$C$33,3,FALSE)</f>
        <v>Electrónica</v>
      </c>
      <c r="H976" s="6" t="str">
        <f>VLOOKUP(Tabla1[[#This Row],[Estado]],Tabla3[#All],2,0)</f>
        <v>Occidente</v>
      </c>
    </row>
    <row r="977" spans="1:8" ht="15.75" customHeight="1" x14ac:dyDescent="0.25">
      <c r="A977" s="1">
        <v>200975</v>
      </c>
      <c r="B977" s="2">
        <v>45745</v>
      </c>
      <c r="C977" s="1">
        <v>26</v>
      </c>
      <c r="D977" s="1" t="s">
        <v>6</v>
      </c>
      <c r="E977" s="1">
        <v>336</v>
      </c>
      <c r="F977" t="str">
        <f>VLOOKUP(Tabla1[[#This Row],[IDProducto]],producto!$A$1:$C$33,2,FALSE)</f>
        <v>Producto_26</v>
      </c>
      <c r="G977" t="str">
        <f>VLOOKUP(Tabla1[[#This Row],[IDProducto]],producto!$A$1:$C$33,3,FALSE)</f>
        <v>Hogar</v>
      </c>
      <c r="H977" s="6" t="str">
        <f>VLOOKUP(Tabla1[[#This Row],[Estado]],Tabla3[#All],2,0)</f>
        <v>Occidente</v>
      </c>
    </row>
    <row r="978" spans="1:8" ht="15.75" customHeight="1" x14ac:dyDescent="0.25">
      <c r="A978" s="1">
        <v>200976</v>
      </c>
      <c r="B978" s="2">
        <v>45709</v>
      </c>
      <c r="C978" s="1">
        <v>15</v>
      </c>
      <c r="D978" s="1" t="s">
        <v>6</v>
      </c>
      <c r="E978" s="1">
        <v>601</v>
      </c>
      <c r="F978" t="str">
        <f>VLOOKUP(Tabla1[[#This Row],[IDProducto]],producto!$A$1:$C$33,2,FALSE)</f>
        <v>Producto_15</v>
      </c>
      <c r="G978" t="str">
        <f>VLOOKUP(Tabla1[[#This Row],[IDProducto]],producto!$A$1:$C$33,3,FALSE)</f>
        <v>Hogar</v>
      </c>
      <c r="H978" s="6" t="str">
        <f>VLOOKUP(Tabla1[[#This Row],[Estado]],Tabla3[#All],2,0)</f>
        <v>Occidente</v>
      </c>
    </row>
    <row r="979" spans="1:8" ht="15.75" customHeight="1" x14ac:dyDescent="0.25">
      <c r="A979" s="1">
        <v>200977</v>
      </c>
      <c r="B979" s="2">
        <v>45837</v>
      </c>
      <c r="C979" s="1">
        <v>32</v>
      </c>
      <c r="D979" s="1" t="s">
        <v>7</v>
      </c>
      <c r="E979" s="1">
        <v>724</v>
      </c>
      <c r="F979" t="str">
        <f>VLOOKUP(Tabla1[[#This Row],[IDProducto]],producto!$A$1:$C$33,2,FALSE)</f>
        <v>Producto_32</v>
      </c>
      <c r="G979" t="str">
        <f>VLOOKUP(Tabla1[[#This Row],[IDProducto]],producto!$A$1:$C$33,3,FALSE)</f>
        <v>Hogar</v>
      </c>
      <c r="H979" s="6" t="str">
        <f>VLOOKUP(Tabla1[[#This Row],[Estado]],Tabla3[#All],2,0)</f>
        <v>Norte</v>
      </c>
    </row>
    <row r="980" spans="1:8" ht="15.75" customHeight="1" x14ac:dyDescent="0.25">
      <c r="A980" s="1">
        <v>200978</v>
      </c>
      <c r="B980" s="2">
        <v>45836</v>
      </c>
      <c r="C980" s="1">
        <v>32</v>
      </c>
      <c r="D980" s="1" t="s">
        <v>9</v>
      </c>
      <c r="E980" s="1">
        <v>392</v>
      </c>
      <c r="F980" t="str">
        <f>VLOOKUP(Tabla1[[#This Row],[IDProducto]],producto!$A$1:$C$33,2,FALSE)</f>
        <v>Producto_32</v>
      </c>
      <c r="G980" t="str">
        <f>VLOOKUP(Tabla1[[#This Row],[IDProducto]],producto!$A$1:$C$33,3,FALSE)</f>
        <v>Hogar</v>
      </c>
      <c r="H980" s="6" t="str">
        <f>VLOOKUP(Tabla1[[#This Row],[Estado]],Tabla3[#All],2,0)</f>
        <v>Sur</v>
      </c>
    </row>
    <row r="981" spans="1:8" ht="15.75" customHeight="1" x14ac:dyDescent="0.25">
      <c r="A981" s="1">
        <v>200979</v>
      </c>
      <c r="B981" s="2">
        <v>45712</v>
      </c>
      <c r="C981" s="1">
        <v>28</v>
      </c>
      <c r="D981" s="1" t="s">
        <v>11</v>
      </c>
      <c r="E981" s="1">
        <v>156</v>
      </c>
      <c r="F981" t="str">
        <f>VLOOKUP(Tabla1[[#This Row],[IDProducto]],producto!$A$1:$C$33,2,FALSE)</f>
        <v>Producto_28</v>
      </c>
      <c r="G981" t="str">
        <f>VLOOKUP(Tabla1[[#This Row],[IDProducto]],producto!$A$1:$C$33,3,FALSE)</f>
        <v>Hogar</v>
      </c>
      <c r="H981" s="6" t="str">
        <f>VLOOKUP(Tabla1[[#This Row],[Estado]],Tabla3[#All],2,0)</f>
        <v>Occidente</v>
      </c>
    </row>
    <row r="982" spans="1:8" ht="15.75" customHeight="1" x14ac:dyDescent="0.25">
      <c r="A982" s="1">
        <v>200980</v>
      </c>
      <c r="B982" s="2">
        <v>45751</v>
      </c>
      <c r="C982" s="1">
        <v>9</v>
      </c>
      <c r="D982" s="1" t="s">
        <v>10</v>
      </c>
      <c r="E982" s="1">
        <v>1432</v>
      </c>
      <c r="F982" t="str">
        <f>VLOOKUP(Tabla1[[#This Row],[IDProducto]],producto!$A$1:$C$33,2,FALSE)</f>
        <v>Producto_9</v>
      </c>
      <c r="G982" t="str">
        <f>VLOOKUP(Tabla1[[#This Row],[IDProducto]],producto!$A$1:$C$33,3,FALSE)</f>
        <v>Electrónica</v>
      </c>
      <c r="H982" s="6" t="str">
        <f>VLOOKUP(Tabla1[[#This Row],[Estado]],Tabla3[#All],2,0)</f>
        <v>Centro</v>
      </c>
    </row>
    <row r="983" spans="1:8" ht="15.75" customHeight="1" x14ac:dyDescent="0.25">
      <c r="A983" s="1">
        <v>200981</v>
      </c>
      <c r="B983" s="2">
        <v>45833</v>
      </c>
      <c r="C983" s="1">
        <v>12</v>
      </c>
      <c r="D983" s="1" t="s">
        <v>8</v>
      </c>
      <c r="E983" s="1">
        <v>1910</v>
      </c>
      <c r="F983" t="str">
        <f>VLOOKUP(Tabla1[[#This Row],[IDProducto]],producto!$A$1:$C$33,2,FALSE)</f>
        <v>Producto_12</v>
      </c>
      <c r="G983" t="str">
        <f>VLOOKUP(Tabla1[[#This Row],[IDProducto]],producto!$A$1:$C$33,3,FALSE)</f>
        <v>Hogar</v>
      </c>
      <c r="H983" s="6" t="str">
        <f>VLOOKUP(Tabla1[[#This Row],[Estado]],Tabla3[#All],2,0)</f>
        <v>Norte</v>
      </c>
    </row>
    <row r="984" spans="1:8" ht="15.75" customHeight="1" x14ac:dyDescent="0.25">
      <c r="A984" s="1">
        <v>200982</v>
      </c>
      <c r="B984" s="2">
        <v>45759</v>
      </c>
      <c r="C984" s="1">
        <v>6</v>
      </c>
      <c r="D984" s="1" t="s">
        <v>8</v>
      </c>
      <c r="E984" s="1">
        <v>677</v>
      </c>
      <c r="F984" t="str">
        <f>VLOOKUP(Tabla1[[#This Row],[IDProducto]],producto!$A$1:$C$33,2,FALSE)</f>
        <v>Producto_6</v>
      </c>
      <c r="G984" t="str">
        <f>VLOOKUP(Tabla1[[#This Row],[IDProducto]],producto!$A$1:$C$33,3,FALSE)</f>
        <v>Electrónica</v>
      </c>
      <c r="H984" s="6" t="str">
        <f>VLOOKUP(Tabla1[[#This Row],[Estado]],Tabla3[#All],2,0)</f>
        <v>Norte</v>
      </c>
    </row>
    <row r="985" spans="1:8" ht="15.75" customHeight="1" x14ac:dyDescent="0.25">
      <c r="A985" s="1">
        <v>200983</v>
      </c>
      <c r="B985" s="2">
        <v>45725</v>
      </c>
      <c r="C985" s="1">
        <v>29</v>
      </c>
      <c r="D985" s="1" t="s">
        <v>12</v>
      </c>
      <c r="E985" s="1">
        <v>334</v>
      </c>
      <c r="F985" t="str">
        <f>VLOOKUP(Tabla1[[#This Row],[IDProducto]],producto!$A$1:$C$33,2,FALSE)</f>
        <v>Producto_29</v>
      </c>
      <c r="G985" t="str">
        <f>VLOOKUP(Tabla1[[#This Row],[IDProducto]],producto!$A$1:$C$33,3,FALSE)</f>
        <v>Electrónica</v>
      </c>
      <c r="H985" s="6" t="str">
        <f>VLOOKUP(Tabla1[[#This Row],[Estado]],Tabla3[#All],2,0)</f>
        <v>Centro</v>
      </c>
    </row>
    <row r="986" spans="1:8" ht="15.75" customHeight="1" x14ac:dyDescent="0.25">
      <c r="A986" s="1">
        <v>200984</v>
      </c>
      <c r="B986" s="2">
        <v>45705</v>
      </c>
      <c r="C986" s="1">
        <v>20</v>
      </c>
      <c r="D986" s="1" t="s">
        <v>10</v>
      </c>
      <c r="E986" s="1">
        <v>1399</v>
      </c>
      <c r="F986" t="str">
        <f>VLOOKUP(Tabla1[[#This Row],[IDProducto]],producto!$A$1:$C$33,2,FALSE)</f>
        <v>Producto_20</v>
      </c>
      <c r="G986" t="str">
        <f>VLOOKUP(Tabla1[[#This Row],[IDProducto]],producto!$A$1:$C$33,3,FALSE)</f>
        <v>Deportes</v>
      </c>
      <c r="H986" s="6" t="str">
        <f>VLOOKUP(Tabla1[[#This Row],[Estado]],Tabla3[#All],2,0)</f>
        <v>Centro</v>
      </c>
    </row>
    <row r="987" spans="1:8" ht="15.75" customHeight="1" x14ac:dyDescent="0.25">
      <c r="A987" s="1">
        <v>200985</v>
      </c>
      <c r="B987" s="2">
        <v>45665</v>
      </c>
      <c r="C987" s="1">
        <v>17</v>
      </c>
      <c r="D987" s="1" t="s">
        <v>8</v>
      </c>
      <c r="E987" s="1">
        <v>183</v>
      </c>
      <c r="F987" t="str">
        <f>VLOOKUP(Tabla1[[#This Row],[IDProducto]],producto!$A$1:$C$33,2,FALSE)</f>
        <v>Producto_17</v>
      </c>
      <c r="G987" t="str">
        <f>VLOOKUP(Tabla1[[#This Row],[IDProducto]],producto!$A$1:$C$33,3,FALSE)</f>
        <v>Ropa</v>
      </c>
      <c r="H987" s="6" t="str">
        <f>VLOOKUP(Tabla1[[#This Row],[Estado]],Tabla3[#All],2,0)</f>
        <v>Norte</v>
      </c>
    </row>
    <row r="988" spans="1:8" ht="15.75" customHeight="1" x14ac:dyDescent="0.25">
      <c r="A988" s="1">
        <v>200986</v>
      </c>
      <c r="B988" s="2">
        <v>45706</v>
      </c>
      <c r="C988" s="1">
        <v>13</v>
      </c>
      <c r="D988" s="1" t="s">
        <v>5</v>
      </c>
      <c r="E988" s="1">
        <v>659</v>
      </c>
      <c r="F988" t="str">
        <f>VLOOKUP(Tabla1[[#This Row],[IDProducto]],producto!$A$1:$C$33,2,FALSE)</f>
        <v>Producto_13</v>
      </c>
      <c r="G988" t="str">
        <f>VLOOKUP(Tabla1[[#This Row],[IDProducto]],producto!$A$1:$C$33,3,FALSE)</f>
        <v>Deportes</v>
      </c>
      <c r="H988" s="6" t="str">
        <f>VLOOKUP(Tabla1[[#This Row],[Estado]],Tabla3[#All],2,0)</f>
        <v>Centro</v>
      </c>
    </row>
    <row r="989" spans="1:8" ht="15.75" customHeight="1" x14ac:dyDescent="0.25">
      <c r="A989" s="1">
        <v>200987</v>
      </c>
      <c r="B989" s="2">
        <v>45699</v>
      </c>
      <c r="C989" s="1">
        <v>26</v>
      </c>
      <c r="D989" s="1" t="s">
        <v>12</v>
      </c>
      <c r="E989" s="1">
        <v>1758</v>
      </c>
      <c r="F989" t="str">
        <f>VLOOKUP(Tabla1[[#This Row],[IDProducto]],producto!$A$1:$C$33,2,FALSE)</f>
        <v>Producto_26</v>
      </c>
      <c r="G989" t="str">
        <f>VLOOKUP(Tabla1[[#This Row],[IDProducto]],producto!$A$1:$C$33,3,FALSE)</f>
        <v>Hogar</v>
      </c>
      <c r="H989" s="6" t="str">
        <f>VLOOKUP(Tabla1[[#This Row],[Estado]],Tabla3[#All],2,0)</f>
        <v>Centro</v>
      </c>
    </row>
    <row r="990" spans="1:8" ht="15.75" customHeight="1" x14ac:dyDescent="0.25">
      <c r="A990" s="1">
        <v>200988</v>
      </c>
      <c r="B990" s="2">
        <v>45759</v>
      </c>
      <c r="C990" s="1">
        <v>7</v>
      </c>
      <c r="D990" s="1" t="s">
        <v>7</v>
      </c>
      <c r="E990" s="1">
        <v>1239</v>
      </c>
      <c r="F990" t="str">
        <f>VLOOKUP(Tabla1[[#This Row],[IDProducto]],producto!$A$1:$C$33,2,FALSE)</f>
        <v>Producto_7</v>
      </c>
      <c r="G990" t="str">
        <f>VLOOKUP(Tabla1[[#This Row],[IDProducto]],producto!$A$1:$C$33,3,FALSE)</f>
        <v>Ropa</v>
      </c>
      <c r="H990" s="6" t="str">
        <f>VLOOKUP(Tabla1[[#This Row],[Estado]],Tabla3[#All],2,0)</f>
        <v>Norte</v>
      </c>
    </row>
    <row r="991" spans="1:8" ht="15.75" customHeight="1" x14ac:dyDescent="0.25">
      <c r="A991" s="1">
        <v>200989</v>
      </c>
      <c r="B991" s="2">
        <v>45829</v>
      </c>
      <c r="C991" s="1">
        <v>27</v>
      </c>
      <c r="D991" s="1" t="s">
        <v>12</v>
      </c>
      <c r="E991" s="1">
        <v>1889</v>
      </c>
      <c r="F991" t="str">
        <f>VLOOKUP(Tabla1[[#This Row],[IDProducto]],producto!$A$1:$C$33,2,FALSE)</f>
        <v>Producto_27</v>
      </c>
      <c r="G991" t="str">
        <f>VLOOKUP(Tabla1[[#This Row],[IDProducto]],producto!$A$1:$C$33,3,FALSE)</f>
        <v>Electrónica</v>
      </c>
      <c r="H991" s="6" t="str">
        <f>VLOOKUP(Tabla1[[#This Row],[Estado]],Tabla3[#All],2,0)</f>
        <v>Centro</v>
      </c>
    </row>
    <row r="992" spans="1:8" ht="15.75" customHeight="1" x14ac:dyDescent="0.25">
      <c r="A992" s="1">
        <v>200990</v>
      </c>
      <c r="B992" s="2">
        <v>45760</v>
      </c>
      <c r="C992" s="1">
        <v>12</v>
      </c>
      <c r="D992" s="1" t="s">
        <v>8</v>
      </c>
      <c r="E992" s="1">
        <v>1341</v>
      </c>
      <c r="F992" t="str">
        <f>VLOOKUP(Tabla1[[#This Row],[IDProducto]],producto!$A$1:$C$33,2,FALSE)</f>
        <v>Producto_12</v>
      </c>
      <c r="G992" t="str">
        <f>VLOOKUP(Tabla1[[#This Row],[IDProducto]],producto!$A$1:$C$33,3,FALSE)</f>
        <v>Hogar</v>
      </c>
      <c r="H992" s="6" t="str">
        <f>VLOOKUP(Tabla1[[#This Row],[Estado]],Tabla3[#All],2,0)</f>
        <v>Norte</v>
      </c>
    </row>
    <row r="993" spans="1:8" ht="15.75" customHeight="1" x14ac:dyDescent="0.25">
      <c r="A993" s="1">
        <v>200991</v>
      </c>
      <c r="B993" s="2">
        <v>45680</v>
      </c>
      <c r="C993" s="1">
        <v>6</v>
      </c>
      <c r="D993" s="1" t="s">
        <v>7</v>
      </c>
      <c r="E993" s="1">
        <v>892</v>
      </c>
      <c r="F993" t="str">
        <f>VLOOKUP(Tabla1[[#This Row],[IDProducto]],producto!$A$1:$C$33,2,FALSE)</f>
        <v>Producto_6</v>
      </c>
      <c r="G993" t="str">
        <f>VLOOKUP(Tabla1[[#This Row],[IDProducto]],producto!$A$1:$C$33,3,FALSE)</f>
        <v>Electrónica</v>
      </c>
      <c r="H993" s="6" t="str">
        <f>VLOOKUP(Tabla1[[#This Row],[Estado]],Tabla3[#All],2,0)</f>
        <v>Norte</v>
      </c>
    </row>
    <row r="994" spans="1:8" ht="15.75" customHeight="1" x14ac:dyDescent="0.25">
      <c r="A994" s="1">
        <v>200992</v>
      </c>
      <c r="B994" s="2">
        <v>45679</v>
      </c>
      <c r="C994" s="1">
        <v>12</v>
      </c>
      <c r="D994" s="1" t="s">
        <v>7</v>
      </c>
      <c r="E994" s="1">
        <v>689</v>
      </c>
      <c r="F994" t="str">
        <f>VLOOKUP(Tabla1[[#This Row],[IDProducto]],producto!$A$1:$C$33,2,FALSE)</f>
        <v>Producto_12</v>
      </c>
      <c r="G994" t="str">
        <f>VLOOKUP(Tabla1[[#This Row],[IDProducto]],producto!$A$1:$C$33,3,FALSE)</f>
        <v>Hogar</v>
      </c>
      <c r="H994" s="6" t="str">
        <f>VLOOKUP(Tabla1[[#This Row],[Estado]],Tabla3[#All],2,0)</f>
        <v>Norte</v>
      </c>
    </row>
    <row r="995" spans="1:8" ht="15.75" customHeight="1" x14ac:dyDescent="0.25">
      <c r="A995" s="1">
        <v>200993</v>
      </c>
      <c r="B995" s="2">
        <v>45695</v>
      </c>
      <c r="C995" s="1">
        <v>15</v>
      </c>
      <c r="D995" s="1" t="s">
        <v>6</v>
      </c>
      <c r="E995" s="1">
        <v>1468</v>
      </c>
      <c r="F995" t="str">
        <f>VLOOKUP(Tabla1[[#This Row],[IDProducto]],producto!$A$1:$C$33,2,FALSE)</f>
        <v>Producto_15</v>
      </c>
      <c r="G995" t="str">
        <f>VLOOKUP(Tabla1[[#This Row],[IDProducto]],producto!$A$1:$C$33,3,FALSE)</f>
        <v>Hogar</v>
      </c>
      <c r="H995" s="6" t="str">
        <f>VLOOKUP(Tabla1[[#This Row],[Estado]],Tabla3[#All],2,0)</f>
        <v>Occidente</v>
      </c>
    </row>
    <row r="996" spans="1:8" ht="15.75" customHeight="1" x14ac:dyDescent="0.25">
      <c r="A996" s="1">
        <v>200994</v>
      </c>
      <c r="B996" s="2">
        <v>45806</v>
      </c>
      <c r="C996" s="1">
        <v>26</v>
      </c>
      <c r="D996" s="1" t="s">
        <v>9</v>
      </c>
      <c r="E996" s="1">
        <v>1102</v>
      </c>
      <c r="F996" t="str">
        <f>VLOOKUP(Tabla1[[#This Row],[IDProducto]],producto!$A$1:$C$33,2,FALSE)</f>
        <v>Producto_26</v>
      </c>
      <c r="G996" t="str">
        <f>VLOOKUP(Tabla1[[#This Row],[IDProducto]],producto!$A$1:$C$33,3,FALSE)</f>
        <v>Hogar</v>
      </c>
      <c r="H996" s="6" t="str">
        <f>VLOOKUP(Tabla1[[#This Row],[Estado]],Tabla3[#All],2,0)</f>
        <v>Sur</v>
      </c>
    </row>
    <row r="997" spans="1:8" ht="15.75" customHeight="1" x14ac:dyDescent="0.25">
      <c r="A997" s="1">
        <v>200995</v>
      </c>
      <c r="B997" s="2">
        <v>45707</v>
      </c>
      <c r="C997" s="1">
        <v>19</v>
      </c>
      <c r="D997" s="1" t="s">
        <v>6</v>
      </c>
      <c r="E997" s="1">
        <v>1831</v>
      </c>
      <c r="F997" t="str">
        <f>VLOOKUP(Tabla1[[#This Row],[IDProducto]],producto!$A$1:$C$33,2,FALSE)</f>
        <v>Producto_19</v>
      </c>
      <c r="G997" t="str">
        <f>VLOOKUP(Tabla1[[#This Row],[IDProducto]],producto!$A$1:$C$33,3,FALSE)</f>
        <v>Ropa</v>
      </c>
      <c r="H997" s="6" t="str">
        <f>VLOOKUP(Tabla1[[#This Row],[Estado]],Tabla3[#All],2,0)</f>
        <v>Occidente</v>
      </c>
    </row>
    <row r="998" spans="1:8" ht="15.75" customHeight="1" x14ac:dyDescent="0.25">
      <c r="A998" s="1">
        <v>200996</v>
      </c>
      <c r="B998" s="2">
        <v>45820</v>
      </c>
      <c r="C998" s="1">
        <v>30</v>
      </c>
      <c r="D998" s="1" t="s">
        <v>5</v>
      </c>
      <c r="E998" s="1">
        <v>1495</v>
      </c>
      <c r="F998" t="str">
        <f>VLOOKUP(Tabla1[[#This Row],[IDProducto]],producto!$A$1:$C$33,2,FALSE)</f>
        <v>Producto_30</v>
      </c>
      <c r="G998" t="str">
        <f>VLOOKUP(Tabla1[[#This Row],[IDProducto]],producto!$A$1:$C$33,3,FALSE)</f>
        <v>Hogar</v>
      </c>
      <c r="H998" s="6" t="str">
        <f>VLOOKUP(Tabla1[[#This Row],[Estado]],Tabla3[#All],2,0)</f>
        <v>Centro</v>
      </c>
    </row>
    <row r="999" spans="1:8" ht="15.75" customHeight="1" x14ac:dyDescent="0.25">
      <c r="A999" s="1">
        <v>200997</v>
      </c>
      <c r="B999" s="2">
        <v>45737</v>
      </c>
      <c r="C999" s="1">
        <v>11</v>
      </c>
      <c r="D999" s="1" t="s">
        <v>10</v>
      </c>
      <c r="E999" s="1">
        <v>525</v>
      </c>
      <c r="F999" t="str">
        <f>VLOOKUP(Tabla1[[#This Row],[IDProducto]],producto!$A$1:$C$33,2,FALSE)</f>
        <v>Producto_11</v>
      </c>
      <c r="G999" t="str">
        <f>VLOOKUP(Tabla1[[#This Row],[IDProducto]],producto!$A$1:$C$33,3,FALSE)</f>
        <v>Ropa</v>
      </c>
      <c r="H999" s="6" t="str">
        <f>VLOOKUP(Tabla1[[#This Row],[Estado]],Tabla3[#All],2,0)</f>
        <v>Centro</v>
      </c>
    </row>
    <row r="1000" spans="1:8" ht="15.75" customHeight="1" x14ac:dyDescent="0.25">
      <c r="A1000" s="1">
        <v>200998</v>
      </c>
      <c r="B1000" s="2">
        <v>45757</v>
      </c>
      <c r="C1000" s="1">
        <v>20</v>
      </c>
      <c r="D1000" s="1" t="s">
        <v>12</v>
      </c>
      <c r="E1000" s="1">
        <v>1420</v>
      </c>
      <c r="F1000" t="str">
        <f>VLOOKUP(Tabla1[[#This Row],[IDProducto]],producto!$A$1:$C$33,2,FALSE)</f>
        <v>Producto_20</v>
      </c>
      <c r="G1000" t="str">
        <f>VLOOKUP(Tabla1[[#This Row],[IDProducto]],producto!$A$1:$C$33,3,FALSE)</f>
        <v>Deportes</v>
      </c>
      <c r="H1000" s="6" t="str">
        <f>VLOOKUP(Tabla1[[#This Row],[Estado]],Tabla3[#All],2,0)</f>
        <v>Centro</v>
      </c>
    </row>
    <row r="1001" spans="1:8" ht="15.75" customHeight="1" x14ac:dyDescent="0.25">
      <c r="A1001" s="1">
        <v>200999</v>
      </c>
      <c r="B1001" s="2">
        <v>45837</v>
      </c>
      <c r="C1001" s="1">
        <v>21</v>
      </c>
      <c r="D1001" s="1" t="s">
        <v>10</v>
      </c>
      <c r="E1001" s="1">
        <v>1883</v>
      </c>
      <c r="F1001" t="str">
        <f>VLOOKUP(Tabla1[[#This Row],[IDProducto]],producto!$A$1:$C$33,2,FALSE)</f>
        <v>Producto_21</v>
      </c>
      <c r="G1001" t="str">
        <f>VLOOKUP(Tabla1[[#This Row],[IDProducto]],producto!$A$1:$C$33,3,FALSE)</f>
        <v>Electrónica</v>
      </c>
      <c r="H1001" s="6" t="str">
        <f>VLOOKUP(Tabla1[[#This Row],[Estado]],Tabla3[#All],2,0)</f>
        <v>Centro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A3B3-889C-4CE9-905B-4D7B47D516EF}">
  <dimension ref="A1:C33"/>
  <sheetViews>
    <sheetView workbookViewId="0">
      <selection activeCell="H15" sqref="H15"/>
    </sheetView>
  </sheetViews>
  <sheetFormatPr baseColWidth="10" defaultRowHeight="15" x14ac:dyDescent="0.25"/>
  <cols>
    <col min="1" max="1" width="13.85546875" customWidth="1"/>
    <col min="2" max="2" width="19.28515625" customWidth="1"/>
    <col min="3" max="3" width="11.5703125" customWidth="1"/>
  </cols>
  <sheetData>
    <row r="1" spans="1:3" x14ac:dyDescent="0.25">
      <c r="A1" s="4" t="s">
        <v>2</v>
      </c>
      <c r="B1" s="4" t="s">
        <v>13</v>
      </c>
      <c r="C1" s="4" t="s">
        <v>14</v>
      </c>
    </row>
    <row r="2" spans="1:3" x14ac:dyDescent="0.25">
      <c r="A2" s="5">
        <v>1</v>
      </c>
      <c r="B2" s="5" t="s">
        <v>15</v>
      </c>
      <c r="C2" s="5" t="s">
        <v>16</v>
      </c>
    </row>
    <row r="3" spans="1:3" x14ac:dyDescent="0.25">
      <c r="A3" s="5">
        <v>2</v>
      </c>
      <c r="B3" s="5" t="s">
        <v>17</v>
      </c>
      <c r="C3" s="5" t="s">
        <v>18</v>
      </c>
    </row>
    <row r="4" spans="1:3" x14ac:dyDescent="0.25">
      <c r="A4" s="5">
        <v>3</v>
      </c>
      <c r="B4" s="5" t="s">
        <v>19</v>
      </c>
      <c r="C4" s="5" t="s">
        <v>18</v>
      </c>
    </row>
    <row r="5" spans="1:3" x14ac:dyDescent="0.25">
      <c r="A5" s="5">
        <v>4</v>
      </c>
      <c r="B5" s="5" t="s">
        <v>20</v>
      </c>
      <c r="C5" s="5" t="s">
        <v>18</v>
      </c>
    </row>
    <row r="6" spans="1:3" x14ac:dyDescent="0.25">
      <c r="A6" s="5">
        <v>5</v>
      </c>
      <c r="B6" s="5" t="s">
        <v>21</v>
      </c>
      <c r="C6" s="5" t="s">
        <v>16</v>
      </c>
    </row>
    <row r="7" spans="1:3" x14ac:dyDescent="0.25">
      <c r="A7" s="5">
        <v>6</v>
      </c>
      <c r="B7" s="5" t="s">
        <v>22</v>
      </c>
      <c r="C7" s="5" t="s">
        <v>23</v>
      </c>
    </row>
    <row r="8" spans="1:3" x14ac:dyDescent="0.25">
      <c r="A8" s="5">
        <v>7</v>
      </c>
      <c r="B8" s="5" t="s">
        <v>24</v>
      </c>
      <c r="C8" s="5" t="s">
        <v>25</v>
      </c>
    </row>
    <row r="9" spans="1:3" x14ac:dyDescent="0.25">
      <c r="A9" s="5">
        <v>8</v>
      </c>
      <c r="B9" s="5" t="s">
        <v>26</v>
      </c>
      <c r="C9" s="5" t="s">
        <v>23</v>
      </c>
    </row>
    <row r="10" spans="1:3" x14ac:dyDescent="0.25">
      <c r="A10" s="5">
        <v>9</v>
      </c>
      <c r="B10" s="5" t="s">
        <v>27</v>
      </c>
      <c r="C10" s="5" t="s">
        <v>23</v>
      </c>
    </row>
    <row r="11" spans="1:3" x14ac:dyDescent="0.25">
      <c r="A11" s="5">
        <v>10</v>
      </c>
      <c r="B11" s="5" t="s">
        <v>28</v>
      </c>
      <c r="C11" s="5" t="s">
        <v>25</v>
      </c>
    </row>
    <row r="12" spans="1:3" x14ac:dyDescent="0.25">
      <c r="A12" s="5">
        <v>11</v>
      </c>
      <c r="B12" s="5" t="s">
        <v>29</v>
      </c>
      <c r="C12" s="5" t="s">
        <v>25</v>
      </c>
    </row>
    <row r="13" spans="1:3" x14ac:dyDescent="0.25">
      <c r="A13" s="5">
        <v>12</v>
      </c>
      <c r="B13" s="5" t="s">
        <v>30</v>
      </c>
      <c r="C13" s="5" t="s">
        <v>16</v>
      </c>
    </row>
    <row r="14" spans="1:3" x14ac:dyDescent="0.25">
      <c r="A14" s="5">
        <v>13</v>
      </c>
      <c r="B14" s="5" t="s">
        <v>31</v>
      </c>
      <c r="C14" s="5" t="s">
        <v>18</v>
      </c>
    </row>
    <row r="15" spans="1:3" x14ac:dyDescent="0.25">
      <c r="A15" s="5">
        <v>14</v>
      </c>
      <c r="B15" s="5" t="s">
        <v>32</v>
      </c>
      <c r="C15" s="5" t="s">
        <v>16</v>
      </c>
    </row>
    <row r="16" spans="1:3" x14ac:dyDescent="0.25">
      <c r="A16" s="5">
        <v>15</v>
      </c>
      <c r="B16" s="5" t="s">
        <v>33</v>
      </c>
      <c r="C16" s="5" t="s">
        <v>16</v>
      </c>
    </row>
    <row r="17" spans="1:3" x14ac:dyDescent="0.25">
      <c r="A17" s="5">
        <v>16</v>
      </c>
      <c r="B17" s="5" t="s">
        <v>34</v>
      </c>
      <c r="C17" s="5" t="s">
        <v>25</v>
      </c>
    </row>
    <row r="18" spans="1:3" x14ac:dyDescent="0.25">
      <c r="A18" s="5">
        <v>17</v>
      </c>
      <c r="B18" s="5" t="s">
        <v>35</v>
      </c>
      <c r="C18" s="5" t="s">
        <v>25</v>
      </c>
    </row>
    <row r="19" spans="1:3" x14ac:dyDescent="0.25">
      <c r="A19" s="5">
        <v>18</v>
      </c>
      <c r="B19" s="5" t="s">
        <v>36</v>
      </c>
      <c r="C19" s="5" t="s">
        <v>25</v>
      </c>
    </row>
    <row r="20" spans="1:3" x14ac:dyDescent="0.25">
      <c r="A20" s="5">
        <v>19</v>
      </c>
      <c r="B20" s="5" t="s">
        <v>37</v>
      </c>
      <c r="C20" s="5" t="s">
        <v>25</v>
      </c>
    </row>
    <row r="21" spans="1:3" x14ac:dyDescent="0.25">
      <c r="A21" s="5">
        <v>20</v>
      </c>
      <c r="B21" s="5" t="s">
        <v>38</v>
      </c>
      <c r="C21" s="5" t="s">
        <v>18</v>
      </c>
    </row>
    <row r="22" spans="1:3" x14ac:dyDescent="0.25">
      <c r="A22" s="5">
        <v>21</v>
      </c>
      <c r="B22" s="5" t="s">
        <v>39</v>
      </c>
      <c r="C22" s="5" t="s">
        <v>23</v>
      </c>
    </row>
    <row r="23" spans="1:3" x14ac:dyDescent="0.25">
      <c r="A23" s="5">
        <v>22</v>
      </c>
      <c r="B23" s="5" t="s">
        <v>40</v>
      </c>
      <c r="C23" s="5" t="s">
        <v>16</v>
      </c>
    </row>
    <row r="24" spans="1:3" x14ac:dyDescent="0.25">
      <c r="A24" s="5">
        <v>23</v>
      </c>
      <c r="B24" s="5" t="s">
        <v>41</v>
      </c>
      <c r="C24" s="5" t="s">
        <v>18</v>
      </c>
    </row>
    <row r="25" spans="1:3" x14ac:dyDescent="0.25">
      <c r="A25" s="5">
        <v>24</v>
      </c>
      <c r="B25" s="5" t="s">
        <v>42</v>
      </c>
      <c r="C25" s="5" t="s">
        <v>25</v>
      </c>
    </row>
    <row r="26" spans="1:3" x14ac:dyDescent="0.25">
      <c r="A26" s="5">
        <v>25</v>
      </c>
      <c r="B26" s="5" t="s">
        <v>43</v>
      </c>
      <c r="C26" s="5" t="s">
        <v>23</v>
      </c>
    </row>
    <row r="27" spans="1:3" x14ac:dyDescent="0.25">
      <c r="A27" s="5">
        <v>26</v>
      </c>
      <c r="B27" s="5" t="s">
        <v>44</v>
      </c>
      <c r="C27" s="5" t="s">
        <v>16</v>
      </c>
    </row>
    <row r="28" spans="1:3" x14ac:dyDescent="0.25">
      <c r="A28" s="5">
        <v>27</v>
      </c>
      <c r="B28" s="5" t="s">
        <v>45</v>
      </c>
      <c r="C28" s="5" t="s">
        <v>23</v>
      </c>
    </row>
    <row r="29" spans="1:3" x14ac:dyDescent="0.25">
      <c r="A29" s="5">
        <v>28</v>
      </c>
      <c r="B29" s="5" t="s">
        <v>46</v>
      </c>
      <c r="C29" s="5" t="s">
        <v>16</v>
      </c>
    </row>
    <row r="30" spans="1:3" x14ac:dyDescent="0.25">
      <c r="A30" s="5">
        <v>29</v>
      </c>
      <c r="B30" s="5" t="s">
        <v>47</v>
      </c>
      <c r="C30" s="5" t="s">
        <v>23</v>
      </c>
    </row>
    <row r="31" spans="1:3" x14ac:dyDescent="0.25">
      <c r="A31" s="5">
        <v>30</v>
      </c>
      <c r="B31" s="5" t="s">
        <v>48</v>
      </c>
      <c r="C31" s="5" t="s">
        <v>16</v>
      </c>
    </row>
    <row r="32" spans="1:3" x14ac:dyDescent="0.25">
      <c r="A32" s="5">
        <v>31</v>
      </c>
      <c r="B32" s="5" t="s">
        <v>49</v>
      </c>
      <c r="C32" s="5" t="s">
        <v>18</v>
      </c>
    </row>
    <row r="33" spans="1:3" x14ac:dyDescent="0.25">
      <c r="A33" s="5">
        <v>32</v>
      </c>
      <c r="B33" s="5" t="s">
        <v>50</v>
      </c>
      <c r="C33" s="5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77CA1-C281-40AF-AB9C-14F66071212A}">
  <dimension ref="A1:B9"/>
  <sheetViews>
    <sheetView workbookViewId="0">
      <selection activeCell="C46" sqref="C46"/>
    </sheetView>
  </sheetViews>
  <sheetFormatPr baseColWidth="10" defaultRowHeight="15" x14ac:dyDescent="0.25"/>
  <sheetData>
    <row r="1" spans="1:2" x14ac:dyDescent="0.25">
      <c r="A1" s="9" t="s">
        <v>3</v>
      </c>
      <c r="B1" s="9" t="s">
        <v>52</v>
      </c>
    </row>
    <row r="2" spans="1:2" x14ac:dyDescent="0.25">
      <c r="A2" s="8" t="s">
        <v>8</v>
      </c>
      <c r="B2" s="8" t="s">
        <v>53</v>
      </c>
    </row>
    <row r="3" spans="1:2" x14ac:dyDescent="0.25">
      <c r="A3" s="8" t="s">
        <v>7</v>
      </c>
      <c r="B3" s="8" t="s">
        <v>53</v>
      </c>
    </row>
    <row r="4" spans="1:2" x14ac:dyDescent="0.25">
      <c r="A4" s="8" t="s">
        <v>9</v>
      </c>
      <c r="B4" s="8" t="s">
        <v>54</v>
      </c>
    </row>
    <row r="5" spans="1:2" x14ac:dyDescent="0.25">
      <c r="A5" s="8" t="s">
        <v>12</v>
      </c>
      <c r="B5" s="8" t="s">
        <v>55</v>
      </c>
    </row>
    <row r="6" spans="1:2" x14ac:dyDescent="0.25">
      <c r="A6" s="8" t="s">
        <v>10</v>
      </c>
      <c r="B6" s="8" t="s">
        <v>55</v>
      </c>
    </row>
    <row r="7" spans="1:2" x14ac:dyDescent="0.25">
      <c r="A7" s="8" t="s">
        <v>5</v>
      </c>
      <c r="B7" s="8" t="s">
        <v>55</v>
      </c>
    </row>
    <row r="8" spans="1:2" x14ac:dyDescent="0.25">
      <c r="A8" s="8" t="s">
        <v>11</v>
      </c>
      <c r="B8" s="8" t="s">
        <v>56</v>
      </c>
    </row>
    <row r="9" spans="1:2" x14ac:dyDescent="0.25">
      <c r="A9" s="8" t="s">
        <v>6</v>
      </c>
      <c r="B9" s="8" t="s">
        <v>56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1C241D7-228F-4315-916E-CAAF5EB84D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TabDinamica1</vt:lpstr>
      <vt:lpstr>TabDinamica2</vt:lpstr>
      <vt:lpstr>TabDinamica3</vt:lpstr>
      <vt:lpstr>ventas</vt:lpstr>
      <vt:lpstr>producto</vt:lpstr>
      <vt:lpstr>regiones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Labra Castro</dc:creator>
  <cp:lastModifiedBy>Cristian  Labra Castro</cp:lastModifiedBy>
  <dcterms:created xsi:type="dcterms:W3CDTF">2025-07-06T19:24:41Z</dcterms:created>
  <dcterms:modified xsi:type="dcterms:W3CDTF">2026-01-22T14:40:58Z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f4e9a4a-eb20-4aad-9a64-8872817c1a6f_Enabled">
    <vt:lpwstr>true</vt:lpwstr>
  </property>
  <property fmtid="{D5CDD505-2E9C-101B-9397-08002B2CF9AE}" pid="3" name="MSIP_Label_9f4e9a4a-eb20-4aad-9a64-8872817c1a6f_SetDate">
    <vt:lpwstr>2026-01-09T12:43:25Z</vt:lpwstr>
  </property>
  <property fmtid="{D5CDD505-2E9C-101B-9397-08002B2CF9AE}" pid="4" name="MSIP_Label_9f4e9a4a-eb20-4aad-9a64-8872817c1a6f_Method">
    <vt:lpwstr>Standard</vt:lpwstr>
  </property>
  <property fmtid="{D5CDD505-2E9C-101B-9397-08002B2CF9AE}" pid="5" name="MSIP_Label_9f4e9a4a-eb20-4aad-9a64-8872817c1a6f_Name">
    <vt:lpwstr>defa4170-0d19-0005-0004-bc88714345d2</vt:lpwstr>
  </property>
  <property fmtid="{D5CDD505-2E9C-101B-9397-08002B2CF9AE}" pid="6" name="MSIP_Label_9f4e9a4a-eb20-4aad-9a64-8872817c1a6f_SiteId">
    <vt:lpwstr>7a599002-001c-432c-846e-1ddca9f6b299</vt:lpwstr>
  </property>
  <property fmtid="{D5CDD505-2E9C-101B-9397-08002B2CF9AE}" pid="7" name="MSIP_Label_9f4e9a4a-eb20-4aad-9a64-8872817c1a6f_ActionId">
    <vt:lpwstr>6d5f0e83-353e-449c-bb17-6f54fbebe3e8</vt:lpwstr>
  </property>
  <property fmtid="{D5CDD505-2E9C-101B-9397-08002B2CF9AE}" pid="8" name="MSIP_Label_9f4e9a4a-eb20-4aad-9a64-8872817c1a6f_ContentBits">
    <vt:lpwstr>0</vt:lpwstr>
  </property>
  <property fmtid="{D5CDD505-2E9C-101B-9397-08002B2CF9AE}" pid="9" name="MSIP_Label_9f4e9a4a-eb20-4aad-9a64-8872817c1a6f_Tag">
    <vt:lpwstr>10, 3, 0, 1</vt:lpwstr>
  </property>
</Properties>
</file>