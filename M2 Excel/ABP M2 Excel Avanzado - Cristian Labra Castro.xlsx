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labra\Mi unidad\Analisis De Datos\"/>
    </mc:Choice>
  </mc:AlternateContent>
  <xr:revisionPtr revIDLastSave="0" documentId="13_ncr:1_{8AC03B68-E79A-43BF-A118-30C7C28C11D1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DataVentas" sheetId="26" r:id="rId1"/>
    <sheet name="Clientes" sheetId="27" r:id="rId2"/>
    <sheet name="Vendedores" sheetId="28" r:id="rId3"/>
    <sheet name="Indicadores" sheetId="31" r:id="rId4"/>
  </sheets>
  <definedNames>
    <definedName name="DatosExternos_1" localSheetId="0" hidden="1">DataVentas!$A$1:$T$1001</definedName>
  </definedNames>
  <calcPr calcId="191029"/>
  <pivotCaches>
    <pivotCache cacheId="3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28" l="1"/>
  <c r="D285" i="27"/>
  <c r="D284" i="27"/>
  <c r="D283" i="27"/>
  <c r="D286" i="2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37C331-FD05-4690-A937-04E6642DB809}" keepAlive="1" name="Consulta - E-ShopNow (Proyecto ABP M2) (2)" description="Conexión a la consulta 'E-ShopNow (Proyecto ABP M2) (2)' en el libro." type="5" refreshedVersion="8" background="1" saveData="1">
    <dbPr connection="Provider=Microsoft.Mashup.OleDb.1;Data Source=$Workbook$;Location=&quot;E-ShopNow (Proyecto ABP M2) (2)&quot;;Extended Properties=&quot;&quot;" command="SELECT * FROM [E-ShopNow (Proyecto ABP M2) (2)]"/>
  </connection>
</connections>
</file>

<file path=xl/sharedStrings.xml><?xml version="1.0" encoding="utf-8"?>
<sst xmlns="http://schemas.openxmlformats.org/spreadsheetml/2006/main" count="9055" uniqueCount="675">
  <si>
    <t>id_venta</t>
  </si>
  <si>
    <t>fecha_venta</t>
  </si>
  <si>
    <t>id_empleado</t>
  </si>
  <si>
    <t>antiguedad_vendedor</t>
  </si>
  <si>
    <t>id_cliente</t>
  </si>
  <si>
    <t>nombre_cliente</t>
  </si>
  <si>
    <t>email_cliente</t>
  </si>
  <si>
    <t>genero_cliente</t>
  </si>
  <si>
    <t>edad_cliente</t>
  </si>
  <si>
    <t>ciudad_cliente</t>
  </si>
  <si>
    <t>region_cliente</t>
  </si>
  <si>
    <t>canal_venta</t>
  </si>
  <si>
    <t>producto</t>
  </si>
  <si>
    <t>categoria_producto</t>
  </si>
  <si>
    <t>precio_unitario</t>
  </si>
  <si>
    <t>cantidad</t>
  </si>
  <si>
    <t>descuento_pct</t>
  </si>
  <si>
    <t>María González Alfaro</t>
  </si>
  <si>
    <t>cliente254@mail.cl</t>
  </si>
  <si>
    <t>Hombre</t>
  </si>
  <si>
    <t>Temuco</t>
  </si>
  <si>
    <t>La Araucanía</t>
  </si>
  <si>
    <t>Web</t>
  </si>
  <si>
    <t>Maquillaje</t>
  </si>
  <si>
    <t>Belleza</t>
  </si>
  <si>
    <t>Vania Evelyn Leyton García</t>
  </si>
  <si>
    <t>cliente102@mail.cl</t>
  </si>
  <si>
    <t>Talcahuano</t>
  </si>
  <si>
    <t>Biobío</t>
  </si>
  <si>
    <t>App</t>
  </si>
  <si>
    <t>Lavadora</t>
  </si>
  <si>
    <t>Electrohogar</t>
  </si>
  <si>
    <t>Darwin Ramón Saavedra Pino</t>
  </si>
  <si>
    <t>cliente196@mail.cl</t>
  </si>
  <si>
    <t>Santiago</t>
  </si>
  <si>
    <t>Manuel Rodríguez</t>
  </si>
  <si>
    <t>cliente65@mail.cl</t>
  </si>
  <si>
    <t>Valparaíso</t>
  </si>
  <si>
    <t>Tienda</t>
  </si>
  <si>
    <t>Perfume</t>
  </si>
  <si>
    <t>Francisco Raúl Guerrero-Romero Sánchez</t>
  </si>
  <si>
    <t>cliente218@mail.cl</t>
  </si>
  <si>
    <t>Mujer</t>
  </si>
  <si>
    <t>Antofagasta</t>
  </si>
  <si>
    <t>Héctor Ramírez</t>
  </si>
  <si>
    <t>cliente202@mail.cl</t>
  </si>
  <si>
    <t>Notebook</t>
  </si>
  <si>
    <t>Mónica Araya Álvarez</t>
  </si>
  <si>
    <t>cliente160@mail.cl</t>
  </si>
  <si>
    <t>Refrigerador</t>
  </si>
  <si>
    <t>Camila Florencia Parra Muñoz</t>
  </si>
  <si>
    <t>cliente242@mail.cl</t>
  </si>
  <si>
    <t>Concepción</t>
  </si>
  <si>
    <t>Tecnología</t>
  </si>
  <si>
    <t>Ximena Susana Medina Duarte</t>
  </si>
  <si>
    <t>cliente255@mail.cl</t>
  </si>
  <si>
    <t>Pantalón</t>
  </si>
  <si>
    <t>Vestuario</t>
  </si>
  <si>
    <t>Melania Jessica Urrutia Palacios</t>
  </si>
  <si>
    <t>cliente35@mail.cl</t>
  </si>
  <si>
    <t>Maritza Thiare Mora Miranda</t>
  </si>
  <si>
    <t>cliente136@mail.cl</t>
  </si>
  <si>
    <t>TV</t>
  </si>
  <si>
    <t>Jorge Joaquín Sánchez Leiva</t>
  </si>
  <si>
    <t>cliente50@mail.cl</t>
  </si>
  <si>
    <t>Joaquín Jaime Segura Parra</t>
  </si>
  <si>
    <t>cliente81@mail.cl</t>
  </si>
  <si>
    <t>Gloria Lidia García Toledo</t>
  </si>
  <si>
    <t>cliente189@mail.cl</t>
  </si>
  <si>
    <t>Smartphone</t>
  </si>
  <si>
    <t>Francisca Valenzuela Pavez</t>
  </si>
  <si>
    <t>cliente67@mail.cl</t>
  </si>
  <si>
    <t>José Patricio Valenzuela Estay</t>
  </si>
  <si>
    <t>cliente269@mail.cl</t>
  </si>
  <si>
    <t>Eduardo René Valenzuela Venegas</t>
  </si>
  <si>
    <t>cliente207@mail.cl</t>
  </si>
  <si>
    <t>Puerto Montt</t>
  </si>
  <si>
    <t>Los Lagos</t>
  </si>
  <si>
    <t>Sebastián Hormazábal Sepúlveda</t>
  </si>
  <si>
    <t>cliente234@mail.cl</t>
  </si>
  <si>
    <t>Pablo Franco Saldías Ruiz</t>
  </si>
  <si>
    <t>cliente39@mail.cl</t>
  </si>
  <si>
    <t>Lorenza Ramírez Espinoza</t>
  </si>
  <si>
    <t>cliente224@mail.cl</t>
  </si>
  <si>
    <t>La Serena</t>
  </si>
  <si>
    <t>Coquimbo</t>
  </si>
  <si>
    <t>Manuel Candia Garrido</t>
  </si>
  <si>
    <t>cliente172@mail.cl</t>
  </si>
  <si>
    <t>Elizabeth Meléndez Pacheco</t>
  </si>
  <si>
    <t>cliente40@mail.cl</t>
  </si>
  <si>
    <t>Miguel Araya Segura</t>
  </si>
  <si>
    <t>cliente232@mail.cl</t>
  </si>
  <si>
    <t>Brayan Amaro Araya Valenzuela</t>
  </si>
  <si>
    <t>cliente23@mail.cl</t>
  </si>
  <si>
    <t>Jorge Rafael Riquelme Vargas</t>
  </si>
  <si>
    <t>cliente132@mail.cl</t>
  </si>
  <si>
    <t>Anahí Araya</t>
  </si>
  <si>
    <t>cliente114@mail.cl</t>
  </si>
  <si>
    <t>Zapatillas</t>
  </si>
  <si>
    <t>Mauricio Astorga</t>
  </si>
  <si>
    <t>cliente252@mail.cl</t>
  </si>
  <si>
    <t>Rancagua</t>
  </si>
  <si>
    <t>Polera</t>
  </si>
  <si>
    <t>Génesis Macarena Venegas Sepúlveda</t>
  </si>
  <si>
    <t>cliente220@mail.cl</t>
  </si>
  <si>
    <t>Flavia Estela Cruz Castro</t>
  </si>
  <si>
    <t>cliente110@mail.cl</t>
  </si>
  <si>
    <t>Carlos Aranda-Ortiz</t>
  </si>
  <si>
    <t>cliente122@mail.cl</t>
  </si>
  <si>
    <t>O'Higgins</t>
  </si>
  <si>
    <t>Francisco Ramírez Faúndez</t>
  </si>
  <si>
    <t>cliente162@mail.cl</t>
  </si>
  <si>
    <t>Cristóbal Pastén Leal</t>
  </si>
  <si>
    <t>cliente43@mail.cl</t>
  </si>
  <si>
    <t>Rosa Gaete Castro</t>
  </si>
  <si>
    <t>cliente2@mail.cl</t>
  </si>
  <si>
    <t>Viña del Mar</t>
  </si>
  <si>
    <t>Roberto Moreno Jorquera</t>
  </si>
  <si>
    <t>cliente127@mail.cl</t>
  </si>
  <si>
    <t>Josefa Segura Verdugo</t>
  </si>
  <si>
    <t>cliente246@mail.cl</t>
  </si>
  <si>
    <t>Miguel Roberto Villagrán Iturra</t>
  </si>
  <si>
    <t>cliente45@mail.cl</t>
  </si>
  <si>
    <t>Jairo Ian Villanueva Orellana</t>
  </si>
  <si>
    <t>cliente212@mail.cl</t>
  </si>
  <si>
    <t>Emiliano Hernández Castillo</t>
  </si>
  <si>
    <t>cliente178@mail.cl</t>
  </si>
  <si>
    <t>Ana Varela López</t>
  </si>
  <si>
    <t>cliente271@mail.cl</t>
  </si>
  <si>
    <t>Manuel Rodríguez Pérez</t>
  </si>
  <si>
    <t>cliente238@mail.cl</t>
  </si>
  <si>
    <t>Romina Cruz</t>
  </si>
  <si>
    <t>cliente41@mail.cl</t>
  </si>
  <si>
    <t>Juana Morales Novoa</t>
  </si>
  <si>
    <t>cliente118@mail.cl</t>
  </si>
  <si>
    <t>Laura Peñaloza Díaz</t>
  </si>
  <si>
    <t>cliente68@mail.cl</t>
  </si>
  <si>
    <t>Jaime Toloza Díaz</t>
  </si>
  <si>
    <t>cliente268@mail.cl</t>
  </si>
  <si>
    <t>Camila Natalia Pérez Arroyo</t>
  </si>
  <si>
    <t>cliente204@mail.cl</t>
  </si>
  <si>
    <t>Lidia Tapia</t>
  </si>
  <si>
    <t>cliente239@mail.cl</t>
  </si>
  <si>
    <t>Tatiana Claudia Jara Herrera</t>
  </si>
  <si>
    <t>cliente30@mail.cl</t>
  </si>
  <si>
    <t>Juan Héctor Castro Silva</t>
  </si>
  <si>
    <t>cliente221@mail.cl</t>
  </si>
  <si>
    <t>María Lorena Bórquez Rodríguez</t>
  </si>
  <si>
    <t>cliente99@mail.cl</t>
  </si>
  <si>
    <t>Rubén Castillo</t>
  </si>
  <si>
    <t>cliente117@mail.cl</t>
  </si>
  <si>
    <t>Calzado</t>
  </si>
  <si>
    <t>Laura Mary Sánchez Quintanilla</t>
  </si>
  <si>
    <t>cliente186@mail.cl</t>
  </si>
  <si>
    <t>Carlos Fuentes Vargas</t>
  </si>
  <si>
    <t>cliente261@mail.cl</t>
  </si>
  <si>
    <t>Matilda Denisse Gatica Gutiérrez</t>
  </si>
  <si>
    <t>cliente167@mail.cl</t>
  </si>
  <si>
    <t>Paulino Vargas Farías</t>
  </si>
  <si>
    <t>cliente123@mail.cl</t>
  </si>
  <si>
    <t>Isaac Gutiérrez</t>
  </si>
  <si>
    <t>cliente195@mail.cl</t>
  </si>
  <si>
    <t>María Sofía Morales Arellano</t>
  </si>
  <si>
    <t>cliente249@mail.cl</t>
  </si>
  <si>
    <t>Jacqueline Amanda Martínez Osorio</t>
  </si>
  <si>
    <t>cliente184@mail.cl</t>
  </si>
  <si>
    <t>Carolina González Ruiz</t>
  </si>
  <si>
    <t>cliente263@mail.cl</t>
  </si>
  <si>
    <t>Florinda Josefa Cortés Morales</t>
  </si>
  <si>
    <t>cliente193@mail.cl</t>
  </si>
  <si>
    <t>Arturo Ángel Corvalán Salazar</t>
  </si>
  <si>
    <t>cliente176@mail.cl</t>
  </si>
  <si>
    <t>Amanda Gutiérrez</t>
  </si>
  <si>
    <t>cliente222@mail.cl</t>
  </si>
  <si>
    <t>Carlos Wladimir Lara Muñoz</t>
  </si>
  <si>
    <t>cliente260@mail.cl</t>
  </si>
  <si>
    <t>Víctor Alejandro Ramírez Soto</t>
  </si>
  <si>
    <t>cliente148@mail.cl</t>
  </si>
  <si>
    <t>Raquel Guadalupe Canales Maturana</t>
  </si>
  <si>
    <t>cliente103@mail.cl</t>
  </si>
  <si>
    <t>Humberto José Rivera Leiva</t>
  </si>
  <si>
    <t>cliente44@mail.cl</t>
  </si>
  <si>
    <t>Clara Rosa Aros Guerrero</t>
  </si>
  <si>
    <t>cliente165@mail.cl</t>
  </si>
  <si>
    <t>Rolando Patricio Muñoz Barría</t>
  </si>
  <si>
    <t>cliente144@mail.cl</t>
  </si>
  <si>
    <t>Felipe Daniel González Salinas</t>
  </si>
  <si>
    <t>cliente26@mail.cl</t>
  </si>
  <si>
    <t>Raquel Silva Méndez</t>
  </si>
  <si>
    <t>cliente69@mail.cl</t>
  </si>
  <si>
    <t>José Juan Vargas Vega</t>
  </si>
  <si>
    <t>cliente137@mail.cl</t>
  </si>
  <si>
    <t>Carol Adelina Maldonado Saavedra</t>
  </si>
  <si>
    <t>cliente226@mail.cl</t>
  </si>
  <si>
    <t>Constanza Osorio</t>
  </si>
  <si>
    <t>cliente121@mail.cl</t>
  </si>
  <si>
    <t>Gaspar Oscar Concha Torres</t>
  </si>
  <si>
    <t>cliente145@mail.cl</t>
  </si>
  <si>
    <t>Pedro Ramón Serrano Ibáñez</t>
  </si>
  <si>
    <t>cliente80@mail.cl</t>
  </si>
  <si>
    <t>Christian Francisco Rojas Oyarzo</t>
  </si>
  <si>
    <t>cliente38@mail.cl</t>
  </si>
  <si>
    <t>Claudio Rodrigo Mancilla Sáez</t>
  </si>
  <si>
    <t>cliente191@mail.cl</t>
  </si>
  <si>
    <t>Rossana Flores</t>
  </si>
  <si>
    <t>cliente58@mail.cl</t>
  </si>
  <si>
    <t>Martín Jorge Vergara Sáez</t>
  </si>
  <si>
    <t>cliente125@mail.cl</t>
  </si>
  <si>
    <t>María Anahí Mella Carrasco</t>
  </si>
  <si>
    <t>cliente104@mail.cl</t>
  </si>
  <si>
    <t>Mauricio Paul Gajardo Córdova</t>
  </si>
  <si>
    <t>cliente205@mail.cl</t>
  </si>
  <si>
    <t>María Palacios</t>
  </si>
  <si>
    <t>cliente130@mail.cl</t>
  </si>
  <si>
    <t>Rudecindo Cares</t>
  </si>
  <si>
    <t>cliente86@mail.cl</t>
  </si>
  <si>
    <t>Leonor Corvalán</t>
  </si>
  <si>
    <t>cliente95@mail.cl</t>
  </si>
  <si>
    <t>Ana Martinez García</t>
  </si>
  <si>
    <t>cliente1@mail.cl</t>
  </si>
  <si>
    <t>César Carlos Espinoza Uribe</t>
  </si>
  <si>
    <t>cliente4@mail.cl</t>
  </si>
  <si>
    <t>Ingrid María Velásquez Herrera</t>
  </si>
  <si>
    <t>cliente61@mail.cl</t>
  </si>
  <si>
    <t>Yaritza Quiroga Martínez</t>
  </si>
  <si>
    <t>cliente6@mail.cl</t>
  </si>
  <si>
    <t>Guillermo Oscar Cid Díaz</t>
  </si>
  <si>
    <t>cliente274@mail.cl</t>
  </si>
  <si>
    <t>Claudio Diego Cisterna Rojas</t>
  </si>
  <si>
    <t>cliente105@mail.cl</t>
  </si>
  <si>
    <t>Antonella Julia Urrutia Oyarzo</t>
  </si>
  <si>
    <t>cliente169@mail.cl</t>
  </si>
  <si>
    <t>Arnoldo Anselmo Cubillos Veloso</t>
  </si>
  <si>
    <t>cliente64@mail.cl</t>
  </si>
  <si>
    <t>Eduardo Manuel Morales Riffo</t>
  </si>
  <si>
    <t>cliente53@mail.cl</t>
  </si>
  <si>
    <t>Eladio Sandro Gaete Salazar</t>
  </si>
  <si>
    <t>cliente228@mail.cl</t>
  </si>
  <si>
    <t>Ulises Bruno Gallardo Piña</t>
  </si>
  <si>
    <t>cliente256@mail.cl</t>
  </si>
  <si>
    <t>Máximo Pablo Leal Romero</t>
  </si>
  <si>
    <t>cliente75@mail.cl</t>
  </si>
  <si>
    <t>Lucas Miguel San Martín Catalán</t>
  </si>
  <si>
    <t>cliente109@mail.cl</t>
  </si>
  <si>
    <t>Víctor Raúl Ibarra Paredes</t>
  </si>
  <si>
    <t>cliente216@mail.cl</t>
  </si>
  <si>
    <t>Tatiana Catalina Gutiérrez Quiroz</t>
  </si>
  <si>
    <t>cliente97@mail.cl</t>
  </si>
  <si>
    <t>Berta Huerta García</t>
  </si>
  <si>
    <t>cliente225@mail.cl</t>
  </si>
  <si>
    <t>Alejandro Rodrigo Toro Espinoza</t>
  </si>
  <si>
    <t>cliente37@mail.cl</t>
  </si>
  <si>
    <t>Angélica Reyes</t>
  </si>
  <si>
    <t>cliente267@mail.cl</t>
  </si>
  <si>
    <t>Gloria Durán</t>
  </si>
  <si>
    <t>cliente278@mail.cl</t>
  </si>
  <si>
    <t>Daniel Alejandro Rivera Ibarra</t>
  </si>
  <si>
    <t>cliente116@mail.cl</t>
  </si>
  <si>
    <t>Rodrigo Cornejo Aranda</t>
  </si>
  <si>
    <t>cliente206@mail.cl</t>
  </si>
  <si>
    <t>Vanessa Emilia Osorio Saavedra</t>
  </si>
  <si>
    <t>cliente18@mail.cl</t>
  </si>
  <si>
    <t>Luis Gabriel Barrera Castillo</t>
  </si>
  <si>
    <t>cliente72@mail.cl</t>
  </si>
  <si>
    <t>Alexi Ignacio Azócar Chávez</t>
  </si>
  <si>
    <t>cliente88@mail.cl</t>
  </si>
  <si>
    <t>Carlos Pérez</t>
  </si>
  <si>
    <t>cliente237@mail.cl</t>
  </si>
  <si>
    <t>Alfredo Vega</t>
  </si>
  <si>
    <t>cliente147@mail.cl</t>
  </si>
  <si>
    <t>Felipe Cofré Molina</t>
  </si>
  <si>
    <t>cliente188@mail.cl</t>
  </si>
  <si>
    <t>Metropolitana</t>
  </si>
  <si>
    <t>Samuel Arias Gatica</t>
  </si>
  <si>
    <t>cliente13@mail.cl</t>
  </si>
  <si>
    <t>Ian Dante Tapia Pereira</t>
  </si>
  <si>
    <t>cliente248@mail.cl</t>
  </si>
  <si>
    <t>Hilda Javiera Cofré Lucero</t>
  </si>
  <si>
    <t>cliente142@mail.cl</t>
  </si>
  <si>
    <t>Laura Aguilera Orellana</t>
  </si>
  <si>
    <t>cliente22@mail.cl</t>
  </si>
  <si>
    <t>Carlos David Miranda Cifuentes</t>
  </si>
  <si>
    <t>cliente163@mail.cl</t>
  </si>
  <si>
    <t>Emilia Consuelo González Vallejos</t>
  </si>
  <si>
    <t>cliente247@mail.cl</t>
  </si>
  <si>
    <t>Andrea Josefina Galaz Ríos</t>
  </si>
  <si>
    <t>cliente101@mail.cl</t>
  </si>
  <si>
    <t>Yasna Colomba Olivares Prieto</t>
  </si>
  <si>
    <t>cliente185@mail.cl</t>
  </si>
  <si>
    <t>Nelson Francisco Baeza Fuenzalida</t>
  </si>
  <si>
    <t>cliente157@mail.cl</t>
  </si>
  <si>
    <t>Carolina Pinto</t>
  </si>
  <si>
    <t>cliente120@mail.cl</t>
  </si>
  <si>
    <t>Elsa Llanos</t>
  </si>
  <si>
    <t>cliente229@mail.cl</t>
  </si>
  <si>
    <t>Miguel Avendaño Soto</t>
  </si>
  <si>
    <t>cliente201@mail.cl</t>
  </si>
  <si>
    <t>Gloria Leyton</t>
  </si>
  <si>
    <t>cliente241@mail.cl</t>
  </si>
  <si>
    <t>Ana Mercado Araya</t>
  </si>
  <si>
    <t>cliente9@mail.cl</t>
  </si>
  <si>
    <t>Omar Maximiliano Molina Fuentes</t>
  </si>
  <si>
    <t>cliente34@mail.cl</t>
  </si>
  <si>
    <t>Alfonso José Sáez Barrientos</t>
  </si>
  <si>
    <t>cliente174@mail.cl</t>
  </si>
  <si>
    <t>Víctor Matamala</t>
  </si>
  <si>
    <t>cliente219@mail.cl</t>
  </si>
  <si>
    <t>Bárbara Molina Aranda</t>
  </si>
  <si>
    <t>cliente60@mail.cl</t>
  </si>
  <si>
    <t>Franklin Torres Pastén</t>
  </si>
  <si>
    <t>cliente227@mail.cl</t>
  </si>
  <si>
    <t>Patricio Gonzalo Toledo Arce</t>
  </si>
  <si>
    <t>cliente211@mail.cl</t>
  </si>
  <si>
    <t>Juan Rivera</t>
  </si>
  <si>
    <t>cliente71@mail.cl</t>
  </si>
  <si>
    <t>Germán Bustamante Valenzuela</t>
  </si>
  <si>
    <t>cliente213@mail.cl</t>
  </si>
  <si>
    <t>Benjamín Fernando Olea Retamal</t>
  </si>
  <si>
    <t>cliente76@mail.cl</t>
  </si>
  <si>
    <t>David Javier Muñoz González</t>
  </si>
  <si>
    <t>cliente14@mail.cl</t>
  </si>
  <si>
    <t>Irma Espinoza Araya</t>
  </si>
  <si>
    <t>cliente93@mail.cl</t>
  </si>
  <si>
    <t>Fanny María Gómez Hernández</t>
  </si>
  <si>
    <t>cliente107@mail.cl</t>
  </si>
  <si>
    <t>Alejandra Vega</t>
  </si>
  <si>
    <t>cliente171@mail.cl</t>
  </si>
  <si>
    <t>Miguel Esteban Soto Silva</t>
  </si>
  <si>
    <t>cliente243@mail.cl</t>
  </si>
  <si>
    <t>Raimundo Mario Rubilar Flores</t>
  </si>
  <si>
    <t>cliente62@mail.cl</t>
  </si>
  <si>
    <t>Agustina Rosa Rojas Pastén</t>
  </si>
  <si>
    <t>cliente12@mail.cl</t>
  </si>
  <si>
    <t>Carol Antonia Sandoval Chávez</t>
  </si>
  <si>
    <t>cliente32@mail.cl</t>
  </si>
  <si>
    <t>Benjamín Claudio Riffo Cid</t>
  </si>
  <si>
    <t>cliente177@mail.cl</t>
  </si>
  <si>
    <t>Belén Gamboa Carvajal</t>
  </si>
  <si>
    <t>cliente92@mail.cl</t>
  </si>
  <si>
    <t>Jocelyn Gabriela López Guzmán</t>
  </si>
  <si>
    <t>cliente33@mail.cl</t>
  </si>
  <si>
    <t>Milagros Marisol Tapia Rubio</t>
  </si>
  <si>
    <t>cliente51@mail.cl</t>
  </si>
  <si>
    <t>Bárbara Torres</t>
  </si>
  <si>
    <t>cliente70@mail.cl</t>
  </si>
  <si>
    <t>Sergio Carlos Pavez Díaz</t>
  </si>
  <si>
    <t>cliente166@mail.cl</t>
  </si>
  <si>
    <t>Tomás Johan Vargas Leiva</t>
  </si>
  <si>
    <t>cliente231@mail.cl</t>
  </si>
  <si>
    <t>Patricio Luis Guzmán Herrera</t>
  </si>
  <si>
    <t>cliente159@mail.cl</t>
  </si>
  <si>
    <t>Luis Franco Barros Hermosilla</t>
  </si>
  <si>
    <t>cliente253@mail.cl</t>
  </si>
  <si>
    <t>Josefa Plaza</t>
  </si>
  <si>
    <t>cliente36@mail.cl</t>
  </si>
  <si>
    <t>Claudio Fernando Morales Bravo</t>
  </si>
  <si>
    <t>cliente266@mail.cl</t>
  </si>
  <si>
    <t>Leonor María Romero Fuentes</t>
  </si>
  <si>
    <t>cliente46@mail.cl</t>
  </si>
  <si>
    <t>Alejandra Castro Torres</t>
  </si>
  <si>
    <t>cliente129@mail.cl</t>
  </si>
  <si>
    <t>Pedro Jorge Cartes Pérez</t>
  </si>
  <si>
    <t>cliente182@mail.cl</t>
  </si>
  <si>
    <t>Fernanda Pérez Calderón</t>
  </si>
  <si>
    <t>cliente273@mail.cl</t>
  </si>
  <si>
    <t>Geraldine Irma Álvarez Díaz</t>
  </si>
  <si>
    <t>cliente63@mail.cl</t>
  </si>
  <si>
    <t>Lissette Susan Mella Sánchez</t>
  </si>
  <si>
    <t>cliente25@mail.cl</t>
  </si>
  <si>
    <t>Samuel Arias</t>
  </si>
  <si>
    <t>cliente164@mail.cl</t>
  </si>
  <si>
    <t>Vicente Juan Cáceres Castillo</t>
  </si>
  <si>
    <t>cliente215@mail.cl</t>
  </si>
  <si>
    <t>Samuel Aguilera</t>
  </si>
  <si>
    <t>cliente66@mail.cl</t>
  </si>
  <si>
    <t>Cecilia Edith Muñoz Toro</t>
  </si>
  <si>
    <t>cliente151@mail.cl</t>
  </si>
  <si>
    <t>Luis Guillermo Muñoz Cerda</t>
  </si>
  <si>
    <t>cliente187@mail.cl</t>
  </si>
  <si>
    <t>Gonzalo Felipe Martínez Acevedo</t>
  </si>
  <si>
    <t>cliente155@mail.cl</t>
  </si>
  <si>
    <t>Osvaldo Víctor Rivera Palma</t>
  </si>
  <si>
    <t>cliente279@mail.cl</t>
  </si>
  <si>
    <t>Susana María Soto Véliz</t>
  </si>
  <si>
    <t>cliente52@mail.cl</t>
  </si>
  <si>
    <t>Juan Rodríguez Acevedo</t>
  </si>
  <si>
    <t>cliente131@mail.cl</t>
  </si>
  <si>
    <t>Eduardo Castro Rivera</t>
  </si>
  <si>
    <t>cliente209@mail.cl</t>
  </si>
  <si>
    <t>José Ángel Fuentes Gutiérrez</t>
  </si>
  <si>
    <t>cliente259@mail.cl</t>
  </si>
  <si>
    <t>Andrés Díaz Ortega</t>
  </si>
  <si>
    <t>cliente16@mail.cl</t>
  </si>
  <si>
    <t>Bastián Kevin Oñate Toledo</t>
  </si>
  <si>
    <t>cliente17@mail.cl</t>
  </si>
  <si>
    <t>Angelo Juan Vivanco Escobar</t>
  </si>
  <si>
    <t>cliente8@mail.cl</t>
  </si>
  <si>
    <t>Daniela Francisca Palacios Allendes</t>
  </si>
  <si>
    <t>cliente7@mail.cl</t>
  </si>
  <si>
    <t>Edith Uberlinda Jiménez Valenzuela</t>
  </si>
  <si>
    <t>cliente258@mail.cl</t>
  </si>
  <si>
    <t>Alexis Juan Contreras Vega</t>
  </si>
  <si>
    <t>cliente21@mail.cl</t>
  </si>
  <si>
    <t>Alison Araya-Millán</t>
  </si>
  <si>
    <t>cliente272@mail.cl</t>
  </si>
  <si>
    <t>Constanza Seguel Morales</t>
  </si>
  <si>
    <t>cliente197@mail.cl</t>
  </si>
  <si>
    <t>María Ávalos Vergara</t>
  </si>
  <si>
    <t>cliente91@mail.cl</t>
  </si>
  <si>
    <t>Gonzalo Jorge Muñoz Reyes</t>
  </si>
  <si>
    <t>cliente108@mail.cl</t>
  </si>
  <si>
    <t>Olga Agustina Rojas Rodríguez</t>
  </si>
  <si>
    <t>cliente192@mail.cl</t>
  </si>
  <si>
    <t>Mario Fonseca</t>
  </si>
  <si>
    <t>cliente139@mail.cl</t>
  </si>
  <si>
    <t>Gloria Urra Ramos</t>
  </si>
  <si>
    <t>cliente74@mail.cl</t>
  </si>
  <si>
    <t>Luis Víctor Garrido Cortés</t>
  </si>
  <si>
    <t>cliente119@mail.cl</t>
  </si>
  <si>
    <t>Alejandra Navarro</t>
  </si>
  <si>
    <t>cliente264@mail.cl</t>
  </si>
  <si>
    <t>John Alvarado Albornoz</t>
  </si>
  <si>
    <t>cliente138@mail.cl</t>
  </si>
  <si>
    <t>Sergio Guerrero Salazar</t>
  </si>
  <si>
    <t>cliente135@mail.cl</t>
  </si>
  <si>
    <t>María Soto Castillo</t>
  </si>
  <si>
    <t>cliente128@mail.cl</t>
  </si>
  <si>
    <t>María Bravo Vásquez</t>
  </si>
  <si>
    <t>cliente73@mail.cl</t>
  </si>
  <si>
    <t>Fernanda Carmen Mora Guerrero</t>
  </si>
  <si>
    <t>cliente3@mail.cl</t>
  </si>
  <si>
    <t>Luis Cisternas Apablaza</t>
  </si>
  <si>
    <t>cliente251@mail.cl</t>
  </si>
  <si>
    <t>Carlos Valdés Muñoz</t>
  </si>
  <si>
    <t>cliente214@mail.cl</t>
  </si>
  <si>
    <t>Cristian Marambio Reyes</t>
  </si>
  <si>
    <t>cliente223@mail.cl</t>
  </si>
  <si>
    <t>Marina Carolina Palacios Araneda</t>
  </si>
  <si>
    <t>cliente5@mail.cl</t>
  </si>
  <si>
    <t>Olivia Pino Pizarro</t>
  </si>
  <si>
    <t>cliente149@mail.cl</t>
  </si>
  <si>
    <t>Javier Diego Navarrete Peña</t>
  </si>
  <si>
    <t>cliente47@mail.cl</t>
  </si>
  <si>
    <t>Amparo Javiera Rodríguez Contreras</t>
  </si>
  <si>
    <t>cliente244@mail.cl</t>
  </si>
  <si>
    <t>Sergio Carlos Cerda-Reyes Toledo</t>
  </si>
  <si>
    <t>cliente168@mail.cl</t>
  </si>
  <si>
    <t>Noelia Lizama</t>
  </si>
  <si>
    <t>cliente82@mail.cl</t>
  </si>
  <si>
    <t>Gisela Carol Ávila Suárez</t>
  </si>
  <si>
    <t>cliente180@mail.cl</t>
  </si>
  <si>
    <t>Mariela Urzúa Moreno</t>
  </si>
  <si>
    <t>cliente106@mail.cl</t>
  </si>
  <si>
    <t>Esteban Cárdenas Silva</t>
  </si>
  <si>
    <t>cliente153@mail.cl</t>
  </si>
  <si>
    <t>Hernán Benjamín Lira González</t>
  </si>
  <si>
    <t>cliente111@mail.cl</t>
  </si>
  <si>
    <t>Franco Espinosa</t>
  </si>
  <si>
    <t>cliente54@mail.cl</t>
  </si>
  <si>
    <t>Bárbara Valeria Vergara Solar</t>
  </si>
  <si>
    <t>cliente179@mail.cl</t>
  </si>
  <si>
    <t>Belén Ruth Mansilla Caro</t>
  </si>
  <si>
    <t>cliente49@mail.cl</t>
  </si>
  <si>
    <t>Lucas Álvaro Acevedo Agurto</t>
  </si>
  <si>
    <t>cliente98@mail.cl</t>
  </si>
  <si>
    <t>Mariana Patricia Allende Moya</t>
  </si>
  <si>
    <t>cliente210@mail.cl</t>
  </si>
  <si>
    <t>Maite Díaz</t>
  </si>
  <si>
    <t>cliente270@mail.cl</t>
  </si>
  <si>
    <t>Braulio Diego Mondaca Muñoz</t>
  </si>
  <si>
    <t>cliente158@mail.cl</t>
  </si>
  <si>
    <t>Pablo Arroyo López</t>
  </si>
  <si>
    <t>cliente265@mail.cl</t>
  </si>
  <si>
    <t>Fernando Robles González</t>
  </si>
  <si>
    <t>cliente250@mail.cl</t>
  </si>
  <si>
    <t>Teresa Claudia Tobar Moya</t>
  </si>
  <si>
    <t>cliente124@mail.cl</t>
  </si>
  <si>
    <t>Jorge Enrique Vidal Castillo</t>
  </si>
  <si>
    <t>cliente94@mail.cl</t>
  </si>
  <si>
    <t>Pedro Héctor Toro Soto</t>
  </si>
  <si>
    <t>cliente113@mail.cl</t>
  </si>
  <si>
    <t>Verónica Cartes Rebolledo</t>
  </si>
  <si>
    <t>cliente277@mail.cl</t>
  </si>
  <si>
    <t>Andrea Ahumada Chávez</t>
  </si>
  <si>
    <t>cliente84@mail.cl</t>
  </si>
  <si>
    <t>María Evelyn Rodríguez Mardones</t>
  </si>
  <si>
    <t>cliente240@mail.cl</t>
  </si>
  <si>
    <t>Vilma Leyla Escobar Fuentes</t>
  </si>
  <si>
    <t>cliente83@mail.cl</t>
  </si>
  <si>
    <t>Manuel Muñoz González</t>
  </si>
  <si>
    <t>cliente20@mail.cl</t>
  </si>
  <si>
    <t>Bárbara Tello</t>
  </si>
  <si>
    <t>cliente85@mail.cl</t>
  </si>
  <si>
    <t>Javier Aravena</t>
  </si>
  <si>
    <t>cliente96@mail.cl</t>
  </si>
  <si>
    <t>Blanca Anahí González Retamal</t>
  </si>
  <si>
    <t>cliente230@mail.cl</t>
  </si>
  <si>
    <t>Karin Elena Jaramillo Carrasco</t>
  </si>
  <si>
    <t>cliente112@mail.cl</t>
  </si>
  <si>
    <t>Pedro Pablo Castro Ojeda</t>
  </si>
  <si>
    <t>cliente141@mail.cl</t>
  </si>
  <si>
    <t>Germán González Hermosilla</t>
  </si>
  <si>
    <t>cliente126@mail.cl</t>
  </si>
  <si>
    <t>Teresa María Alvarado Guerra</t>
  </si>
  <si>
    <t>cliente19@mail.cl</t>
  </si>
  <si>
    <t>Tamara Maritza Inostroza Márquez</t>
  </si>
  <si>
    <t>cliente217@mail.cl</t>
  </si>
  <si>
    <t>Marisol Vera-León Riquelme</t>
  </si>
  <si>
    <t>cliente203@mail.cl</t>
  </si>
  <si>
    <t>Margarita Gladys Riquelme Mamani</t>
  </si>
  <si>
    <t>cliente143@mail.cl</t>
  </si>
  <si>
    <t>María Fabiana Navarro Valencia</t>
  </si>
  <si>
    <t>cliente31@mail.cl</t>
  </si>
  <si>
    <t>Héctor Pérez Carrasco</t>
  </si>
  <si>
    <t>cliente208@mail.cl</t>
  </si>
  <si>
    <t>Ricardo Iván Zapata Riquelme</t>
  </si>
  <si>
    <t>cliente27@mail.cl</t>
  </si>
  <si>
    <t>Josefa Berta Salazar Garrido</t>
  </si>
  <si>
    <t>cliente173@mail.cl</t>
  </si>
  <si>
    <t>Carolina Villagrán Miranda</t>
  </si>
  <si>
    <t>cliente175@mail.cl</t>
  </si>
  <si>
    <t>Juan Michel Maldonado Molina</t>
  </si>
  <si>
    <t>cliente115@mail.cl</t>
  </si>
  <si>
    <t>Gloria Pereira González</t>
  </si>
  <si>
    <t>cliente79@mail.cl</t>
  </si>
  <si>
    <t>Juan Vergara Sandoval</t>
  </si>
  <si>
    <t>cliente89@mail.cl</t>
  </si>
  <si>
    <t>Francisca Carla Muñoz Huerta</t>
  </si>
  <si>
    <t>cliente11@mail.cl</t>
  </si>
  <si>
    <t>Carmen Fuenzalida López</t>
  </si>
  <si>
    <t>cliente15@mail.cl</t>
  </si>
  <si>
    <t>Benjamín Abarca</t>
  </si>
  <si>
    <t>cliente170@mail.cl</t>
  </si>
  <si>
    <t>Valeska Godoy Riquelme</t>
  </si>
  <si>
    <t>cliente276@mail.cl</t>
  </si>
  <si>
    <t>Alexandra Fuentes Lara</t>
  </si>
  <si>
    <t>cliente181@mail.cl</t>
  </si>
  <si>
    <t>María Josefina Flores Manríquez</t>
  </si>
  <si>
    <t>cliente146@mail.cl</t>
  </si>
  <si>
    <t>Eduardo Escobar Castro</t>
  </si>
  <si>
    <t>cliente59@mail.cl</t>
  </si>
  <si>
    <t>Mario Daniel Hernández Álvarez</t>
  </si>
  <si>
    <t>cliente57@mail.cl</t>
  </si>
  <si>
    <t>Cristian Daniel Muñoz Morales</t>
  </si>
  <si>
    <t>cliente152@mail.cl</t>
  </si>
  <si>
    <t>Nicolás Soto Aguilera</t>
  </si>
  <si>
    <t>cliente262@mail.cl</t>
  </si>
  <si>
    <t>Jorge Giovanny Valencia Ramírez</t>
  </si>
  <si>
    <t>cliente29@mail.cl</t>
  </si>
  <si>
    <t>Luis Carvajal</t>
  </si>
  <si>
    <t>cliente161@mail.cl</t>
  </si>
  <si>
    <t>María Silvia Parra Espinosa</t>
  </si>
  <si>
    <t>cliente236@mail.cl</t>
  </si>
  <si>
    <t>José Alejandro Araya Barros</t>
  </si>
  <si>
    <t>cliente194@mail.cl</t>
  </si>
  <si>
    <t>Ariel Andrade</t>
  </si>
  <si>
    <t>cliente245@mail.cl</t>
  </si>
  <si>
    <t>María Amanda Vargas Alarcón</t>
  </si>
  <si>
    <t>cliente77@mail.cl</t>
  </si>
  <si>
    <t>Matías Kevin Pérez Escalona</t>
  </si>
  <si>
    <t>cliente42@mail.cl</t>
  </si>
  <si>
    <t>Flor Samantha Méndez Cuevas</t>
  </si>
  <si>
    <t>cliente134@mail.cl</t>
  </si>
  <si>
    <t>Elia Alicia Araya Mora</t>
  </si>
  <si>
    <t>cliente190@mail.cl</t>
  </si>
  <si>
    <t>Sara Saavedra</t>
  </si>
  <si>
    <t>cliente133@mail.cl</t>
  </si>
  <si>
    <t>Patricia Antonia García Muñoz</t>
  </si>
  <si>
    <t>cliente183@mail.cl</t>
  </si>
  <si>
    <t>Luis Chávez Tello</t>
  </si>
  <si>
    <t>cliente233@mail.cl</t>
  </si>
  <si>
    <t>Patricia Raquel Reyes Parra</t>
  </si>
  <si>
    <t>cliente150@mail.cl</t>
  </si>
  <si>
    <t>Fabián Cristian Hormazábal Villablanca</t>
  </si>
  <si>
    <t>cliente199@mail.cl</t>
  </si>
  <si>
    <t>Stephanie Hilda Muñoz Elgueta</t>
  </si>
  <si>
    <t>cliente200@mail.cl</t>
  </si>
  <si>
    <t>Vanessa Silva Campos</t>
  </si>
  <si>
    <t>cliente257@mail.cl</t>
  </si>
  <si>
    <t>Luisa Pía Figueroa Moreno</t>
  </si>
  <si>
    <t>cliente24@mail.cl</t>
  </si>
  <si>
    <t>Anahí Ana Cornejo Mendoza</t>
  </si>
  <si>
    <t>cliente78@mail.cl</t>
  </si>
  <si>
    <t>María Mayte González Villegas</t>
  </si>
  <si>
    <t>cliente156@mail.cl</t>
  </si>
  <si>
    <t>Manuel Alonso Núñez Santibáñez</t>
  </si>
  <si>
    <t>cliente140@mail.cl</t>
  </si>
  <si>
    <t>Héctor Benjamín Sánchez Muñoz</t>
  </si>
  <si>
    <t>cliente10@mail.cl</t>
  </si>
  <si>
    <t>Manuel Tomás Espinoza Díaz</t>
  </si>
  <si>
    <t>cliente56@mail.cl</t>
  </si>
  <si>
    <t>Gaspar Cristian Vega Venegas</t>
  </si>
  <si>
    <t>cliente280@mail.cl</t>
  </si>
  <si>
    <t>David Márquez</t>
  </si>
  <si>
    <t>cliente198@mail.cl</t>
  </si>
  <si>
    <t>Luz Pía Guerra Castillo</t>
  </si>
  <si>
    <t>cliente154@mail.cl</t>
  </si>
  <si>
    <t>Carolina Patricia Espinoza Berríos</t>
  </si>
  <si>
    <t>cliente275@mail.cl</t>
  </si>
  <si>
    <t>Pablo Salazar</t>
  </si>
  <si>
    <t>cliente235@mail.cl</t>
  </si>
  <si>
    <t>Julia Solange Maturana Cáceres</t>
  </si>
  <si>
    <t>cliente28@mail.cl</t>
  </si>
  <si>
    <t>Juan Morales Sánchez</t>
  </si>
  <si>
    <t>cliente48@mail.cl</t>
  </si>
  <si>
    <t>Etiquetas de fila</t>
  </si>
  <si>
    <t>Total general</t>
  </si>
  <si>
    <t>Descuento</t>
  </si>
  <si>
    <t>26</t>
  </si>
  <si>
    <t>43</t>
  </si>
  <si>
    <t>38</t>
  </si>
  <si>
    <t>34</t>
  </si>
  <si>
    <t>18</t>
  </si>
  <si>
    <t>35</t>
  </si>
  <si>
    <t>29</t>
  </si>
  <si>
    <t>25</t>
  </si>
  <si>
    <t>27</t>
  </si>
  <si>
    <t>45</t>
  </si>
  <si>
    <t>23</t>
  </si>
  <si>
    <t>50</t>
  </si>
  <si>
    <t>44</t>
  </si>
  <si>
    <t>47</t>
  </si>
  <si>
    <t>39</t>
  </si>
  <si>
    <t>41</t>
  </si>
  <si>
    <t>22</t>
  </si>
  <si>
    <t>40</t>
  </si>
  <si>
    <t>33</t>
  </si>
  <si>
    <t>42</t>
  </si>
  <si>
    <t>55</t>
  </si>
  <si>
    <t>21</t>
  </si>
  <si>
    <t>31</t>
  </si>
  <si>
    <t>28</t>
  </si>
  <si>
    <t>70</t>
  </si>
  <si>
    <t>54</t>
  </si>
  <si>
    <t>59</t>
  </si>
  <si>
    <t>36</t>
  </si>
  <si>
    <t>46</t>
  </si>
  <si>
    <t>49</t>
  </si>
  <si>
    <t>24</t>
  </si>
  <si>
    <t>32</t>
  </si>
  <si>
    <t>67</t>
  </si>
  <si>
    <t>37</t>
  </si>
  <si>
    <t>20</t>
  </si>
  <si>
    <t>30</t>
  </si>
  <si>
    <t>51</t>
  </si>
  <si>
    <t>63</t>
  </si>
  <si>
    <t>56</t>
  </si>
  <si>
    <t>65</t>
  </si>
  <si>
    <t>48</t>
  </si>
  <si>
    <t>64</t>
  </si>
  <si>
    <t>53</t>
  </si>
  <si>
    <t>60</t>
  </si>
  <si>
    <t>19</t>
  </si>
  <si>
    <t>57</t>
  </si>
  <si>
    <t>75</t>
  </si>
  <si>
    <t>Total Venta</t>
  </si>
  <si>
    <t>Total</t>
  </si>
  <si>
    <t>Suma de Total</t>
  </si>
  <si>
    <t>Etiquetas de columna</t>
  </si>
  <si>
    <t>Cant Ventas</t>
  </si>
  <si>
    <t>Id_Cliente</t>
  </si>
  <si>
    <t>Promedio de Venta</t>
  </si>
  <si>
    <t>Promedio Venta por Cliente</t>
  </si>
  <si>
    <t>Tramo Cliente Premium</t>
  </si>
  <si>
    <t>Promedio de Compras por cliente</t>
  </si>
  <si>
    <t>Tramo Cliente Frecuente</t>
  </si>
  <si>
    <t>Tramo Cliente Nuevo</t>
  </si>
  <si>
    <t>total compra mayor o igual</t>
  </si>
  <si>
    <t>cant compra mayor o igual</t>
  </si>
  <si>
    <t>Fecha compra mayor o igual</t>
  </si>
  <si>
    <t>Promedio venta por Empleado</t>
  </si>
  <si>
    <t>2023</t>
  </si>
  <si>
    <t>2024</t>
  </si>
  <si>
    <t>2025</t>
  </si>
  <si>
    <t>Id_Empleado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</si>
</sst>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2" fontId="0" fillId="0" borderId="0" xfId="1" applyFont="1"/>
    <xf numFmtId="0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2" fontId="0" fillId="0" borderId="0" xfId="1" applyNumberFormat="1" applyFont="1"/>
  </cellXfs>
  <cellStyles count="2">
    <cellStyle name="Moneda [0]" xfId="1" builtinId="7"/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[ABP M2 Excel Avanzado - Cristian Labra Castro.xlsx]Indicadores!TablaDinámica4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Indicadores!$B$3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Indicadores!$A$4:$A$9</c:f>
              <c:strCache>
                <c:ptCount val="5"/>
                <c:pt idx="0">
                  <c:v>Belleza</c:v>
                </c:pt>
                <c:pt idx="1">
                  <c:v>Calzado</c:v>
                </c:pt>
                <c:pt idx="2">
                  <c:v>Electrohogar</c:v>
                </c:pt>
                <c:pt idx="3">
                  <c:v>Tecnología</c:v>
                </c:pt>
                <c:pt idx="4">
                  <c:v>Vestuario</c:v>
                </c:pt>
              </c:strCache>
            </c:strRef>
          </c:cat>
          <c:val>
            <c:numRef>
              <c:f>Indicadores!$B$4:$B$9</c:f>
              <c:numCache>
                <c:formatCode>General</c:formatCode>
                <c:ptCount val="5"/>
                <c:pt idx="0">
                  <c:v>9494800</c:v>
                </c:pt>
                <c:pt idx="1">
                  <c:v>9270250</c:v>
                </c:pt>
                <c:pt idx="2">
                  <c:v>454535000</c:v>
                </c:pt>
                <c:pt idx="3">
                  <c:v>254433000</c:v>
                </c:pt>
                <c:pt idx="4">
                  <c:v>7326440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8-468B-B468-64E50A059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[ABP M2 Excel Avanzado - Cristian Labra Castro.xlsx]Indicadores!TablaDinámica5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por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302537182852144"/>
          <c:y val="0.24939596092155147"/>
          <c:w val="0.6977893700787402"/>
          <c:h val="0.378988407699037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Indicadores!$B$18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Indicadores!$A$19:$A$27</c:f>
              <c:strCache>
                <c:ptCount val="8"/>
                <c:pt idx="0">
                  <c:v>Antofagasta</c:v>
                </c:pt>
                <c:pt idx="1">
                  <c:v>Biobío</c:v>
                </c:pt>
                <c:pt idx="2">
                  <c:v>Coquimbo</c:v>
                </c:pt>
                <c:pt idx="3">
                  <c:v>La Araucanía</c:v>
                </c:pt>
                <c:pt idx="4">
                  <c:v>Los Lagos</c:v>
                </c:pt>
                <c:pt idx="5">
                  <c:v>Metropolitana</c:v>
                </c:pt>
                <c:pt idx="6">
                  <c:v>O'Higgins</c:v>
                </c:pt>
                <c:pt idx="7">
                  <c:v>Valparaíso</c:v>
                </c:pt>
              </c:strCache>
            </c:strRef>
          </c:cat>
          <c:val>
            <c:numRef>
              <c:f>Indicadores!$B$19:$B$27</c:f>
              <c:numCache>
                <c:formatCode>General</c:formatCode>
                <c:ptCount val="8"/>
                <c:pt idx="0">
                  <c:v>85520220</c:v>
                </c:pt>
                <c:pt idx="1">
                  <c:v>181098090</c:v>
                </c:pt>
                <c:pt idx="2">
                  <c:v>12999200</c:v>
                </c:pt>
                <c:pt idx="3">
                  <c:v>56226390</c:v>
                </c:pt>
                <c:pt idx="4">
                  <c:v>85864070</c:v>
                </c:pt>
                <c:pt idx="5">
                  <c:v>70904250</c:v>
                </c:pt>
                <c:pt idx="6">
                  <c:v>84316910</c:v>
                </c:pt>
                <c:pt idx="7">
                  <c:v>158130360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2-4B18-9C92-08A908C2B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9110064"/>
        <c:axId val="1799109584"/>
      </c:barChart>
      <c:catAx>
        <c:axId val="179911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99109584"/>
        <c:crosses val="autoZero"/>
        <c:auto val="1"/>
        <c:lblAlgn val="ctr"/>
        <c:lblOffset val="100"/>
        <c:noMultiLvlLbl val="0"/>
      </c:catAx>
      <c:valAx>
        <c:axId val="179910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9911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[ABP M2 Excel Avanzado - Cristian Labra Castro.xlsx]Indicadores!TablaDinámica6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Ventas Por Fecha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Indicadores!$L$2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Indicadores!$K$3:$K$6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Indicadores!$L$3:$L$6</c:f>
              <c:numCache>
                <c:formatCode>General</c:formatCode>
                <c:ptCount val="3"/>
                <c:pt idx="0">
                  <c:v>285426030</c:v>
                </c:pt>
                <c:pt idx="1">
                  <c:v>249251250</c:v>
                </c:pt>
                <c:pt idx="2">
                  <c:v>200382210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E8-410C-ACBD-F2B528D5C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28863"/>
        <c:axId val="9129343"/>
      </c:lineChart>
      <c:catAx>
        <c:axId val="912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29343"/>
        <c:crosses val="autoZero"/>
        <c:auto val="1"/>
        <c:lblAlgn val="ctr"/>
        <c:lblOffset val="100"/>
        <c:noMultiLvlLbl val="0"/>
      </c:catAx>
      <c:valAx>
        <c:axId val="912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12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[ABP M2 Excel Avanzado - Cristian Labra Castro.xlsx]Indicadores!TablaDinámica7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Indicadores!$L$19:$L$20</c:f>
              <c:strCache>
                <c:ptCount val="1"/>
                <c:pt idx="0">
                  <c:v>Belleza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Indicadores!$K$21:$K$24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Indicadores!$L$21:$L$24</c:f>
              <c:numCache>
                <c:formatCode>General</c:formatCode>
                <c:ptCount val="3"/>
                <c:pt idx="0">
                  <c:v>3208550</c:v>
                </c:pt>
                <c:pt idx="1">
                  <c:v>3645050</c:v>
                </c:pt>
                <c:pt idx="2">
                  <c:v>2641200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2-4917-A5C7-B1696D3214A9}"/>
            </c:ext>
          </c:extLst>
        </c:ser>
        <c:ser>
          <c:idx val="1"/>
          <c:order val="1"/>
          <c:tx>
            <c:strRef>
              <c:f>Indicadores!$M$19:$M$20</c:f>
              <c:strCache>
                <c:ptCount val="1"/>
                <c:pt idx="0">
                  <c:v>Calzado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Indicadores!$K$21:$K$24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Indicadores!$M$21:$M$24</c:f>
              <c:numCache>
                <c:formatCode>General</c:formatCode>
                <c:ptCount val="3"/>
                <c:pt idx="0">
                  <c:v>3773000</c:v>
                </c:pt>
                <c:pt idx="1">
                  <c:v>3590400</c:v>
                </c:pt>
                <c:pt idx="2">
                  <c:v>1906850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82-4917-A5C7-B1696D3214A9}"/>
            </c:ext>
          </c:extLst>
        </c:ser>
        <c:ser>
          <c:idx val="2"/>
          <c:order val="2"/>
          <c:tx>
            <c:strRef>
              <c:f>Indicadores!$N$19:$N$20</c:f>
              <c:strCache>
                <c:ptCount val="1"/>
                <c:pt idx="0">
                  <c:v>Electrohogar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Indicadores!$K$21:$K$24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Indicadores!$N$21:$N$24</c:f>
              <c:numCache>
                <c:formatCode>General</c:formatCode>
                <c:ptCount val="3"/>
                <c:pt idx="0">
                  <c:v>183239000</c:v>
                </c:pt>
                <c:pt idx="1">
                  <c:v>156499000</c:v>
                </c:pt>
                <c:pt idx="2">
                  <c:v>114797000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82-4917-A5C7-B1696D3214A9}"/>
            </c:ext>
          </c:extLst>
        </c:ser>
        <c:ser>
          <c:idx val="3"/>
          <c:order val="3"/>
          <c:tx>
            <c:strRef>
              <c:f>Indicadores!$O$19:$O$20</c:f>
              <c:strCache>
                <c:ptCount val="1"/>
                <c:pt idx="0">
                  <c:v>Tecnología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Indicadores!$K$21:$K$24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Indicadores!$O$21:$O$24</c:f>
              <c:numCache>
                <c:formatCode>General</c:formatCode>
                <c:ptCount val="3"/>
                <c:pt idx="0">
                  <c:v>93109500</c:v>
                </c:pt>
                <c:pt idx="1">
                  <c:v>82540500</c:v>
                </c:pt>
                <c:pt idx="2">
                  <c:v>78783000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82-4917-A5C7-B1696D3214A9}"/>
            </c:ext>
          </c:extLst>
        </c:ser>
        <c:ser>
          <c:idx val="4"/>
          <c:order val="4"/>
          <c:tx>
            <c:strRef>
              <c:f>Indicadores!$P$19:$P$20</c:f>
              <c:strCache>
                <c:ptCount val="1"/>
                <c:pt idx="0">
                  <c:v>Vestuario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Indicadores!$K$21:$K$24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Indicadores!$P$21:$P$24</c:f>
              <c:numCache>
                <c:formatCode>General</c:formatCode>
                <c:ptCount val="3"/>
                <c:pt idx="0">
                  <c:v>2095980</c:v>
                </c:pt>
                <c:pt idx="1">
                  <c:v>2976300</c:v>
                </c:pt>
                <c:pt idx="2">
                  <c:v>2254160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82-4917-A5C7-B1696D321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92709024"/>
        <c:axId val="95971791"/>
        <c:axId val="0"/>
      </c:bar3DChart>
      <c:catAx>
        <c:axId val="179270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5971791"/>
        <c:crosses val="autoZero"/>
        <c:auto val="1"/>
        <c:lblAlgn val="ctr"/>
        <c:lblOffset val="100"/>
        <c:noMultiLvlLbl val="0"/>
      </c:catAx>
      <c:valAx>
        <c:axId val="9597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9270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0</xdr:row>
      <xdr:rowOff>95250</xdr:rowOff>
    </xdr:from>
    <xdr:to>
      <xdr:col>6</xdr:col>
      <xdr:colOff>400050</xdr:colOff>
      <xdr:row>12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358116-E0CF-8585-04D0-C3B81C33F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257175</xdr:colOff>
      <xdr:row>15</xdr:row>
      <xdr:rowOff>23812</xdr:rowOff>
    </xdr:from>
    <xdr:to>
      <xdr:col>8</xdr:col>
      <xdr:colOff>123825</xdr:colOff>
      <xdr:row>29</xdr:row>
      <xdr:rowOff>100012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609F982-13E5-8E46-2EF8-191F5FFDD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323850</xdr:colOff>
      <xdr:row>0</xdr:row>
      <xdr:rowOff>166686</xdr:rowOff>
    </xdr:from>
    <xdr:to>
      <xdr:col>19</xdr:col>
      <xdr:colOff>600074</xdr:colOff>
      <xdr:row>12</xdr:row>
      <xdr:rowOff>38099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AC9F735-F805-01BA-54A2-350927F09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1028700</xdr:colOff>
      <xdr:row>25</xdr:row>
      <xdr:rowOff>4762</xdr:rowOff>
    </xdr:from>
    <xdr:to>
      <xdr:col>16</xdr:col>
      <xdr:colOff>247650</xdr:colOff>
      <xdr:row>39</xdr:row>
      <xdr:rowOff>80962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26EA32F-CC27-4BB2-839C-BE3CF79A7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ian Labra Castro" refreshedDate="46044.820786342592" createdVersion="8" refreshedVersion="8" minRefreshableVersion="3" recordCount="1000" xr:uid="{554529CB-AB27-46C2-95E9-743AE8C1E577}">
  <cacheSource type="worksheet">
    <worksheetSource name="E_ShopNow__Proyecto_ABP_M2___2"/>
  </cacheSource>
  <cacheFields count="23">
    <cacheField name="id_venta" numFmtId="0">
      <sharedItems containsSemiMixedTypes="0" containsString="0" containsNumber="1" containsInteger="1" minValue="1" maxValue="1000"/>
    </cacheField>
    <cacheField name="fecha_venta" numFmtId="14">
      <sharedItems containsSemiMixedTypes="0" containsNonDate="0" containsDate="1" containsString="0" minDate="2023-01-02T00:00:00" maxDate="2025-09-28T00:00:00" count="1000"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</sharedItems>
      <fieldGroup par="22"/>
    </cacheField>
    <cacheField name="id_empleado" numFmtId="0">
      <sharedItems containsSemiMixedTypes="0" containsString="0" containsNumber="1" containsInteger="1" minValue="1" maxValue="70" count="70">
        <n v="50"/>
        <n v="13"/>
        <n v="68"/>
        <n v="60"/>
        <n v="11"/>
        <n v="14"/>
        <n v="17"/>
        <n v="57"/>
        <n v="6"/>
        <n v="43"/>
        <n v="19"/>
        <n v="49"/>
        <n v="18"/>
        <n v="21"/>
        <n v="54"/>
        <n v="46"/>
        <n v="4"/>
        <n v="16"/>
        <n v="52"/>
        <n v="36"/>
        <n v="70"/>
        <n v="62"/>
        <n v="63"/>
        <n v="45"/>
        <n v="65"/>
        <n v="12"/>
        <n v="24"/>
        <n v="20"/>
        <n v="10"/>
        <n v="25"/>
        <n v="23"/>
        <n v="32"/>
        <n v="42"/>
        <n v="64"/>
        <n v="37"/>
        <n v="51"/>
        <n v="5"/>
        <n v="48"/>
        <n v="2"/>
        <n v="61"/>
        <n v="22"/>
        <n v="38"/>
        <n v="41"/>
        <n v="30"/>
        <n v="56"/>
        <n v="40"/>
        <n v="35"/>
        <n v="33"/>
        <n v="3"/>
        <n v="15"/>
        <n v="39"/>
        <n v="26"/>
        <n v="47"/>
        <n v="67"/>
        <n v="31"/>
        <n v="34"/>
        <n v="28"/>
        <n v="55"/>
        <n v="9"/>
        <n v="58"/>
        <n v="66"/>
        <n v="27"/>
        <n v="59"/>
        <n v="53"/>
        <n v="1"/>
        <n v="8"/>
        <n v="44"/>
        <n v="29"/>
        <n v="7"/>
        <n v="69"/>
      </sharedItems>
    </cacheField>
    <cacheField name="antiguedad_vendedor" numFmtId="0">
      <sharedItems containsSemiMixedTypes="0" containsString="0" containsNumber="1" containsInteger="1" minValue="0" maxValue="13"/>
    </cacheField>
    <cacheField name="id_cliente" numFmtId="0">
      <sharedItems containsSemiMixedTypes="0" containsString="0" containsNumber="1" containsInteger="1" minValue="1" maxValue="280" count="276">
        <n v="254"/>
        <n v="102"/>
        <n v="196"/>
        <n v="65"/>
        <n v="218"/>
        <n v="202"/>
        <n v="160"/>
        <n v="242"/>
        <n v="255"/>
        <n v="35"/>
        <n v="136"/>
        <n v="50"/>
        <n v="81"/>
        <n v="189"/>
        <n v="67"/>
        <n v="269"/>
        <n v="207"/>
        <n v="234"/>
        <n v="39"/>
        <n v="224"/>
        <n v="172"/>
        <n v="40"/>
        <n v="232"/>
        <n v="23"/>
        <n v="132"/>
        <n v="114"/>
        <n v="252"/>
        <n v="220"/>
        <n v="110"/>
        <n v="122"/>
        <n v="162"/>
        <n v="43"/>
        <n v="2"/>
        <n v="127"/>
        <n v="246"/>
        <n v="45"/>
        <n v="212"/>
        <n v="178"/>
        <n v="271"/>
        <n v="238"/>
        <n v="41"/>
        <n v="118"/>
        <n v="68"/>
        <n v="268"/>
        <n v="204"/>
        <n v="239"/>
        <n v="30"/>
        <n v="221"/>
        <n v="99"/>
        <n v="117"/>
        <n v="186"/>
        <n v="261"/>
        <n v="167"/>
        <n v="123"/>
        <n v="195"/>
        <n v="249"/>
        <n v="184"/>
        <n v="263"/>
        <n v="193"/>
        <n v="176"/>
        <n v="222"/>
        <n v="260"/>
        <n v="148"/>
        <n v="103"/>
        <n v="44"/>
        <n v="165"/>
        <n v="144"/>
        <n v="26"/>
        <n v="69"/>
        <n v="137"/>
        <n v="226"/>
        <n v="121"/>
        <n v="145"/>
        <n v="80"/>
        <n v="38"/>
        <n v="191"/>
        <n v="58"/>
        <n v="125"/>
        <n v="104"/>
        <n v="205"/>
        <n v="130"/>
        <n v="86"/>
        <n v="95"/>
        <n v="1"/>
        <n v="4"/>
        <n v="61"/>
        <n v="6"/>
        <n v="274"/>
        <n v="105"/>
        <n v="169"/>
        <n v="64"/>
        <n v="53"/>
        <n v="228"/>
        <n v="256"/>
        <n v="75"/>
        <n v="109"/>
        <n v="216"/>
        <n v="97"/>
        <n v="225"/>
        <n v="37"/>
        <n v="267"/>
        <n v="278"/>
        <n v="116"/>
        <n v="206"/>
        <n v="18"/>
        <n v="72"/>
        <n v="88"/>
        <n v="237"/>
        <n v="147"/>
        <n v="188"/>
        <n v="13"/>
        <n v="248"/>
        <n v="142"/>
        <n v="22"/>
        <n v="163"/>
        <n v="247"/>
        <n v="101"/>
        <n v="185"/>
        <n v="157"/>
        <n v="120"/>
        <n v="229"/>
        <n v="201"/>
        <n v="241"/>
        <n v="9"/>
        <n v="34"/>
        <n v="174"/>
        <n v="219"/>
        <n v="60"/>
        <n v="227"/>
        <n v="211"/>
        <n v="71"/>
        <n v="213"/>
        <n v="76"/>
        <n v="14"/>
        <n v="93"/>
        <n v="107"/>
        <n v="171"/>
        <n v="243"/>
        <n v="62"/>
        <n v="12"/>
        <n v="32"/>
        <n v="177"/>
        <n v="92"/>
        <n v="33"/>
        <n v="51"/>
        <n v="70"/>
        <n v="166"/>
        <n v="231"/>
        <n v="159"/>
        <n v="253"/>
        <n v="36"/>
        <n v="266"/>
        <n v="46"/>
        <n v="129"/>
        <n v="182"/>
        <n v="273"/>
        <n v="63"/>
        <n v="25"/>
        <n v="164"/>
        <n v="215"/>
        <n v="66"/>
        <n v="151"/>
        <n v="187"/>
        <n v="155"/>
        <n v="279"/>
        <n v="52"/>
        <n v="131"/>
        <n v="209"/>
        <n v="259"/>
        <n v="16"/>
        <n v="17"/>
        <n v="8"/>
        <n v="7"/>
        <n v="258"/>
        <n v="21"/>
        <n v="272"/>
        <n v="197"/>
        <n v="91"/>
        <n v="108"/>
        <n v="192"/>
        <n v="139"/>
        <n v="74"/>
        <n v="119"/>
        <n v="264"/>
        <n v="138"/>
        <n v="135"/>
        <n v="128"/>
        <n v="73"/>
        <n v="3"/>
        <n v="251"/>
        <n v="214"/>
        <n v="223"/>
        <n v="5"/>
        <n v="149"/>
        <n v="47"/>
        <n v="244"/>
        <n v="168"/>
        <n v="82"/>
        <n v="180"/>
        <n v="106"/>
        <n v="153"/>
        <n v="111"/>
        <n v="54"/>
        <n v="179"/>
        <n v="49"/>
        <n v="98"/>
        <n v="210"/>
        <n v="270"/>
        <n v="158"/>
        <n v="265"/>
        <n v="250"/>
        <n v="124"/>
        <n v="94"/>
        <n v="113"/>
        <n v="277"/>
        <n v="84"/>
        <n v="240"/>
        <n v="83"/>
        <n v="20"/>
        <n v="85"/>
        <n v="96"/>
        <n v="230"/>
        <n v="112"/>
        <n v="141"/>
        <n v="126"/>
        <n v="19"/>
        <n v="217"/>
        <n v="203"/>
        <n v="143"/>
        <n v="31"/>
        <n v="208"/>
        <n v="27"/>
        <n v="173"/>
        <n v="175"/>
        <n v="115"/>
        <n v="79"/>
        <n v="89"/>
        <n v="11"/>
        <n v="15"/>
        <n v="170"/>
        <n v="276"/>
        <n v="181"/>
        <n v="146"/>
        <n v="59"/>
        <n v="57"/>
        <n v="152"/>
        <n v="262"/>
        <n v="29"/>
        <n v="161"/>
        <n v="236"/>
        <n v="194"/>
        <n v="245"/>
        <n v="77"/>
        <n v="42"/>
        <n v="134"/>
        <n v="190"/>
        <n v="133"/>
        <n v="183"/>
        <n v="233"/>
        <n v="150"/>
        <n v="199"/>
        <n v="200"/>
        <n v="257"/>
        <n v="24"/>
        <n v="78"/>
        <n v="156"/>
        <n v="140"/>
        <n v="10"/>
        <n v="56"/>
        <n v="280"/>
        <n v="198"/>
        <n v="154"/>
        <n v="275"/>
        <n v="235"/>
        <n v="28"/>
        <n v="48"/>
      </sharedItems>
    </cacheField>
    <cacheField name="nombre_cliente" numFmtId="0">
      <sharedItems count="276">
        <s v="María González Alfaro"/>
        <s v="Vania Evelyn Leyton García"/>
        <s v="Darwin Ramón Saavedra Pino"/>
        <s v="Manuel Rodríguez"/>
        <s v="Francisco Raúl Guerrero-Romero Sánchez"/>
        <s v="Héctor Ramírez"/>
        <s v="Mónica Araya Álvarez"/>
        <s v="Camila Florencia Parra Muñoz"/>
        <s v="Ximena Susana Medina Duarte"/>
        <s v="Melania Jessica Urrutia Palacios"/>
        <s v="Maritza Thiare Mora Miranda"/>
        <s v="Jorge Joaquín Sánchez Leiva"/>
        <s v="Joaquín Jaime Segura Parra"/>
        <s v="Gloria Lidia García Toledo"/>
        <s v="Francisca Valenzuela Pavez"/>
        <s v="José Patricio Valenzuela Estay"/>
        <s v="Eduardo René Valenzuela Venegas"/>
        <s v="Sebastián Hormazábal Sepúlveda"/>
        <s v="Pablo Franco Saldías Ruiz"/>
        <s v="Lorenza Ramírez Espinoza"/>
        <s v="Manuel Candia Garrido"/>
        <s v="Elizabeth Meléndez Pacheco"/>
        <s v="Miguel Araya Segura"/>
        <s v="Brayan Amaro Araya Valenzuela"/>
        <s v="Jorge Rafael Riquelme Vargas"/>
        <s v="Anahí Araya"/>
        <s v="Mauricio Astorga"/>
        <s v="Génesis Macarena Venegas Sepúlveda"/>
        <s v="Flavia Estela Cruz Castro"/>
        <s v="Carlos Aranda-Ortiz"/>
        <s v="Francisco Ramírez Faúndez"/>
        <s v="Cristóbal Pastén Leal"/>
        <s v="Rosa Gaete Castro"/>
        <s v="Roberto Moreno Jorquera"/>
        <s v="Josefa Segura Verdugo"/>
        <s v="Miguel Roberto Villagrán Iturra"/>
        <s v="Jairo Ian Villanueva Orellana"/>
        <s v="Emiliano Hernández Castillo"/>
        <s v="Ana Varela López"/>
        <s v="Manuel Rodríguez Pérez"/>
        <s v="Romina Cruz"/>
        <s v="Juana Morales Novoa"/>
        <s v="Laura Peñaloza Díaz"/>
        <s v="Jaime Toloza Díaz"/>
        <s v="Camila Natalia Pérez Arroyo"/>
        <s v="Lidia Tapia"/>
        <s v="Tatiana Claudia Jara Herrera"/>
        <s v="Juan Héctor Castro Silva"/>
        <s v="María Lorena Bórquez Rodríguez"/>
        <s v="Rubén Castillo"/>
        <s v="Laura Mary Sánchez Quintanilla"/>
        <s v="Carlos Fuentes Vargas"/>
        <s v="Matilda Denisse Gatica Gutiérrez"/>
        <s v="Paulino Vargas Farías"/>
        <s v="Isaac Gutiérrez"/>
        <s v="María Sofía Morales Arellano"/>
        <s v="Jacqueline Amanda Martínez Osorio"/>
        <s v="Carolina González Ruiz"/>
        <s v="Florinda Josefa Cortés Morales"/>
        <s v="Arturo Ángel Corvalán Salazar"/>
        <s v="Amanda Gutiérrez"/>
        <s v="Carlos Wladimir Lara Muñoz"/>
        <s v="Víctor Alejandro Ramírez Soto"/>
        <s v="Raquel Guadalupe Canales Maturana"/>
        <s v="Humberto José Rivera Leiva"/>
        <s v="Clara Rosa Aros Guerrero"/>
        <s v="Rolando Patricio Muñoz Barría"/>
        <s v="Felipe Daniel González Salinas"/>
        <s v="Raquel Silva Méndez"/>
        <s v="José Juan Vargas Vega"/>
        <s v="Carol Adelina Maldonado Saavedra"/>
        <s v="Constanza Osorio"/>
        <s v="Gaspar Oscar Concha Torres"/>
        <s v="Pedro Ramón Serrano Ibáñez"/>
        <s v="Christian Francisco Rojas Oyarzo"/>
        <s v="Claudio Rodrigo Mancilla Sáez"/>
        <s v="Rossana Flores"/>
        <s v="Martín Jorge Vergara Sáez"/>
        <s v="María Anahí Mella Carrasco"/>
        <s v="Mauricio Paul Gajardo Córdova"/>
        <s v="María Palacios"/>
        <s v="Rudecindo Cares"/>
        <s v="Leonor Corvalán"/>
        <s v="Ana Martinez García"/>
        <s v="César Carlos Espinoza Uribe"/>
        <s v="Ingrid María Velásquez Herrera"/>
        <s v="Yaritza Quiroga Martínez"/>
        <s v="Guillermo Oscar Cid Díaz"/>
        <s v="Claudio Diego Cisterna Rojas"/>
        <s v="Antonella Julia Urrutia Oyarzo"/>
        <s v="Arnoldo Anselmo Cubillos Veloso"/>
        <s v="Eduardo Manuel Morales Riffo"/>
        <s v="Eladio Sandro Gaete Salazar"/>
        <s v="Ulises Bruno Gallardo Piña"/>
        <s v="Máximo Pablo Leal Romero"/>
        <s v="Lucas Miguel San Martín Catalán"/>
        <s v="Víctor Raúl Ibarra Paredes"/>
        <s v="Tatiana Catalina Gutiérrez Quiroz"/>
        <s v="Berta Huerta García"/>
        <s v="Alejandro Rodrigo Toro Espinoza"/>
        <s v="Angélica Reyes"/>
        <s v="Gloria Durán"/>
        <s v="Daniel Alejandro Rivera Ibarra"/>
        <s v="Rodrigo Cornejo Aranda"/>
        <s v="Vanessa Emilia Osorio Saavedra"/>
        <s v="Luis Gabriel Barrera Castillo"/>
        <s v="Alexi Ignacio Azócar Chávez"/>
        <s v="Carlos Pérez"/>
        <s v="Alfredo Vega"/>
        <s v="Felipe Cofré Molina"/>
        <s v="Samuel Arias Gatica"/>
        <s v="Ian Dante Tapia Pereira"/>
        <s v="Hilda Javiera Cofré Lucero"/>
        <s v="Laura Aguilera Orellana"/>
        <s v="Carlos David Miranda Cifuentes"/>
        <s v="Emilia Consuelo González Vallejos"/>
        <s v="Andrea Josefina Galaz Ríos"/>
        <s v="Yasna Colomba Olivares Prieto"/>
        <s v="Nelson Francisco Baeza Fuenzalida"/>
        <s v="Carolina Pinto"/>
        <s v="Elsa Llanos"/>
        <s v="Miguel Avendaño Soto"/>
        <s v="Gloria Leyton"/>
        <s v="Ana Mercado Araya"/>
        <s v="Omar Maximiliano Molina Fuentes"/>
        <s v="Alfonso José Sáez Barrientos"/>
        <s v="Víctor Matamala"/>
        <s v="Bárbara Molina Aranda"/>
        <s v="Franklin Torres Pastén"/>
        <s v="Patricio Gonzalo Toledo Arce"/>
        <s v="Juan Rivera"/>
        <s v="Germán Bustamante Valenzuela"/>
        <s v="Benjamín Fernando Olea Retamal"/>
        <s v="David Javier Muñoz González"/>
        <s v="Irma Espinoza Araya"/>
        <s v="Fanny María Gómez Hernández"/>
        <s v="Alejandra Vega"/>
        <s v="Miguel Esteban Soto Silva"/>
        <s v="Raimundo Mario Rubilar Flores"/>
        <s v="Agustina Rosa Rojas Pastén"/>
        <s v="Carol Antonia Sandoval Chávez"/>
        <s v="Benjamín Claudio Riffo Cid"/>
        <s v="Belén Gamboa Carvajal"/>
        <s v="Jocelyn Gabriela López Guzmán"/>
        <s v="Milagros Marisol Tapia Rubio"/>
        <s v="Bárbara Torres"/>
        <s v="Sergio Carlos Pavez Díaz"/>
        <s v="Tomás Johan Vargas Leiva"/>
        <s v="Patricio Luis Guzmán Herrera"/>
        <s v="Luis Franco Barros Hermosilla"/>
        <s v="Josefa Plaza"/>
        <s v="Claudio Fernando Morales Bravo"/>
        <s v="Leonor María Romero Fuentes"/>
        <s v="Alejandra Castro Torres"/>
        <s v="Pedro Jorge Cartes Pérez"/>
        <s v="Fernanda Pérez Calderón"/>
        <s v="Geraldine Irma Álvarez Díaz"/>
        <s v="Lissette Susan Mella Sánchez"/>
        <s v="Samuel Arias"/>
        <s v="Vicente Juan Cáceres Castillo"/>
        <s v="Samuel Aguilera"/>
        <s v="Cecilia Edith Muñoz Toro"/>
        <s v="Luis Guillermo Muñoz Cerda"/>
        <s v="Gonzalo Felipe Martínez Acevedo"/>
        <s v="Osvaldo Víctor Rivera Palma"/>
        <s v="Susana María Soto Véliz"/>
        <s v="Juan Rodríguez Acevedo"/>
        <s v="Eduardo Castro Rivera"/>
        <s v="José Ángel Fuentes Gutiérrez"/>
        <s v="Andrés Díaz Ortega"/>
        <s v="Bastián Kevin Oñate Toledo"/>
        <s v="Angelo Juan Vivanco Escobar"/>
        <s v="Daniela Francisca Palacios Allendes"/>
        <s v="Edith Uberlinda Jiménez Valenzuela"/>
        <s v="Alexis Juan Contreras Vega"/>
        <s v="Alison Araya-Millán"/>
        <s v="Constanza Seguel Morales"/>
        <s v="María Ávalos Vergara"/>
        <s v="Gonzalo Jorge Muñoz Reyes"/>
        <s v="Olga Agustina Rojas Rodríguez"/>
        <s v="Mario Fonseca"/>
        <s v="Gloria Urra Ramos"/>
        <s v="Luis Víctor Garrido Cortés"/>
        <s v="Alejandra Navarro"/>
        <s v="John Alvarado Albornoz"/>
        <s v="Sergio Guerrero Salazar"/>
        <s v="María Soto Castillo"/>
        <s v="María Bravo Vásquez"/>
        <s v="Fernanda Carmen Mora Guerrero"/>
        <s v="Luis Cisternas Apablaza"/>
        <s v="Carlos Valdés Muñoz"/>
        <s v="Cristian Marambio Reyes"/>
        <s v="Marina Carolina Palacios Araneda"/>
        <s v="Olivia Pino Pizarro"/>
        <s v="Javier Diego Navarrete Peña"/>
        <s v="Amparo Javiera Rodríguez Contreras"/>
        <s v="Sergio Carlos Cerda-Reyes Toledo"/>
        <s v="Noelia Lizama"/>
        <s v="Gisela Carol Ávila Suárez"/>
        <s v="Mariela Urzúa Moreno"/>
        <s v="Esteban Cárdenas Silva"/>
        <s v="Hernán Benjamín Lira González"/>
        <s v="Franco Espinosa"/>
        <s v="Bárbara Valeria Vergara Solar"/>
        <s v="Belén Ruth Mansilla Caro"/>
        <s v="Lucas Álvaro Acevedo Agurto"/>
        <s v="Mariana Patricia Allende Moya"/>
        <s v="Maite Díaz"/>
        <s v="Braulio Diego Mondaca Muñoz"/>
        <s v="Pablo Arroyo López"/>
        <s v="Fernando Robles González"/>
        <s v="Teresa Claudia Tobar Moya"/>
        <s v="Jorge Enrique Vidal Castillo"/>
        <s v="Pedro Héctor Toro Soto"/>
        <s v="Verónica Cartes Rebolledo"/>
        <s v="Andrea Ahumada Chávez"/>
        <s v="María Evelyn Rodríguez Mardones"/>
        <s v="Vilma Leyla Escobar Fuentes"/>
        <s v="Manuel Muñoz González"/>
        <s v="Bárbara Tello"/>
        <s v="Javier Aravena"/>
        <s v="Blanca Anahí González Retamal"/>
        <s v="Karin Elena Jaramillo Carrasco"/>
        <s v="Pedro Pablo Castro Ojeda"/>
        <s v="Germán González Hermosilla"/>
        <s v="Teresa María Alvarado Guerra"/>
        <s v="Tamara Maritza Inostroza Márquez"/>
        <s v="Marisol Vera-León Riquelme"/>
        <s v="Margarita Gladys Riquelme Mamani"/>
        <s v="María Fabiana Navarro Valencia"/>
        <s v="Héctor Pérez Carrasco"/>
        <s v="Ricardo Iván Zapata Riquelme"/>
        <s v="Josefa Berta Salazar Garrido"/>
        <s v="Carolina Villagrán Miranda"/>
        <s v="Juan Michel Maldonado Molina"/>
        <s v="Gloria Pereira González"/>
        <s v="Juan Vergara Sandoval"/>
        <s v="Francisca Carla Muñoz Huerta"/>
        <s v="Carmen Fuenzalida López"/>
        <s v="Benjamín Abarca"/>
        <s v="Valeska Godoy Riquelme"/>
        <s v="Alexandra Fuentes Lara"/>
        <s v="María Josefina Flores Manríquez"/>
        <s v="Eduardo Escobar Castro"/>
        <s v="Mario Daniel Hernández Álvarez"/>
        <s v="Cristian Daniel Muñoz Morales"/>
        <s v="Nicolás Soto Aguilera"/>
        <s v="Jorge Giovanny Valencia Ramírez"/>
        <s v="Luis Carvajal"/>
        <s v="María Silvia Parra Espinosa"/>
        <s v="José Alejandro Araya Barros"/>
        <s v="Ariel Andrade"/>
        <s v="María Amanda Vargas Alarcón"/>
        <s v="Matías Kevin Pérez Escalona"/>
        <s v="Flor Samantha Méndez Cuevas"/>
        <s v="Elia Alicia Araya Mora"/>
        <s v="Sara Saavedra"/>
        <s v="Patricia Antonia García Muñoz"/>
        <s v="Luis Chávez Tello"/>
        <s v="Patricia Raquel Reyes Parra"/>
        <s v="Fabián Cristian Hormazábal Villablanca"/>
        <s v="Stephanie Hilda Muñoz Elgueta"/>
        <s v="Vanessa Silva Campos"/>
        <s v="Luisa Pía Figueroa Moreno"/>
        <s v="Anahí Ana Cornejo Mendoza"/>
        <s v="María Mayte González Villegas"/>
        <s v="Manuel Alonso Núñez Santibáñez"/>
        <s v="Héctor Benjamín Sánchez Muñoz"/>
        <s v="Manuel Tomás Espinoza Díaz"/>
        <s v="Gaspar Cristian Vega Venegas"/>
        <s v="David Márquez"/>
        <s v="Luz Pía Guerra Castillo"/>
        <s v="Carolina Patricia Espinoza Berríos"/>
        <s v="Pablo Salazar"/>
        <s v="Julia Solange Maturana Cáceres"/>
        <s v="Juan Morales Sánchez"/>
      </sharedItems>
    </cacheField>
    <cacheField name="email_cliente" numFmtId="0">
      <sharedItems/>
    </cacheField>
    <cacheField name="genero_cliente" numFmtId="0">
      <sharedItems/>
    </cacheField>
    <cacheField name="edad_cliente" numFmtId="0">
      <sharedItems containsBlank="1"/>
    </cacheField>
    <cacheField name="ciudad_cliente" numFmtId="0">
      <sharedItems/>
    </cacheField>
    <cacheField name="region_cliente" numFmtId="0">
      <sharedItems count="8">
        <s v="La Araucanía"/>
        <s v="Biobío"/>
        <s v="Metropolitana"/>
        <s v="Valparaíso"/>
        <s v="Antofagasta"/>
        <s v="Los Lagos"/>
        <s v="Coquimbo"/>
        <s v="O'Higgins"/>
      </sharedItems>
    </cacheField>
    <cacheField name="canal_venta" numFmtId="0">
      <sharedItems/>
    </cacheField>
    <cacheField name="producto" numFmtId="0">
      <sharedItems/>
    </cacheField>
    <cacheField name="categoria_producto" numFmtId="0">
      <sharedItems count="5">
        <s v="Belleza"/>
        <s v="Electrohogar"/>
        <s v="Tecnología"/>
        <s v="Vestuario"/>
        <s v="Calzado"/>
      </sharedItems>
    </cacheField>
    <cacheField name="precio_unitario" numFmtId="0">
      <sharedItems containsSemiMixedTypes="0" containsString="0" containsNumber="1" containsInteger="1" minValue="12000" maxValue="800000"/>
    </cacheField>
    <cacheField name="cantidad" numFmtId="0">
      <sharedItems containsSemiMixedTypes="0" containsString="0" containsNumber="1" containsInteger="1" minValue="1" maxValue="3"/>
    </cacheField>
    <cacheField name="descuento_pct" numFmtId="0">
      <sharedItems containsSemiMixedTypes="0" containsString="0" containsNumber="1" containsInteger="1" minValue="0" maxValue="5"/>
    </cacheField>
    <cacheField name="Total Venta" numFmtId="0">
      <sharedItems containsSemiMixedTypes="0" containsString="0" containsNumber="1" containsInteger="1" minValue="12000" maxValue="2400000"/>
    </cacheField>
    <cacheField name="Descuento" numFmtId="0">
      <sharedItems containsSemiMixedTypes="0" containsString="0" containsNumber="1" containsInteger="1" minValue="0" maxValue="120000"/>
    </cacheField>
    <cacheField name="Total" numFmtId="0">
      <sharedItems containsSemiMixedTypes="0" containsString="0" containsNumber="1" containsInteger="1" minValue="11400" maxValue="2400000"/>
    </cacheField>
    <cacheField name="Meses (fecha_venta)" numFmtId="0" databaseField="0">
      <fieldGroup base="1">
        <rangePr groupBy="months" startDate="2023-01-02T00:00:00" endDate="2025-09-28T00:00:00"/>
        <groupItems count="14">
          <s v="&lt;02-01-2023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8-09-2025"/>
        </groupItems>
      </fieldGroup>
    </cacheField>
    <cacheField name="Trimestres (fecha_venta)" numFmtId="0" databaseField="0">
      <fieldGroup base="1">
        <rangePr groupBy="quarters" startDate="2023-01-02T00:00:00" endDate="2025-09-28T00:00:00"/>
        <groupItems count="6">
          <s v="&lt;02-01-2023"/>
          <s v="Trim.1"/>
          <s v="Trim.2"/>
          <s v="Trim.3"/>
          <s v="Trim.4"/>
          <s v="&gt;28-09-2025"/>
        </groupItems>
      </fieldGroup>
    </cacheField>
    <cacheField name="Años (fecha_venta)" numFmtId="0" databaseField="0">
      <fieldGroup base="1">
        <rangePr groupBy="years" startDate="2023-01-02T00:00:00" endDate="2025-09-28T00:00:00"/>
        <groupItems count="5">
          <s v="&lt;02-01-2023"/>
          <s v="2023"/>
          <s v="2024"/>
          <s v="2025"/>
          <s v="&gt;28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n v="0"/>
    <x v="0"/>
    <x v="0"/>
    <s v="cliente254@mail.cl"/>
    <s v="Hombre"/>
    <s v="50"/>
    <s v="Temuco"/>
    <x v="0"/>
    <s v="Web"/>
    <s v="Maquillaje"/>
    <x v="0"/>
    <n v="15000"/>
    <n v="3"/>
    <n v="0"/>
    <n v="45000"/>
    <n v="0"/>
    <n v="45000"/>
  </r>
  <r>
    <n v="2"/>
    <x v="1"/>
    <x v="1"/>
    <n v="0"/>
    <x v="1"/>
    <x v="1"/>
    <s v="cliente102@mail.cl"/>
    <s v="Hombre"/>
    <s v="32"/>
    <s v="Talcahuano"/>
    <x v="1"/>
    <s v="App"/>
    <s v="Lavadora"/>
    <x v="1"/>
    <n v="700000"/>
    <n v="2"/>
    <n v="5"/>
    <n v="1400000"/>
    <n v="70000"/>
    <n v="1330000"/>
  </r>
  <r>
    <n v="3"/>
    <x v="2"/>
    <x v="2"/>
    <n v="2"/>
    <x v="2"/>
    <x v="2"/>
    <s v="cliente196@mail.cl"/>
    <s v="Hombre"/>
    <s v="42"/>
    <s v="Santiago"/>
    <x v="2"/>
    <s v="App"/>
    <s v="Lavadora"/>
    <x v="1"/>
    <n v="700000"/>
    <n v="2"/>
    <n v="5"/>
    <n v="1400000"/>
    <n v="70000"/>
    <n v="1330000"/>
  </r>
  <r>
    <n v="4"/>
    <x v="3"/>
    <x v="3"/>
    <n v="1"/>
    <x v="3"/>
    <x v="3"/>
    <s v="cliente65@mail.cl"/>
    <s v="Hombre"/>
    <s v="47"/>
    <s v="Valparaíso"/>
    <x v="3"/>
    <s v="Tienda"/>
    <s v="Perfume"/>
    <x v="0"/>
    <n v="35000"/>
    <n v="2"/>
    <n v="0"/>
    <n v="70000"/>
    <n v="0"/>
    <n v="70000"/>
  </r>
  <r>
    <n v="5"/>
    <x v="4"/>
    <x v="4"/>
    <n v="0"/>
    <x v="4"/>
    <x v="4"/>
    <s v="cliente218@mail.cl"/>
    <s v="Mujer"/>
    <s v="35"/>
    <s v="Antofagasta"/>
    <x v="4"/>
    <s v="Tienda"/>
    <s v="Maquillaje"/>
    <x v="0"/>
    <n v="15000"/>
    <n v="1"/>
    <n v="1"/>
    <n v="15000"/>
    <n v="150"/>
    <n v="14850"/>
  </r>
  <r>
    <n v="6"/>
    <x v="5"/>
    <x v="5"/>
    <n v="0"/>
    <x v="5"/>
    <x v="5"/>
    <s v="cliente202@mail.cl"/>
    <s v="Mujer"/>
    <s v="44"/>
    <s v="Santiago"/>
    <x v="2"/>
    <s v="Web"/>
    <s v="Notebook"/>
    <x v="2"/>
    <n v="750000"/>
    <n v="3"/>
    <n v="1"/>
    <n v="2250000"/>
    <n v="22500"/>
    <n v="2227500"/>
  </r>
  <r>
    <n v="7"/>
    <x v="6"/>
    <x v="6"/>
    <n v="0"/>
    <x v="6"/>
    <x v="6"/>
    <s v="cliente160@mail.cl"/>
    <s v="Mujer"/>
    <s v="45"/>
    <s v="Santiago"/>
    <x v="2"/>
    <s v="Web"/>
    <s v="Refrigerador"/>
    <x v="1"/>
    <n v="800000"/>
    <n v="2"/>
    <n v="1"/>
    <n v="1600000"/>
    <n v="16000"/>
    <n v="1584000"/>
  </r>
  <r>
    <n v="8"/>
    <x v="7"/>
    <x v="7"/>
    <n v="3"/>
    <x v="7"/>
    <x v="7"/>
    <s v="cliente242@mail.cl"/>
    <s v="Mujer"/>
    <s v="36"/>
    <s v="Concepción"/>
    <x v="1"/>
    <s v="Web"/>
    <s v="Notebook"/>
    <x v="2"/>
    <n v="750000"/>
    <n v="1"/>
    <n v="5"/>
    <n v="750000"/>
    <n v="37500"/>
    <n v="712500"/>
  </r>
  <r>
    <n v="9"/>
    <x v="8"/>
    <x v="3"/>
    <n v="1"/>
    <x v="8"/>
    <x v="8"/>
    <s v="cliente255@mail.cl"/>
    <s v="Hombre"/>
    <s v="19"/>
    <s v="Valparaíso"/>
    <x v="3"/>
    <s v="App"/>
    <s v="Pantalón"/>
    <x v="3"/>
    <n v="25000"/>
    <n v="2"/>
    <n v="1"/>
    <n v="50000"/>
    <n v="500"/>
    <n v="49500"/>
  </r>
  <r>
    <n v="10"/>
    <x v="9"/>
    <x v="8"/>
    <n v="2"/>
    <x v="9"/>
    <x v="9"/>
    <s v="cliente35@mail.cl"/>
    <s v="Mujer"/>
    <s v="47"/>
    <s v="Concepción"/>
    <x v="1"/>
    <s v="Tienda"/>
    <s v="Perfume"/>
    <x v="0"/>
    <n v="35000"/>
    <n v="3"/>
    <n v="0"/>
    <n v="105000"/>
    <n v="0"/>
    <n v="105000"/>
  </r>
  <r>
    <n v="11"/>
    <x v="10"/>
    <x v="7"/>
    <n v="3"/>
    <x v="10"/>
    <x v="10"/>
    <s v="cliente136@mail.cl"/>
    <s v="Mujer"/>
    <s v="56"/>
    <s v="Concepción"/>
    <x v="1"/>
    <s v="Web"/>
    <s v="TV"/>
    <x v="1"/>
    <n v="650000"/>
    <n v="2"/>
    <n v="0"/>
    <n v="1300000"/>
    <n v="0"/>
    <n v="1300000"/>
  </r>
  <r>
    <n v="12"/>
    <x v="11"/>
    <x v="9"/>
    <n v="0"/>
    <x v="11"/>
    <x v="11"/>
    <s v="cliente50@mail.cl"/>
    <s v="Hombre"/>
    <s v="18"/>
    <s v="Santiago"/>
    <x v="2"/>
    <s v="Web"/>
    <s v="Notebook"/>
    <x v="2"/>
    <n v="750000"/>
    <n v="3"/>
    <n v="1"/>
    <n v="2250000"/>
    <n v="22500"/>
    <n v="2227500"/>
  </r>
  <r>
    <n v="13"/>
    <x v="12"/>
    <x v="4"/>
    <n v="0"/>
    <x v="12"/>
    <x v="12"/>
    <s v="cliente81@mail.cl"/>
    <s v="Mujer"/>
    <s v="35"/>
    <s v="Antofagasta"/>
    <x v="4"/>
    <s v="Web"/>
    <s v="Lavadora"/>
    <x v="1"/>
    <n v="700000"/>
    <n v="2"/>
    <n v="1"/>
    <n v="1400000"/>
    <n v="14000"/>
    <n v="1386000"/>
  </r>
  <r>
    <n v="14"/>
    <x v="13"/>
    <x v="10"/>
    <n v="5"/>
    <x v="13"/>
    <x v="13"/>
    <s v="cliente189@mail.cl"/>
    <s v="Mujer"/>
    <s v="27"/>
    <s v="Temuco"/>
    <x v="0"/>
    <s v="Web"/>
    <s v="Smartphone"/>
    <x v="2"/>
    <n v="450000"/>
    <n v="1"/>
    <n v="1"/>
    <n v="450000"/>
    <n v="4500"/>
    <n v="445500"/>
  </r>
  <r>
    <n v="15"/>
    <x v="14"/>
    <x v="11"/>
    <n v="1"/>
    <x v="14"/>
    <x v="14"/>
    <s v="cliente67@mail.cl"/>
    <s v="Hombre"/>
    <s v="37"/>
    <s v="Antofagasta"/>
    <x v="4"/>
    <s v="Tienda"/>
    <s v="TV"/>
    <x v="1"/>
    <n v="650000"/>
    <n v="3"/>
    <n v="5"/>
    <n v="1950000"/>
    <n v="97500"/>
    <n v="1852500"/>
  </r>
  <r>
    <n v="16"/>
    <x v="15"/>
    <x v="12"/>
    <n v="1"/>
    <x v="15"/>
    <x v="15"/>
    <s v="cliente269@mail.cl"/>
    <s v="Mujer"/>
    <s v="32"/>
    <s v="Talcahuano"/>
    <x v="1"/>
    <s v="Web"/>
    <s v="Smartphone"/>
    <x v="2"/>
    <n v="450000"/>
    <n v="3"/>
    <n v="0"/>
    <n v="1350000"/>
    <n v="0"/>
    <n v="1350000"/>
  </r>
  <r>
    <n v="17"/>
    <x v="16"/>
    <x v="13"/>
    <n v="5"/>
    <x v="16"/>
    <x v="16"/>
    <s v="cliente207@mail.cl"/>
    <s v="Mujer"/>
    <s v="44"/>
    <s v="Puerto Montt"/>
    <x v="5"/>
    <s v="Web"/>
    <s v="Lavadora"/>
    <x v="1"/>
    <n v="700000"/>
    <n v="2"/>
    <n v="0"/>
    <n v="1400000"/>
    <n v="0"/>
    <n v="1400000"/>
  </r>
  <r>
    <n v="18"/>
    <x v="17"/>
    <x v="14"/>
    <n v="9"/>
    <x v="17"/>
    <x v="17"/>
    <s v="cliente234@mail.cl"/>
    <s v="Mujer"/>
    <s v="30"/>
    <s v="Talcahuano"/>
    <x v="1"/>
    <s v="Tienda"/>
    <s v="TV"/>
    <x v="1"/>
    <n v="650000"/>
    <n v="2"/>
    <n v="0"/>
    <n v="1300000"/>
    <n v="0"/>
    <n v="1300000"/>
  </r>
  <r>
    <n v="19"/>
    <x v="18"/>
    <x v="8"/>
    <n v="2"/>
    <x v="18"/>
    <x v="18"/>
    <s v="cliente39@mail.cl"/>
    <s v="Hombre"/>
    <s v="22"/>
    <s v="Concepción"/>
    <x v="1"/>
    <s v="App"/>
    <s v="Notebook"/>
    <x v="2"/>
    <n v="750000"/>
    <n v="1"/>
    <n v="1"/>
    <n v="750000"/>
    <n v="7500"/>
    <n v="742500"/>
  </r>
  <r>
    <n v="20"/>
    <x v="19"/>
    <x v="15"/>
    <n v="5"/>
    <x v="19"/>
    <x v="19"/>
    <s v="cliente224@mail.cl"/>
    <s v="Hombre"/>
    <s v="18"/>
    <s v="La Serena"/>
    <x v="6"/>
    <s v="Tienda"/>
    <s v="Perfume"/>
    <x v="0"/>
    <n v="35000"/>
    <n v="3"/>
    <n v="1"/>
    <n v="105000"/>
    <n v="1050"/>
    <n v="103950"/>
  </r>
  <r>
    <n v="21"/>
    <x v="20"/>
    <x v="12"/>
    <n v="1"/>
    <x v="20"/>
    <x v="20"/>
    <s v="cliente172@mail.cl"/>
    <s v="Hombre"/>
    <s v="28"/>
    <s v="Talcahuano"/>
    <x v="1"/>
    <s v="Web"/>
    <s v="Maquillaje"/>
    <x v="0"/>
    <n v="15000"/>
    <n v="1"/>
    <n v="0"/>
    <n v="15000"/>
    <n v="0"/>
    <n v="15000"/>
  </r>
  <r>
    <n v="22"/>
    <x v="21"/>
    <x v="16"/>
    <n v="3"/>
    <x v="21"/>
    <x v="21"/>
    <s v="cliente40@mail.cl"/>
    <s v="Hombre"/>
    <s v="40"/>
    <s v="Concepción"/>
    <x v="1"/>
    <s v="Tienda"/>
    <s v="Perfume"/>
    <x v="0"/>
    <n v="35000"/>
    <n v="3"/>
    <n v="0"/>
    <n v="105000"/>
    <n v="0"/>
    <n v="105000"/>
  </r>
  <r>
    <n v="23"/>
    <x v="22"/>
    <x v="17"/>
    <n v="3"/>
    <x v="22"/>
    <x v="22"/>
    <s v="cliente232@mail.cl"/>
    <s v="Hombre"/>
    <s v="40"/>
    <s v="Temuco"/>
    <x v="0"/>
    <s v="Tienda"/>
    <s v="Maquillaje"/>
    <x v="0"/>
    <n v="15000"/>
    <n v="1"/>
    <n v="5"/>
    <n v="15000"/>
    <n v="750"/>
    <n v="14250"/>
  </r>
  <r>
    <n v="24"/>
    <x v="23"/>
    <x v="16"/>
    <n v="3"/>
    <x v="23"/>
    <x v="23"/>
    <s v="cliente23@mail.cl"/>
    <s v="Mujer"/>
    <s v="38"/>
    <s v="Concepción"/>
    <x v="1"/>
    <s v="Tienda"/>
    <s v="Perfume"/>
    <x v="0"/>
    <n v="35000"/>
    <n v="3"/>
    <n v="5"/>
    <n v="105000"/>
    <n v="5250"/>
    <n v="99750"/>
  </r>
  <r>
    <n v="25"/>
    <x v="24"/>
    <x v="18"/>
    <n v="0"/>
    <x v="24"/>
    <x v="24"/>
    <s v="cliente132@mail.cl"/>
    <s v="Mujer"/>
    <s v="38"/>
    <s v="Talcahuano"/>
    <x v="1"/>
    <s v="App"/>
    <s v="Pantalón"/>
    <x v="3"/>
    <n v="25000"/>
    <n v="3"/>
    <n v="0"/>
    <n v="75000"/>
    <n v="0"/>
    <n v="75000"/>
  </r>
  <r>
    <n v="26"/>
    <x v="25"/>
    <x v="11"/>
    <n v="1"/>
    <x v="25"/>
    <x v="25"/>
    <s v="cliente114@mail.cl"/>
    <s v="Mujer"/>
    <s v="67"/>
    <s v="Antofagasta"/>
    <x v="4"/>
    <s v="Tienda"/>
    <s v="Zapatillas"/>
    <x v="4"/>
    <n v="55000"/>
    <n v="1"/>
    <n v="1"/>
    <n v="55000"/>
    <n v="550"/>
    <n v="54450"/>
  </r>
  <r>
    <n v="27"/>
    <x v="26"/>
    <x v="19"/>
    <n v="4"/>
    <x v="26"/>
    <x v="26"/>
    <s v="cliente252@mail.cl"/>
    <s v="Mujer"/>
    <s v="49"/>
    <s v="Rancagua"/>
    <x v="7"/>
    <s v="App"/>
    <s v="Polera"/>
    <x v="3"/>
    <n v="12000"/>
    <n v="1"/>
    <n v="0"/>
    <n v="12000"/>
    <n v="0"/>
    <n v="12000"/>
  </r>
  <r>
    <n v="28"/>
    <x v="27"/>
    <x v="20"/>
    <n v="6"/>
    <x v="27"/>
    <x v="27"/>
    <s v="cliente220@mail.cl"/>
    <s v="Hombre"/>
    <s v="38"/>
    <s v="Talcahuano"/>
    <x v="1"/>
    <s v="Tienda"/>
    <s v="Notebook"/>
    <x v="2"/>
    <n v="750000"/>
    <n v="2"/>
    <n v="0"/>
    <n v="1500000"/>
    <n v="0"/>
    <n v="1500000"/>
  </r>
  <r>
    <n v="29"/>
    <x v="28"/>
    <x v="21"/>
    <n v="4"/>
    <x v="28"/>
    <x v="28"/>
    <s v="cliente110@mail.cl"/>
    <s v="Mujer"/>
    <s v="37"/>
    <s v="Puerto Montt"/>
    <x v="5"/>
    <s v="App"/>
    <s v="Polera"/>
    <x v="3"/>
    <n v="12000"/>
    <n v="2"/>
    <n v="0"/>
    <n v="24000"/>
    <n v="0"/>
    <n v="24000"/>
  </r>
  <r>
    <n v="30"/>
    <x v="29"/>
    <x v="22"/>
    <n v="5"/>
    <x v="29"/>
    <x v="29"/>
    <s v="cliente122@mail.cl"/>
    <s v="Mujer"/>
    <s v="27"/>
    <s v="Rancagua"/>
    <x v="7"/>
    <s v="App"/>
    <s v="Perfume"/>
    <x v="0"/>
    <n v="35000"/>
    <n v="3"/>
    <n v="0"/>
    <n v="105000"/>
    <n v="0"/>
    <n v="105000"/>
  </r>
  <r>
    <n v="31"/>
    <x v="30"/>
    <x v="23"/>
    <n v="2"/>
    <x v="30"/>
    <x v="30"/>
    <s v="cliente162@mail.cl"/>
    <s v="Mujer"/>
    <s v="47"/>
    <s v="Talcahuano"/>
    <x v="1"/>
    <s v="Web"/>
    <s v="TV"/>
    <x v="1"/>
    <n v="650000"/>
    <n v="1"/>
    <n v="1"/>
    <n v="650000"/>
    <n v="6500"/>
    <n v="643500"/>
  </r>
  <r>
    <n v="32"/>
    <x v="31"/>
    <x v="24"/>
    <n v="0"/>
    <x v="31"/>
    <x v="31"/>
    <s v="cliente43@mail.cl"/>
    <s v="Hombre"/>
    <s v="36"/>
    <s v="Rancagua"/>
    <x v="7"/>
    <s v="Web"/>
    <s v="TV"/>
    <x v="1"/>
    <n v="650000"/>
    <n v="2"/>
    <n v="0"/>
    <n v="1300000"/>
    <n v="0"/>
    <n v="1300000"/>
  </r>
  <r>
    <n v="33"/>
    <x v="32"/>
    <x v="25"/>
    <n v="0"/>
    <x v="32"/>
    <x v="32"/>
    <s v="cliente2@mail.cl"/>
    <s v="Hombre"/>
    <s v="36"/>
    <s v="Viña del Mar"/>
    <x v="3"/>
    <s v="Tienda"/>
    <s v="Smartphone"/>
    <x v="2"/>
    <n v="450000"/>
    <n v="2"/>
    <n v="0"/>
    <n v="900000"/>
    <n v="0"/>
    <n v="900000"/>
  </r>
  <r>
    <n v="34"/>
    <x v="33"/>
    <x v="12"/>
    <n v="1"/>
    <x v="33"/>
    <x v="33"/>
    <s v="cliente127@mail.cl"/>
    <s v="Mujer"/>
    <s v="26"/>
    <s v="Talcahuano"/>
    <x v="1"/>
    <s v="Tienda"/>
    <s v="Perfume"/>
    <x v="0"/>
    <n v="35000"/>
    <n v="1"/>
    <n v="1"/>
    <n v="35000"/>
    <n v="350"/>
    <n v="34650"/>
  </r>
  <r>
    <n v="35"/>
    <x v="34"/>
    <x v="10"/>
    <n v="5"/>
    <x v="34"/>
    <x v="34"/>
    <s v="cliente246@mail.cl"/>
    <s v="Hombre"/>
    <s v="33"/>
    <s v="Temuco"/>
    <x v="0"/>
    <s v="Web"/>
    <s v="Lavadora"/>
    <x v="1"/>
    <n v="700000"/>
    <n v="2"/>
    <n v="0"/>
    <n v="1400000"/>
    <n v="0"/>
    <n v="1400000"/>
  </r>
  <r>
    <n v="36"/>
    <x v="35"/>
    <x v="9"/>
    <n v="0"/>
    <x v="35"/>
    <x v="35"/>
    <s v="cliente45@mail.cl"/>
    <s v="Hombre"/>
    <s v="20"/>
    <s v="Santiago"/>
    <x v="2"/>
    <s v="Tienda"/>
    <s v="Lavadora"/>
    <x v="1"/>
    <n v="700000"/>
    <n v="1"/>
    <n v="0"/>
    <n v="700000"/>
    <n v="0"/>
    <n v="700000"/>
  </r>
  <r>
    <n v="37"/>
    <x v="36"/>
    <x v="6"/>
    <n v="0"/>
    <x v="11"/>
    <x v="11"/>
    <s v="cliente50@mail.cl"/>
    <s v="Hombre"/>
    <s v="18"/>
    <s v="Santiago"/>
    <x v="2"/>
    <s v="App"/>
    <s v="Refrigerador"/>
    <x v="1"/>
    <n v="800000"/>
    <n v="1"/>
    <n v="0"/>
    <n v="800000"/>
    <n v="0"/>
    <n v="800000"/>
  </r>
  <r>
    <n v="38"/>
    <x v="37"/>
    <x v="26"/>
    <n v="3"/>
    <x v="36"/>
    <x v="36"/>
    <s v="cliente212@mail.cl"/>
    <s v="Hombre"/>
    <s v="51"/>
    <s v="La Serena"/>
    <x v="6"/>
    <s v="App"/>
    <s v="Notebook"/>
    <x v="2"/>
    <n v="750000"/>
    <n v="3"/>
    <n v="0"/>
    <n v="2250000"/>
    <n v="0"/>
    <n v="2250000"/>
  </r>
  <r>
    <n v="39"/>
    <x v="38"/>
    <x v="27"/>
    <n v="0"/>
    <x v="37"/>
    <x v="37"/>
    <s v="cliente178@mail.cl"/>
    <s v="Mujer"/>
    <s v="55"/>
    <s v="Temuco"/>
    <x v="0"/>
    <s v="Web"/>
    <s v="Notebook"/>
    <x v="2"/>
    <n v="750000"/>
    <n v="2"/>
    <n v="5"/>
    <n v="1500000"/>
    <n v="75000"/>
    <n v="1425000"/>
  </r>
  <r>
    <n v="40"/>
    <x v="39"/>
    <x v="28"/>
    <n v="7"/>
    <x v="38"/>
    <x v="38"/>
    <s v="cliente271@mail.cl"/>
    <s v="Mujer"/>
    <s v="55"/>
    <s v="Valparaíso"/>
    <x v="3"/>
    <s v="Tienda"/>
    <s v="TV"/>
    <x v="1"/>
    <n v="650000"/>
    <n v="1"/>
    <n v="0"/>
    <n v="650000"/>
    <n v="0"/>
    <n v="650000"/>
  </r>
  <r>
    <n v="41"/>
    <x v="40"/>
    <x v="29"/>
    <n v="3"/>
    <x v="39"/>
    <x v="39"/>
    <s v="cliente238@mail.cl"/>
    <s v="Hombre"/>
    <s v="40"/>
    <s v="Puerto Montt"/>
    <x v="5"/>
    <s v="Tienda"/>
    <s v="Perfume"/>
    <x v="0"/>
    <n v="35000"/>
    <n v="1"/>
    <n v="0"/>
    <n v="35000"/>
    <n v="0"/>
    <n v="35000"/>
  </r>
  <r>
    <n v="42"/>
    <x v="41"/>
    <x v="30"/>
    <n v="0"/>
    <x v="1"/>
    <x v="1"/>
    <s v="cliente102@mail.cl"/>
    <s v="Hombre"/>
    <s v="32"/>
    <s v="Concepción"/>
    <x v="1"/>
    <s v="Tienda"/>
    <s v="Lavadora"/>
    <x v="1"/>
    <n v="700000"/>
    <n v="3"/>
    <n v="0"/>
    <n v="2100000"/>
    <n v="0"/>
    <n v="2100000"/>
  </r>
  <r>
    <n v="43"/>
    <x v="42"/>
    <x v="31"/>
    <n v="5"/>
    <x v="0"/>
    <x v="0"/>
    <s v="cliente254@mail.cl"/>
    <s v="Hombre"/>
    <s v="50"/>
    <s v="Puerto Montt"/>
    <x v="5"/>
    <s v="Web"/>
    <s v="Smartphone"/>
    <x v="2"/>
    <n v="450000"/>
    <n v="2"/>
    <n v="0"/>
    <n v="900000"/>
    <n v="0"/>
    <n v="900000"/>
  </r>
  <r>
    <n v="44"/>
    <x v="43"/>
    <x v="28"/>
    <n v="7"/>
    <x v="40"/>
    <x v="40"/>
    <s v="cliente41@mail.cl"/>
    <s v="Mujer"/>
    <s v="46"/>
    <s v="Valparaíso"/>
    <x v="3"/>
    <s v="App"/>
    <s v="Zapatillas"/>
    <x v="4"/>
    <n v="55000"/>
    <n v="3"/>
    <n v="5"/>
    <n v="165000"/>
    <n v="8250"/>
    <n v="156750"/>
  </r>
  <r>
    <n v="45"/>
    <x v="44"/>
    <x v="32"/>
    <n v="4"/>
    <x v="41"/>
    <x v="41"/>
    <s v="cliente118@mail.cl"/>
    <s v="Mujer"/>
    <s v="23"/>
    <s v="Talcahuano"/>
    <x v="1"/>
    <s v="Web"/>
    <s v="Polera"/>
    <x v="3"/>
    <n v="12000"/>
    <n v="1"/>
    <n v="1"/>
    <n v="12000"/>
    <n v="120"/>
    <n v="11880"/>
  </r>
  <r>
    <n v="46"/>
    <x v="45"/>
    <x v="33"/>
    <n v="4"/>
    <x v="42"/>
    <x v="42"/>
    <s v="cliente68@mail.cl"/>
    <s v="Hombre"/>
    <s v="50"/>
    <s v="Temuco"/>
    <x v="0"/>
    <s v="Tienda"/>
    <s v="Refrigerador"/>
    <x v="1"/>
    <n v="800000"/>
    <n v="3"/>
    <n v="5"/>
    <n v="2400000"/>
    <n v="120000"/>
    <n v="2280000"/>
  </r>
  <r>
    <n v="47"/>
    <x v="46"/>
    <x v="29"/>
    <n v="3"/>
    <x v="43"/>
    <x v="43"/>
    <s v="cliente268@mail.cl"/>
    <s v="Hombre"/>
    <s v="20"/>
    <s v="Puerto Montt"/>
    <x v="5"/>
    <s v="App"/>
    <s v="Smartphone"/>
    <x v="2"/>
    <n v="450000"/>
    <n v="3"/>
    <n v="0"/>
    <n v="1350000"/>
    <n v="0"/>
    <n v="1350000"/>
  </r>
  <r>
    <n v="48"/>
    <x v="47"/>
    <x v="34"/>
    <n v="1"/>
    <x v="44"/>
    <x v="44"/>
    <s v="cliente204@mail.cl"/>
    <s v="Hombre"/>
    <s v="50"/>
    <s v="Viña del Mar"/>
    <x v="3"/>
    <s v="Tienda"/>
    <s v="Lavadora"/>
    <x v="1"/>
    <n v="700000"/>
    <n v="2"/>
    <n v="0"/>
    <n v="1400000"/>
    <n v="0"/>
    <n v="1400000"/>
  </r>
  <r>
    <n v="49"/>
    <x v="48"/>
    <x v="35"/>
    <n v="7"/>
    <x v="45"/>
    <x v="45"/>
    <s v="cliente239@mail.cl"/>
    <s v="Mujer"/>
    <s v="30"/>
    <s v="Rancagua"/>
    <x v="7"/>
    <s v="Tienda"/>
    <s v="Polera"/>
    <x v="3"/>
    <n v="12000"/>
    <n v="2"/>
    <n v="1"/>
    <n v="24000"/>
    <n v="240"/>
    <n v="23760"/>
  </r>
  <r>
    <n v="50"/>
    <x v="49"/>
    <x v="28"/>
    <n v="7"/>
    <x v="46"/>
    <x v="46"/>
    <s v="cliente30@mail.cl"/>
    <s v="Hombre"/>
    <s v="34"/>
    <s v="Valparaíso"/>
    <x v="3"/>
    <s v="Web"/>
    <s v="Maquillaje"/>
    <x v="0"/>
    <n v="15000"/>
    <n v="3"/>
    <n v="0"/>
    <n v="45000"/>
    <n v="0"/>
    <n v="45000"/>
  </r>
  <r>
    <n v="51"/>
    <x v="50"/>
    <x v="6"/>
    <n v="0"/>
    <x v="47"/>
    <x v="47"/>
    <s v="cliente221@mail.cl"/>
    <s v="Mujer"/>
    <s v="65"/>
    <s v="Santiago"/>
    <x v="2"/>
    <s v="Web"/>
    <s v="Perfume"/>
    <x v="0"/>
    <n v="35000"/>
    <n v="3"/>
    <n v="5"/>
    <n v="105000"/>
    <n v="5250"/>
    <n v="99750"/>
  </r>
  <r>
    <n v="52"/>
    <x v="51"/>
    <x v="27"/>
    <n v="0"/>
    <x v="8"/>
    <x v="8"/>
    <s v="cliente255@mail.cl"/>
    <s v="Hombre"/>
    <s v="19"/>
    <s v="Temuco"/>
    <x v="0"/>
    <s v="Web"/>
    <s v="Smartphone"/>
    <x v="2"/>
    <n v="450000"/>
    <n v="2"/>
    <n v="1"/>
    <n v="900000"/>
    <n v="9000"/>
    <n v="891000"/>
  </r>
  <r>
    <n v="53"/>
    <x v="52"/>
    <x v="36"/>
    <n v="1"/>
    <x v="24"/>
    <x v="24"/>
    <s v="cliente132@mail.cl"/>
    <s v="Mujer"/>
    <s v="38"/>
    <s v="Talcahuano"/>
    <x v="1"/>
    <s v="Tienda"/>
    <s v="Notebook"/>
    <x v="2"/>
    <n v="750000"/>
    <n v="1"/>
    <n v="0"/>
    <n v="750000"/>
    <n v="0"/>
    <n v="750000"/>
  </r>
  <r>
    <n v="54"/>
    <x v="53"/>
    <x v="37"/>
    <n v="6"/>
    <x v="48"/>
    <x v="48"/>
    <s v="cliente99@mail.cl"/>
    <s v="Hombre"/>
    <s v="38"/>
    <s v="Valparaíso"/>
    <x v="3"/>
    <s v="Tienda"/>
    <s v="Polera"/>
    <x v="3"/>
    <n v="12000"/>
    <n v="3"/>
    <n v="0"/>
    <n v="36000"/>
    <n v="0"/>
    <n v="36000"/>
  </r>
  <r>
    <n v="55"/>
    <x v="54"/>
    <x v="3"/>
    <n v="1"/>
    <x v="49"/>
    <x v="49"/>
    <s v="cliente117@mail.cl"/>
    <s v="Mujer"/>
    <m/>
    <s v="Valparaíso"/>
    <x v="3"/>
    <s v="Tienda"/>
    <s v="Zapatillas"/>
    <x v="4"/>
    <n v="55000"/>
    <n v="3"/>
    <n v="0"/>
    <n v="165000"/>
    <n v="0"/>
    <n v="165000"/>
  </r>
  <r>
    <n v="56"/>
    <x v="55"/>
    <x v="17"/>
    <n v="3"/>
    <x v="50"/>
    <x v="50"/>
    <s v="cliente186@mail.cl"/>
    <s v="Mujer"/>
    <s v="46"/>
    <s v="Temuco"/>
    <x v="0"/>
    <s v="App"/>
    <s v="Smartphone"/>
    <x v="2"/>
    <n v="450000"/>
    <n v="1"/>
    <n v="1"/>
    <n v="450000"/>
    <n v="4500"/>
    <n v="445500"/>
  </r>
  <r>
    <n v="57"/>
    <x v="56"/>
    <x v="32"/>
    <n v="4"/>
    <x v="51"/>
    <x v="51"/>
    <s v="cliente261@mail.cl"/>
    <s v="Hombre"/>
    <s v="26"/>
    <s v="Talcahuano"/>
    <x v="1"/>
    <s v="Tienda"/>
    <s v="Smartphone"/>
    <x v="2"/>
    <n v="450000"/>
    <n v="3"/>
    <n v="0"/>
    <n v="1350000"/>
    <n v="0"/>
    <n v="1350000"/>
  </r>
  <r>
    <n v="58"/>
    <x v="57"/>
    <x v="27"/>
    <n v="0"/>
    <x v="52"/>
    <x v="52"/>
    <s v="cliente167@mail.cl"/>
    <s v="Mujer"/>
    <s v="47"/>
    <s v="Temuco"/>
    <x v="0"/>
    <s v="Web"/>
    <s v="Refrigerador"/>
    <x v="1"/>
    <n v="800000"/>
    <n v="2"/>
    <n v="0"/>
    <n v="1600000"/>
    <n v="0"/>
    <n v="1600000"/>
  </r>
  <r>
    <n v="59"/>
    <x v="58"/>
    <x v="38"/>
    <n v="2"/>
    <x v="53"/>
    <x v="53"/>
    <s v="cliente123@mail.cl"/>
    <s v="Hombre"/>
    <s v="54"/>
    <s v="Rancagua"/>
    <x v="7"/>
    <s v="Web"/>
    <s v="Maquillaje"/>
    <x v="0"/>
    <n v="15000"/>
    <n v="1"/>
    <n v="1"/>
    <n v="15000"/>
    <n v="150"/>
    <n v="14850"/>
  </r>
  <r>
    <n v="60"/>
    <x v="59"/>
    <x v="39"/>
    <n v="3"/>
    <x v="54"/>
    <x v="54"/>
    <s v="cliente195@mail.cl"/>
    <s v="Mujer"/>
    <s v="40"/>
    <s v="Concepción"/>
    <x v="1"/>
    <s v="App"/>
    <s v="Zapatillas"/>
    <x v="4"/>
    <n v="55000"/>
    <n v="3"/>
    <n v="0"/>
    <n v="165000"/>
    <n v="0"/>
    <n v="165000"/>
  </r>
  <r>
    <n v="61"/>
    <x v="60"/>
    <x v="40"/>
    <n v="1"/>
    <x v="2"/>
    <x v="2"/>
    <s v="cliente196@mail.cl"/>
    <s v="Hombre"/>
    <s v="42"/>
    <s v="Viña del Mar"/>
    <x v="3"/>
    <s v="Tienda"/>
    <s v="Polera"/>
    <x v="3"/>
    <n v="12000"/>
    <n v="1"/>
    <n v="1"/>
    <n v="12000"/>
    <n v="120"/>
    <n v="11880"/>
  </r>
  <r>
    <n v="62"/>
    <x v="61"/>
    <x v="41"/>
    <n v="8"/>
    <x v="55"/>
    <x v="55"/>
    <s v="cliente249@mail.cl"/>
    <s v="Mujer"/>
    <s v="59"/>
    <s v="Concepción"/>
    <x v="1"/>
    <s v="Web"/>
    <s v="Perfume"/>
    <x v="0"/>
    <n v="35000"/>
    <n v="2"/>
    <n v="0"/>
    <n v="70000"/>
    <n v="0"/>
    <n v="70000"/>
  </r>
  <r>
    <n v="63"/>
    <x v="62"/>
    <x v="42"/>
    <n v="4"/>
    <x v="56"/>
    <x v="56"/>
    <s v="cliente184@mail.cl"/>
    <s v="Hombre"/>
    <s v="43"/>
    <s v="Antofagasta"/>
    <x v="4"/>
    <s v="App"/>
    <s v="TV"/>
    <x v="1"/>
    <n v="650000"/>
    <n v="3"/>
    <n v="0"/>
    <n v="1950000"/>
    <n v="0"/>
    <n v="1950000"/>
  </r>
  <r>
    <n v="64"/>
    <x v="63"/>
    <x v="43"/>
    <n v="0"/>
    <x v="57"/>
    <x v="57"/>
    <s v="cliente263@mail.cl"/>
    <s v="Mujer"/>
    <s v="18"/>
    <s v="Valparaíso"/>
    <x v="3"/>
    <s v="Tienda"/>
    <s v="Lavadora"/>
    <x v="1"/>
    <n v="700000"/>
    <n v="2"/>
    <n v="0"/>
    <n v="1400000"/>
    <n v="0"/>
    <n v="1400000"/>
  </r>
  <r>
    <n v="65"/>
    <x v="64"/>
    <x v="9"/>
    <n v="0"/>
    <x v="58"/>
    <x v="58"/>
    <s v="cliente193@mail.cl"/>
    <s v="Hombre"/>
    <s v="40"/>
    <s v="Santiago"/>
    <x v="2"/>
    <s v="Web"/>
    <s v="Smartphone"/>
    <x v="2"/>
    <n v="450000"/>
    <n v="2"/>
    <n v="1"/>
    <n v="900000"/>
    <n v="9000"/>
    <n v="891000"/>
  </r>
  <r>
    <n v="66"/>
    <x v="65"/>
    <x v="44"/>
    <n v="2"/>
    <x v="59"/>
    <x v="59"/>
    <s v="cliente176@mail.cl"/>
    <s v="Mujer"/>
    <s v="47"/>
    <s v="Talcahuano"/>
    <x v="1"/>
    <s v="Web"/>
    <s v="Perfume"/>
    <x v="0"/>
    <n v="35000"/>
    <n v="2"/>
    <n v="0"/>
    <n v="70000"/>
    <n v="0"/>
    <n v="70000"/>
  </r>
  <r>
    <n v="67"/>
    <x v="66"/>
    <x v="45"/>
    <n v="1"/>
    <x v="60"/>
    <x v="60"/>
    <s v="cliente222@mail.cl"/>
    <s v="Mujer"/>
    <s v="18"/>
    <s v="Talcahuano"/>
    <x v="1"/>
    <s v="App"/>
    <s v="Refrigerador"/>
    <x v="1"/>
    <n v="800000"/>
    <n v="3"/>
    <n v="1"/>
    <n v="2400000"/>
    <n v="24000"/>
    <n v="2376000"/>
  </r>
  <r>
    <n v="68"/>
    <x v="67"/>
    <x v="32"/>
    <n v="4"/>
    <x v="61"/>
    <x v="61"/>
    <s v="cliente260@mail.cl"/>
    <s v="Mujer"/>
    <s v="47"/>
    <s v="Talcahuano"/>
    <x v="1"/>
    <s v="Tienda"/>
    <s v="Pantalón"/>
    <x v="3"/>
    <n v="25000"/>
    <n v="3"/>
    <n v="0"/>
    <n v="75000"/>
    <n v="0"/>
    <n v="75000"/>
  </r>
  <r>
    <n v="69"/>
    <x v="68"/>
    <x v="43"/>
    <n v="0"/>
    <x v="62"/>
    <x v="62"/>
    <s v="cliente148@mail.cl"/>
    <s v="Hombre"/>
    <s v="22"/>
    <s v="Valparaíso"/>
    <x v="3"/>
    <s v="App"/>
    <s v="Refrigerador"/>
    <x v="1"/>
    <n v="800000"/>
    <n v="2"/>
    <n v="1"/>
    <n v="1600000"/>
    <n v="16000"/>
    <n v="1584000"/>
  </r>
  <r>
    <n v="70"/>
    <x v="69"/>
    <x v="42"/>
    <n v="4"/>
    <x v="63"/>
    <x v="63"/>
    <s v="cliente103@mail.cl"/>
    <s v="Hombre"/>
    <s v="33"/>
    <s v="Antofagasta"/>
    <x v="4"/>
    <s v="App"/>
    <s v="Polera"/>
    <x v="3"/>
    <n v="12000"/>
    <n v="1"/>
    <n v="5"/>
    <n v="12000"/>
    <n v="600"/>
    <n v="11400"/>
  </r>
  <r>
    <n v="71"/>
    <x v="70"/>
    <x v="5"/>
    <n v="0"/>
    <x v="64"/>
    <x v="64"/>
    <s v="cliente44@mail.cl"/>
    <s v="Hombre"/>
    <s v="34"/>
    <s v="Santiago"/>
    <x v="2"/>
    <s v="Tienda"/>
    <s v="Lavadora"/>
    <x v="1"/>
    <n v="700000"/>
    <n v="3"/>
    <n v="0"/>
    <n v="2100000"/>
    <n v="0"/>
    <n v="2100000"/>
  </r>
  <r>
    <n v="72"/>
    <x v="71"/>
    <x v="46"/>
    <n v="1"/>
    <x v="65"/>
    <x v="65"/>
    <s v="cliente165@mail.cl"/>
    <s v="Mujer"/>
    <s v="49"/>
    <s v="Antofagasta"/>
    <x v="4"/>
    <s v="Tienda"/>
    <s v="TV"/>
    <x v="1"/>
    <n v="650000"/>
    <n v="2"/>
    <n v="1"/>
    <n v="1300000"/>
    <n v="13000"/>
    <n v="1287000"/>
  </r>
  <r>
    <n v="73"/>
    <x v="72"/>
    <x v="2"/>
    <n v="2"/>
    <x v="66"/>
    <x v="66"/>
    <s v="cliente144@mail.cl"/>
    <s v="Mujer"/>
    <s v="40"/>
    <s v="Santiago"/>
    <x v="2"/>
    <s v="Tienda"/>
    <s v="Notebook"/>
    <x v="2"/>
    <n v="750000"/>
    <n v="2"/>
    <n v="0"/>
    <n v="1500000"/>
    <n v="0"/>
    <n v="1500000"/>
  </r>
  <r>
    <n v="74"/>
    <x v="73"/>
    <x v="47"/>
    <n v="13"/>
    <x v="67"/>
    <x v="67"/>
    <s v="cliente26@mail.cl"/>
    <s v="Mujer"/>
    <s v="39"/>
    <s v="Rancagua"/>
    <x v="7"/>
    <s v="Tienda"/>
    <s v="Notebook"/>
    <x v="2"/>
    <n v="750000"/>
    <n v="2"/>
    <n v="0"/>
    <n v="1500000"/>
    <n v="0"/>
    <n v="1500000"/>
  </r>
  <r>
    <n v="75"/>
    <x v="74"/>
    <x v="9"/>
    <n v="0"/>
    <x v="68"/>
    <x v="68"/>
    <s v="cliente69@mail.cl"/>
    <s v="Mujer"/>
    <s v="42"/>
    <s v="Santiago"/>
    <x v="2"/>
    <s v="App"/>
    <s v="Maquillaje"/>
    <x v="0"/>
    <n v="15000"/>
    <n v="1"/>
    <n v="0"/>
    <n v="15000"/>
    <n v="0"/>
    <n v="15000"/>
  </r>
  <r>
    <n v="76"/>
    <x v="75"/>
    <x v="48"/>
    <n v="1"/>
    <x v="69"/>
    <x v="69"/>
    <s v="cliente137@mail.cl"/>
    <s v="Hombre"/>
    <s v="28"/>
    <s v="Valparaíso"/>
    <x v="3"/>
    <s v="App"/>
    <s v="TV"/>
    <x v="1"/>
    <n v="650000"/>
    <n v="3"/>
    <n v="0"/>
    <n v="1950000"/>
    <n v="0"/>
    <n v="1950000"/>
  </r>
  <r>
    <n v="77"/>
    <x v="76"/>
    <x v="49"/>
    <n v="0"/>
    <x v="30"/>
    <x v="30"/>
    <s v="cliente162@mail.cl"/>
    <s v="Mujer"/>
    <s v="47"/>
    <s v="Santiago"/>
    <x v="2"/>
    <s v="App"/>
    <s v="TV"/>
    <x v="1"/>
    <n v="650000"/>
    <n v="3"/>
    <n v="0"/>
    <n v="1950000"/>
    <n v="0"/>
    <n v="1950000"/>
  </r>
  <r>
    <n v="78"/>
    <x v="77"/>
    <x v="24"/>
    <n v="0"/>
    <x v="28"/>
    <x v="28"/>
    <s v="cliente110@mail.cl"/>
    <s v="Mujer"/>
    <s v="37"/>
    <s v="Rancagua"/>
    <x v="7"/>
    <s v="Web"/>
    <s v="Refrigerador"/>
    <x v="1"/>
    <n v="800000"/>
    <n v="1"/>
    <n v="1"/>
    <n v="800000"/>
    <n v="8000"/>
    <n v="792000"/>
  </r>
  <r>
    <n v="79"/>
    <x v="78"/>
    <x v="17"/>
    <n v="3"/>
    <x v="70"/>
    <x v="70"/>
    <s v="cliente226@mail.cl"/>
    <s v="Hombre"/>
    <s v="51"/>
    <s v="Temuco"/>
    <x v="0"/>
    <s v="Web"/>
    <s v="Perfume"/>
    <x v="0"/>
    <n v="35000"/>
    <n v="1"/>
    <n v="0"/>
    <n v="35000"/>
    <n v="0"/>
    <n v="35000"/>
  </r>
  <r>
    <n v="80"/>
    <x v="79"/>
    <x v="50"/>
    <n v="6"/>
    <x v="71"/>
    <x v="71"/>
    <s v="cliente121@mail.cl"/>
    <s v="Hombre"/>
    <s v="47"/>
    <s v="Antofagasta"/>
    <x v="4"/>
    <s v="Tienda"/>
    <s v="TV"/>
    <x v="1"/>
    <n v="650000"/>
    <n v="2"/>
    <n v="1"/>
    <n v="1300000"/>
    <n v="13000"/>
    <n v="1287000"/>
  </r>
  <r>
    <n v="81"/>
    <x v="80"/>
    <x v="30"/>
    <n v="0"/>
    <x v="47"/>
    <x v="47"/>
    <s v="cliente221@mail.cl"/>
    <s v="Mujer"/>
    <s v="65"/>
    <s v="Concepción"/>
    <x v="1"/>
    <s v="App"/>
    <s v="Zapatillas"/>
    <x v="4"/>
    <n v="55000"/>
    <n v="3"/>
    <n v="0"/>
    <n v="165000"/>
    <n v="0"/>
    <n v="165000"/>
  </r>
  <r>
    <n v="82"/>
    <x v="81"/>
    <x v="14"/>
    <n v="9"/>
    <x v="72"/>
    <x v="72"/>
    <s v="cliente145@mail.cl"/>
    <s v="Hombre"/>
    <s v="41"/>
    <s v="Talcahuano"/>
    <x v="1"/>
    <s v="App"/>
    <s v="Notebook"/>
    <x v="2"/>
    <n v="750000"/>
    <n v="3"/>
    <n v="0"/>
    <n v="2250000"/>
    <n v="0"/>
    <n v="2250000"/>
  </r>
  <r>
    <n v="83"/>
    <x v="82"/>
    <x v="51"/>
    <n v="6"/>
    <x v="73"/>
    <x v="73"/>
    <s v="cliente80@mail.cl"/>
    <s v="Mujer"/>
    <s v="18"/>
    <s v="Rancagua"/>
    <x v="7"/>
    <s v="App"/>
    <s v="Zapatillas"/>
    <x v="4"/>
    <n v="55000"/>
    <n v="3"/>
    <n v="5"/>
    <n v="165000"/>
    <n v="8250"/>
    <n v="156750"/>
  </r>
  <r>
    <n v="84"/>
    <x v="83"/>
    <x v="50"/>
    <n v="6"/>
    <x v="42"/>
    <x v="42"/>
    <s v="cliente68@mail.cl"/>
    <s v="Hombre"/>
    <s v="50"/>
    <s v="Antofagasta"/>
    <x v="4"/>
    <s v="Tienda"/>
    <s v="Notebook"/>
    <x v="2"/>
    <n v="750000"/>
    <n v="2"/>
    <n v="1"/>
    <n v="1500000"/>
    <n v="15000"/>
    <n v="1485000"/>
  </r>
  <r>
    <n v="85"/>
    <x v="84"/>
    <x v="52"/>
    <n v="1"/>
    <x v="74"/>
    <x v="74"/>
    <s v="cliente38@mail.cl"/>
    <s v="Hombre"/>
    <s v="18"/>
    <s v="Viña del Mar"/>
    <x v="3"/>
    <s v="Tienda"/>
    <s v="Smartphone"/>
    <x v="2"/>
    <n v="450000"/>
    <n v="1"/>
    <n v="1"/>
    <n v="450000"/>
    <n v="4500"/>
    <n v="445500"/>
  </r>
  <r>
    <n v="86"/>
    <x v="85"/>
    <x v="53"/>
    <n v="0"/>
    <x v="75"/>
    <x v="75"/>
    <s v="cliente191@mail.cl"/>
    <s v="Mujer"/>
    <s v="32"/>
    <s v="Talcahuano"/>
    <x v="1"/>
    <s v="Web"/>
    <s v="Refrigerador"/>
    <x v="1"/>
    <n v="800000"/>
    <n v="1"/>
    <n v="0"/>
    <n v="800000"/>
    <n v="0"/>
    <n v="800000"/>
  </r>
  <r>
    <n v="87"/>
    <x v="86"/>
    <x v="38"/>
    <n v="2"/>
    <x v="76"/>
    <x v="76"/>
    <s v="cliente58@mail.cl"/>
    <s v="Hombre"/>
    <s v="34"/>
    <s v="Rancagua"/>
    <x v="7"/>
    <s v="Tienda"/>
    <s v="Smartphone"/>
    <x v="2"/>
    <n v="450000"/>
    <n v="2"/>
    <n v="5"/>
    <n v="900000"/>
    <n v="45000"/>
    <n v="855000"/>
  </r>
  <r>
    <n v="88"/>
    <x v="87"/>
    <x v="2"/>
    <n v="2"/>
    <x v="77"/>
    <x v="77"/>
    <s v="cliente125@mail.cl"/>
    <s v="Mujer"/>
    <s v="45"/>
    <s v="Santiago"/>
    <x v="2"/>
    <s v="Tienda"/>
    <s v="Pantalón"/>
    <x v="3"/>
    <n v="25000"/>
    <n v="1"/>
    <n v="0"/>
    <n v="25000"/>
    <n v="0"/>
    <n v="25000"/>
  </r>
  <r>
    <n v="89"/>
    <x v="88"/>
    <x v="20"/>
    <n v="6"/>
    <x v="78"/>
    <x v="78"/>
    <s v="cliente104@mail.cl"/>
    <s v="Mujer"/>
    <s v="28"/>
    <s v="Talcahuano"/>
    <x v="1"/>
    <s v="App"/>
    <s v="Zapatillas"/>
    <x v="4"/>
    <n v="55000"/>
    <n v="3"/>
    <n v="0"/>
    <n v="165000"/>
    <n v="0"/>
    <n v="165000"/>
  </r>
  <r>
    <n v="90"/>
    <x v="89"/>
    <x v="54"/>
    <n v="4"/>
    <x v="79"/>
    <x v="79"/>
    <s v="cliente205@mail.cl"/>
    <s v="Hombre"/>
    <s v="21"/>
    <s v="Rancagua"/>
    <x v="7"/>
    <s v="Tienda"/>
    <s v="Notebook"/>
    <x v="2"/>
    <n v="750000"/>
    <n v="3"/>
    <n v="0"/>
    <n v="2250000"/>
    <n v="0"/>
    <n v="2250000"/>
  </r>
  <r>
    <n v="91"/>
    <x v="90"/>
    <x v="8"/>
    <n v="2"/>
    <x v="63"/>
    <x v="63"/>
    <s v="cliente103@mail.cl"/>
    <s v="Hombre"/>
    <s v="33"/>
    <s v="Concepción"/>
    <x v="1"/>
    <s v="Tienda"/>
    <s v="Polera"/>
    <x v="3"/>
    <n v="12000"/>
    <n v="3"/>
    <n v="5"/>
    <n v="36000"/>
    <n v="1800"/>
    <n v="34200"/>
  </r>
  <r>
    <n v="92"/>
    <x v="91"/>
    <x v="35"/>
    <n v="7"/>
    <x v="80"/>
    <x v="80"/>
    <s v="cliente130@mail.cl"/>
    <s v="Hombre"/>
    <s v="31"/>
    <s v="Rancagua"/>
    <x v="7"/>
    <s v="Web"/>
    <s v="TV"/>
    <x v="1"/>
    <n v="650000"/>
    <n v="3"/>
    <n v="5"/>
    <n v="1950000"/>
    <n v="97500"/>
    <n v="1852500"/>
  </r>
  <r>
    <n v="93"/>
    <x v="92"/>
    <x v="17"/>
    <n v="3"/>
    <x v="81"/>
    <x v="81"/>
    <s v="cliente86@mail.cl"/>
    <s v="Hombre"/>
    <s v="31"/>
    <s v="Temuco"/>
    <x v="0"/>
    <s v="Tienda"/>
    <s v="TV"/>
    <x v="1"/>
    <n v="650000"/>
    <n v="2"/>
    <n v="5"/>
    <n v="1300000"/>
    <n v="65000"/>
    <n v="1235000"/>
  </r>
  <r>
    <n v="94"/>
    <x v="93"/>
    <x v="21"/>
    <n v="4"/>
    <x v="82"/>
    <x v="82"/>
    <s v="cliente95@mail.cl"/>
    <s v="Mujer"/>
    <s v="33"/>
    <s v="Puerto Montt"/>
    <x v="5"/>
    <s v="Tienda"/>
    <s v="Refrigerador"/>
    <x v="1"/>
    <n v="800000"/>
    <n v="2"/>
    <n v="5"/>
    <n v="1600000"/>
    <n v="80000"/>
    <n v="1520000"/>
  </r>
  <r>
    <n v="95"/>
    <x v="94"/>
    <x v="36"/>
    <n v="1"/>
    <x v="83"/>
    <x v="83"/>
    <s v="cliente1@mail.cl"/>
    <s v="Hombre"/>
    <s v="43"/>
    <s v="Talcahuano"/>
    <x v="1"/>
    <s v="Web"/>
    <s v="Notebook"/>
    <x v="2"/>
    <n v="750000"/>
    <n v="2"/>
    <n v="0"/>
    <n v="1500000"/>
    <n v="0"/>
    <n v="1500000"/>
  </r>
  <r>
    <n v="96"/>
    <x v="95"/>
    <x v="55"/>
    <n v="1"/>
    <x v="52"/>
    <x v="52"/>
    <s v="cliente167@mail.cl"/>
    <s v="Mujer"/>
    <s v="47"/>
    <s v="Concepción"/>
    <x v="1"/>
    <s v="Web"/>
    <s v="Zapatillas"/>
    <x v="4"/>
    <n v="55000"/>
    <n v="2"/>
    <n v="5"/>
    <n v="110000"/>
    <n v="5500"/>
    <n v="104500"/>
  </r>
  <r>
    <n v="97"/>
    <x v="96"/>
    <x v="35"/>
    <n v="7"/>
    <x v="84"/>
    <x v="84"/>
    <s v="cliente4@mail.cl"/>
    <s v="Hombre"/>
    <s v="56"/>
    <s v="Rancagua"/>
    <x v="7"/>
    <s v="Web"/>
    <s v="Pantalón"/>
    <x v="3"/>
    <n v="25000"/>
    <n v="2"/>
    <n v="0"/>
    <n v="50000"/>
    <n v="0"/>
    <n v="50000"/>
  </r>
  <r>
    <n v="98"/>
    <x v="97"/>
    <x v="8"/>
    <n v="2"/>
    <x v="85"/>
    <x v="85"/>
    <s v="cliente61@mail.cl"/>
    <s v="Mujer"/>
    <s v="32"/>
    <s v="Concepción"/>
    <x v="1"/>
    <s v="Web"/>
    <s v="TV"/>
    <x v="1"/>
    <n v="650000"/>
    <n v="1"/>
    <n v="0"/>
    <n v="650000"/>
    <n v="0"/>
    <n v="650000"/>
  </r>
  <r>
    <n v="99"/>
    <x v="98"/>
    <x v="56"/>
    <n v="5"/>
    <x v="86"/>
    <x v="86"/>
    <s v="cliente6@mail.cl"/>
    <s v="Mujer"/>
    <s v="35"/>
    <s v="Viña del Mar"/>
    <x v="3"/>
    <s v="Tienda"/>
    <s v="Zapatillas"/>
    <x v="4"/>
    <n v="55000"/>
    <n v="2"/>
    <n v="5"/>
    <n v="110000"/>
    <n v="5500"/>
    <n v="104500"/>
  </r>
  <r>
    <n v="100"/>
    <x v="99"/>
    <x v="0"/>
    <n v="0"/>
    <x v="9"/>
    <x v="9"/>
    <s v="cliente35@mail.cl"/>
    <s v="Mujer"/>
    <s v="47"/>
    <s v="Temuco"/>
    <x v="0"/>
    <s v="Web"/>
    <s v="Smartphone"/>
    <x v="2"/>
    <n v="450000"/>
    <n v="2"/>
    <n v="1"/>
    <n v="900000"/>
    <n v="9000"/>
    <n v="891000"/>
  </r>
  <r>
    <n v="101"/>
    <x v="100"/>
    <x v="50"/>
    <n v="6"/>
    <x v="87"/>
    <x v="87"/>
    <s v="cliente274@mail.cl"/>
    <s v="Mujer"/>
    <s v="38"/>
    <s v="Antofagasta"/>
    <x v="4"/>
    <s v="App"/>
    <s v="Maquillaje"/>
    <x v="0"/>
    <n v="15000"/>
    <n v="2"/>
    <n v="5"/>
    <n v="30000"/>
    <n v="1500"/>
    <n v="28500"/>
  </r>
  <r>
    <n v="102"/>
    <x v="101"/>
    <x v="14"/>
    <n v="9"/>
    <x v="88"/>
    <x v="88"/>
    <s v="cliente105@mail.cl"/>
    <s v="Hombre"/>
    <s v="36"/>
    <s v="Talcahuano"/>
    <x v="1"/>
    <s v="Tienda"/>
    <s v="Smartphone"/>
    <x v="2"/>
    <n v="450000"/>
    <n v="1"/>
    <n v="1"/>
    <n v="450000"/>
    <n v="4500"/>
    <n v="445500"/>
  </r>
  <r>
    <n v="103"/>
    <x v="102"/>
    <x v="57"/>
    <n v="9"/>
    <x v="89"/>
    <x v="89"/>
    <s v="cliente169@mail.cl"/>
    <s v="Mujer"/>
    <s v="35"/>
    <s v="Antofagasta"/>
    <x v="4"/>
    <s v="Tienda"/>
    <s v="Perfume"/>
    <x v="0"/>
    <n v="35000"/>
    <n v="1"/>
    <n v="5"/>
    <n v="35000"/>
    <n v="1750"/>
    <n v="33250"/>
  </r>
  <r>
    <n v="104"/>
    <x v="103"/>
    <x v="58"/>
    <n v="9"/>
    <x v="90"/>
    <x v="90"/>
    <s v="cliente64@mail.cl"/>
    <s v="Hombre"/>
    <s v="23"/>
    <s v="Valparaíso"/>
    <x v="3"/>
    <s v="Tienda"/>
    <s v="Maquillaje"/>
    <x v="0"/>
    <n v="15000"/>
    <n v="3"/>
    <n v="5"/>
    <n v="45000"/>
    <n v="2250"/>
    <n v="42750"/>
  </r>
  <r>
    <n v="105"/>
    <x v="104"/>
    <x v="52"/>
    <n v="1"/>
    <x v="91"/>
    <x v="91"/>
    <s v="cliente53@mail.cl"/>
    <s v="Mujer"/>
    <s v="29"/>
    <s v="Viña del Mar"/>
    <x v="3"/>
    <s v="Web"/>
    <s v="TV"/>
    <x v="1"/>
    <n v="650000"/>
    <n v="1"/>
    <n v="0"/>
    <n v="650000"/>
    <n v="0"/>
    <n v="650000"/>
  </r>
  <r>
    <n v="106"/>
    <x v="105"/>
    <x v="13"/>
    <n v="5"/>
    <x v="92"/>
    <x v="92"/>
    <s v="cliente228@mail.cl"/>
    <s v="Mujer"/>
    <s v="25"/>
    <s v="Puerto Montt"/>
    <x v="5"/>
    <s v="Tienda"/>
    <s v="Zapatillas"/>
    <x v="4"/>
    <n v="55000"/>
    <n v="3"/>
    <n v="0"/>
    <n v="165000"/>
    <n v="0"/>
    <n v="165000"/>
  </r>
  <r>
    <n v="107"/>
    <x v="106"/>
    <x v="38"/>
    <n v="2"/>
    <x v="93"/>
    <x v="93"/>
    <s v="cliente256@mail.cl"/>
    <s v="Hombre"/>
    <s v="32"/>
    <s v="Rancagua"/>
    <x v="7"/>
    <s v="App"/>
    <s v="Perfume"/>
    <x v="0"/>
    <n v="35000"/>
    <n v="1"/>
    <n v="0"/>
    <n v="35000"/>
    <n v="0"/>
    <n v="35000"/>
  </r>
  <r>
    <n v="108"/>
    <x v="107"/>
    <x v="59"/>
    <n v="1"/>
    <x v="94"/>
    <x v="94"/>
    <s v="cliente75@mail.cl"/>
    <s v="Hombre"/>
    <s v="18"/>
    <s v="Puerto Montt"/>
    <x v="5"/>
    <s v="App"/>
    <s v="Pantalón"/>
    <x v="3"/>
    <n v="25000"/>
    <n v="2"/>
    <n v="0"/>
    <n v="50000"/>
    <n v="0"/>
    <n v="50000"/>
  </r>
  <r>
    <n v="109"/>
    <x v="108"/>
    <x v="52"/>
    <n v="1"/>
    <x v="95"/>
    <x v="95"/>
    <s v="cliente109@mail.cl"/>
    <s v="Hombre"/>
    <s v="41"/>
    <s v="Viña del Mar"/>
    <x v="3"/>
    <s v="Web"/>
    <s v="Perfume"/>
    <x v="0"/>
    <n v="35000"/>
    <n v="3"/>
    <n v="0"/>
    <n v="105000"/>
    <n v="0"/>
    <n v="105000"/>
  </r>
  <r>
    <n v="110"/>
    <x v="109"/>
    <x v="0"/>
    <n v="0"/>
    <x v="96"/>
    <x v="96"/>
    <s v="cliente216@mail.cl"/>
    <s v="Hombre"/>
    <s v="47"/>
    <s v="Temuco"/>
    <x v="0"/>
    <s v="Tienda"/>
    <s v="Refrigerador"/>
    <x v="1"/>
    <n v="800000"/>
    <n v="2"/>
    <n v="0"/>
    <n v="1600000"/>
    <n v="0"/>
    <n v="1600000"/>
  </r>
  <r>
    <n v="111"/>
    <x v="110"/>
    <x v="2"/>
    <n v="2"/>
    <x v="97"/>
    <x v="97"/>
    <s v="cliente97@mail.cl"/>
    <s v="Mujer"/>
    <s v="41"/>
    <s v="Santiago"/>
    <x v="2"/>
    <s v="Web"/>
    <s v="Maquillaje"/>
    <x v="0"/>
    <n v="15000"/>
    <n v="3"/>
    <n v="0"/>
    <n v="45000"/>
    <n v="0"/>
    <n v="45000"/>
  </r>
  <r>
    <n v="112"/>
    <x v="111"/>
    <x v="29"/>
    <n v="3"/>
    <x v="14"/>
    <x v="14"/>
    <s v="cliente67@mail.cl"/>
    <s v="Hombre"/>
    <s v="37"/>
    <s v="Puerto Montt"/>
    <x v="5"/>
    <s v="Web"/>
    <s v="Refrigerador"/>
    <x v="1"/>
    <n v="800000"/>
    <n v="3"/>
    <n v="0"/>
    <n v="2400000"/>
    <n v="0"/>
    <n v="2400000"/>
  </r>
  <r>
    <n v="113"/>
    <x v="112"/>
    <x v="44"/>
    <n v="2"/>
    <x v="98"/>
    <x v="98"/>
    <s v="cliente225@mail.cl"/>
    <s v="Hombre"/>
    <s v="32"/>
    <s v="Talcahuano"/>
    <x v="1"/>
    <s v="Web"/>
    <s v="Smartphone"/>
    <x v="2"/>
    <n v="450000"/>
    <n v="2"/>
    <n v="1"/>
    <n v="900000"/>
    <n v="9000"/>
    <n v="891000"/>
  </r>
  <r>
    <n v="114"/>
    <x v="113"/>
    <x v="41"/>
    <n v="8"/>
    <x v="99"/>
    <x v="99"/>
    <s v="cliente37@mail.cl"/>
    <s v="Hombre"/>
    <s v="40"/>
    <s v="Concepción"/>
    <x v="1"/>
    <s v="App"/>
    <s v="Zapatillas"/>
    <x v="4"/>
    <n v="55000"/>
    <n v="1"/>
    <n v="1"/>
    <n v="55000"/>
    <n v="550"/>
    <n v="54450"/>
  </r>
  <r>
    <n v="115"/>
    <x v="114"/>
    <x v="35"/>
    <n v="7"/>
    <x v="100"/>
    <x v="100"/>
    <s v="cliente267@mail.cl"/>
    <s v="Mujer"/>
    <s v="57"/>
    <s v="Rancagua"/>
    <x v="7"/>
    <s v="App"/>
    <s v="Pantalón"/>
    <x v="3"/>
    <n v="25000"/>
    <n v="3"/>
    <n v="1"/>
    <n v="75000"/>
    <n v="750"/>
    <n v="74250"/>
  </r>
  <r>
    <n v="116"/>
    <x v="115"/>
    <x v="22"/>
    <n v="5"/>
    <x v="101"/>
    <x v="101"/>
    <s v="cliente278@mail.cl"/>
    <s v="Hombre"/>
    <s v="30"/>
    <s v="Rancagua"/>
    <x v="7"/>
    <s v="Tienda"/>
    <s v="Polera"/>
    <x v="3"/>
    <n v="12000"/>
    <n v="3"/>
    <n v="5"/>
    <n v="36000"/>
    <n v="1800"/>
    <n v="34200"/>
  </r>
  <r>
    <n v="117"/>
    <x v="116"/>
    <x v="35"/>
    <n v="7"/>
    <x v="5"/>
    <x v="5"/>
    <s v="cliente202@mail.cl"/>
    <s v="Mujer"/>
    <s v="44"/>
    <s v="Rancagua"/>
    <x v="7"/>
    <s v="Web"/>
    <s v="TV"/>
    <x v="1"/>
    <n v="650000"/>
    <n v="1"/>
    <n v="5"/>
    <n v="650000"/>
    <n v="32500"/>
    <n v="617500"/>
  </r>
  <r>
    <n v="118"/>
    <x v="117"/>
    <x v="35"/>
    <n v="7"/>
    <x v="35"/>
    <x v="35"/>
    <s v="cliente45@mail.cl"/>
    <s v="Hombre"/>
    <s v="20"/>
    <s v="Rancagua"/>
    <x v="7"/>
    <s v="Web"/>
    <s v="Perfume"/>
    <x v="0"/>
    <n v="35000"/>
    <n v="1"/>
    <n v="1"/>
    <n v="35000"/>
    <n v="350"/>
    <n v="34650"/>
  </r>
  <r>
    <n v="119"/>
    <x v="118"/>
    <x v="55"/>
    <n v="1"/>
    <x v="102"/>
    <x v="102"/>
    <s v="cliente116@mail.cl"/>
    <s v="Mujer"/>
    <s v="41"/>
    <s v="Concepción"/>
    <x v="1"/>
    <s v="Web"/>
    <s v="Pantalón"/>
    <x v="3"/>
    <n v="25000"/>
    <n v="1"/>
    <n v="1"/>
    <n v="25000"/>
    <n v="250"/>
    <n v="24750"/>
  </r>
  <r>
    <n v="120"/>
    <x v="119"/>
    <x v="25"/>
    <n v="0"/>
    <x v="98"/>
    <x v="98"/>
    <s v="cliente225@mail.cl"/>
    <s v="Hombre"/>
    <s v="32"/>
    <s v="Viña del Mar"/>
    <x v="3"/>
    <s v="App"/>
    <s v="Zapatillas"/>
    <x v="4"/>
    <n v="55000"/>
    <n v="3"/>
    <n v="0"/>
    <n v="165000"/>
    <n v="0"/>
    <n v="165000"/>
  </r>
  <r>
    <n v="121"/>
    <x v="120"/>
    <x v="60"/>
    <n v="2"/>
    <x v="41"/>
    <x v="41"/>
    <s v="cliente118@mail.cl"/>
    <s v="Mujer"/>
    <s v="23"/>
    <s v="Talcahuano"/>
    <x v="1"/>
    <s v="Tienda"/>
    <s v="Zapatillas"/>
    <x v="4"/>
    <n v="55000"/>
    <n v="2"/>
    <n v="1"/>
    <n v="110000"/>
    <n v="1100"/>
    <n v="108900"/>
  </r>
  <r>
    <n v="122"/>
    <x v="121"/>
    <x v="40"/>
    <n v="1"/>
    <x v="19"/>
    <x v="19"/>
    <s v="cliente224@mail.cl"/>
    <s v="Hombre"/>
    <s v="18"/>
    <s v="Viña del Mar"/>
    <x v="3"/>
    <s v="App"/>
    <s v="Maquillaje"/>
    <x v="0"/>
    <n v="15000"/>
    <n v="1"/>
    <n v="1"/>
    <n v="15000"/>
    <n v="150"/>
    <n v="14850"/>
  </r>
  <r>
    <n v="123"/>
    <x v="122"/>
    <x v="56"/>
    <n v="5"/>
    <x v="103"/>
    <x v="103"/>
    <s v="cliente206@mail.cl"/>
    <s v="Mujer"/>
    <s v="26"/>
    <s v="Viña del Mar"/>
    <x v="3"/>
    <s v="Tienda"/>
    <s v="Smartphone"/>
    <x v="2"/>
    <n v="450000"/>
    <n v="2"/>
    <n v="1"/>
    <n v="900000"/>
    <n v="9000"/>
    <n v="891000"/>
  </r>
  <r>
    <n v="124"/>
    <x v="123"/>
    <x v="58"/>
    <n v="9"/>
    <x v="104"/>
    <x v="104"/>
    <s v="cliente18@mail.cl"/>
    <s v="Mujer"/>
    <s v="41"/>
    <s v="Valparaíso"/>
    <x v="3"/>
    <s v="Tienda"/>
    <s v="Polera"/>
    <x v="3"/>
    <n v="12000"/>
    <n v="3"/>
    <n v="1"/>
    <n v="36000"/>
    <n v="360"/>
    <n v="35640"/>
  </r>
  <r>
    <n v="125"/>
    <x v="124"/>
    <x v="10"/>
    <n v="5"/>
    <x v="41"/>
    <x v="41"/>
    <s v="cliente118@mail.cl"/>
    <s v="Mujer"/>
    <s v="23"/>
    <s v="Temuco"/>
    <x v="0"/>
    <s v="Tienda"/>
    <s v="Perfume"/>
    <x v="0"/>
    <n v="35000"/>
    <n v="3"/>
    <n v="5"/>
    <n v="105000"/>
    <n v="5250"/>
    <n v="99750"/>
  </r>
  <r>
    <n v="126"/>
    <x v="125"/>
    <x v="54"/>
    <n v="4"/>
    <x v="105"/>
    <x v="105"/>
    <s v="cliente72@mail.cl"/>
    <s v="Hombre"/>
    <s v="56"/>
    <s v="Rancagua"/>
    <x v="7"/>
    <s v="Web"/>
    <s v="Refrigerador"/>
    <x v="1"/>
    <n v="800000"/>
    <n v="2"/>
    <n v="1"/>
    <n v="1600000"/>
    <n v="16000"/>
    <n v="1584000"/>
  </r>
  <r>
    <n v="127"/>
    <x v="126"/>
    <x v="34"/>
    <n v="1"/>
    <x v="21"/>
    <x v="21"/>
    <s v="cliente40@mail.cl"/>
    <s v="Hombre"/>
    <s v="40"/>
    <s v="Viña del Mar"/>
    <x v="3"/>
    <s v="Tienda"/>
    <s v="Zapatillas"/>
    <x v="4"/>
    <n v="55000"/>
    <n v="1"/>
    <n v="0"/>
    <n v="55000"/>
    <n v="0"/>
    <n v="55000"/>
  </r>
  <r>
    <n v="128"/>
    <x v="127"/>
    <x v="61"/>
    <n v="4"/>
    <x v="106"/>
    <x v="106"/>
    <s v="cliente88@mail.cl"/>
    <s v="Hombre"/>
    <s v="41"/>
    <s v="Viña del Mar"/>
    <x v="3"/>
    <s v="Tienda"/>
    <s v="Notebook"/>
    <x v="2"/>
    <n v="750000"/>
    <n v="2"/>
    <n v="0"/>
    <n v="1500000"/>
    <n v="0"/>
    <n v="1500000"/>
  </r>
  <r>
    <n v="129"/>
    <x v="128"/>
    <x v="38"/>
    <n v="2"/>
    <x v="17"/>
    <x v="17"/>
    <s v="cliente234@mail.cl"/>
    <s v="Mujer"/>
    <s v="30"/>
    <s v="Rancagua"/>
    <x v="7"/>
    <s v="Tienda"/>
    <s v="Zapatillas"/>
    <x v="4"/>
    <n v="55000"/>
    <n v="1"/>
    <n v="0"/>
    <n v="55000"/>
    <n v="0"/>
    <n v="55000"/>
  </r>
  <r>
    <n v="130"/>
    <x v="129"/>
    <x v="62"/>
    <n v="1"/>
    <x v="107"/>
    <x v="107"/>
    <s v="cliente237@mail.cl"/>
    <s v="Hombre"/>
    <s v="18"/>
    <s v="Antofagasta"/>
    <x v="4"/>
    <s v="Tienda"/>
    <s v="Smartphone"/>
    <x v="2"/>
    <n v="450000"/>
    <n v="3"/>
    <n v="5"/>
    <n v="1350000"/>
    <n v="67500"/>
    <n v="1282500"/>
  </r>
  <r>
    <n v="131"/>
    <x v="130"/>
    <x v="52"/>
    <n v="1"/>
    <x v="108"/>
    <x v="108"/>
    <s v="cliente147@mail.cl"/>
    <s v="Mujer"/>
    <s v="23"/>
    <s v="Viña del Mar"/>
    <x v="3"/>
    <s v="Tienda"/>
    <s v="Maquillaje"/>
    <x v="0"/>
    <n v="15000"/>
    <n v="2"/>
    <n v="0"/>
    <n v="30000"/>
    <n v="0"/>
    <n v="30000"/>
  </r>
  <r>
    <n v="132"/>
    <x v="131"/>
    <x v="63"/>
    <n v="1"/>
    <x v="54"/>
    <x v="54"/>
    <s v="cliente195@mail.cl"/>
    <s v="Mujer"/>
    <s v="40"/>
    <s v="Puerto Montt"/>
    <x v="5"/>
    <s v="Web"/>
    <s v="Polera"/>
    <x v="3"/>
    <n v="12000"/>
    <n v="2"/>
    <n v="1"/>
    <n v="24000"/>
    <n v="240"/>
    <n v="23760"/>
  </r>
  <r>
    <n v="133"/>
    <x v="132"/>
    <x v="11"/>
    <n v="1"/>
    <x v="78"/>
    <x v="78"/>
    <s v="cliente104@mail.cl"/>
    <s v="Mujer"/>
    <s v="28"/>
    <s v="Antofagasta"/>
    <x v="4"/>
    <s v="Web"/>
    <s v="Smartphone"/>
    <x v="2"/>
    <n v="450000"/>
    <n v="1"/>
    <n v="0"/>
    <n v="450000"/>
    <n v="0"/>
    <n v="450000"/>
  </r>
  <r>
    <n v="134"/>
    <x v="133"/>
    <x v="25"/>
    <n v="0"/>
    <x v="109"/>
    <x v="109"/>
    <s v="cliente188@mail.cl"/>
    <s v="Mujer"/>
    <s v="37"/>
    <s v="Viña del Mar"/>
    <x v="3"/>
    <s v="Tienda"/>
    <s v="Notebook"/>
    <x v="2"/>
    <n v="750000"/>
    <n v="3"/>
    <n v="5"/>
    <n v="2250000"/>
    <n v="112500"/>
    <n v="2137500"/>
  </r>
  <r>
    <n v="135"/>
    <x v="134"/>
    <x v="64"/>
    <n v="8"/>
    <x v="75"/>
    <x v="75"/>
    <s v="cliente191@mail.cl"/>
    <s v="Mujer"/>
    <s v="32"/>
    <s v="Santiago"/>
    <x v="2"/>
    <s v="Tienda"/>
    <s v="Refrigerador"/>
    <x v="1"/>
    <n v="800000"/>
    <n v="1"/>
    <n v="0"/>
    <n v="800000"/>
    <n v="0"/>
    <n v="800000"/>
  </r>
  <r>
    <n v="136"/>
    <x v="135"/>
    <x v="12"/>
    <n v="1"/>
    <x v="17"/>
    <x v="17"/>
    <s v="cliente234@mail.cl"/>
    <s v="Mujer"/>
    <s v="30"/>
    <s v="Talcahuano"/>
    <x v="1"/>
    <s v="Web"/>
    <s v="Polera"/>
    <x v="3"/>
    <n v="12000"/>
    <n v="3"/>
    <n v="0"/>
    <n v="36000"/>
    <n v="0"/>
    <n v="36000"/>
  </r>
  <r>
    <n v="137"/>
    <x v="136"/>
    <x v="40"/>
    <n v="1"/>
    <x v="110"/>
    <x v="110"/>
    <s v="cliente13@mail.cl"/>
    <s v="Mujer"/>
    <s v="40"/>
    <s v="Viña del Mar"/>
    <x v="3"/>
    <s v="App"/>
    <s v="Zapatillas"/>
    <x v="4"/>
    <n v="55000"/>
    <n v="1"/>
    <n v="1"/>
    <n v="55000"/>
    <n v="550"/>
    <n v="54450"/>
  </r>
  <r>
    <n v="138"/>
    <x v="137"/>
    <x v="44"/>
    <n v="2"/>
    <x v="37"/>
    <x v="37"/>
    <s v="cliente178@mail.cl"/>
    <s v="Mujer"/>
    <s v="55"/>
    <s v="Talcahuano"/>
    <x v="1"/>
    <s v="App"/>
    <s v="TV"/>
    <x v="1"/>
    <n v="650000"/>
    <n v="1"/>
    <n v="0"/>
    <n v="650000"/>
    <n v="0"/>
    <n v="650000"/>
  </r>
  <r>
    <n v="139"/>
    <x v="138"/>
    <x v="29"/>
    <n v="3"/>
    <x v="6"/>
    <x v="6"/>
    <s v="cliente160@mail.cl"/>
    <s v="Mujer"/>
    <s v="45"/>
    <s v="Puerto Montt"/>
    <x v="5"/>
    <s v="Web"/>
    <s v="Polera"/>
    <x v="3"/>
    <n v="12000"/>
    <n v="1"/>
    <n v="1"/>
    <n v="12000"/>
    <n v="120"/>
    <n v="11880"/>
  </r>
  <r>
    <n v="140"/>
    <x v="139"/>
    <x v="65"/>
    <n v="1"/>
    <x v="68"/>
    <x v="68"/>
    <s v="cliente69@mail.cl"/>
    <s v="Mujer"/>
    <s v="42"/>
    <s v="Puerto Montt"/>
    <x v="5"/>
    <s v="App"/>
    <s v="Notebook"/>
    <x v="2"/>
    <n v="750000"/>
    <n v="2"/>
    <n v="1"/>
    <n v="1500000"/>
    <n v="15000"/>
    <n v="1485000"/>
  </r>
  <r>
    <n v="141"/>
    <x v="140"/>
    <x v="66"/>
    <n v="7"/>
    <x v="90"/>
    <x v="90"/>
    <s v="cliente64@mail.cl"/>
    <s v="Hombre"/>
    <s v="23"/>
    <s v="Antofagasta"/>
    <x v="4"/>
    <s v="Web"/>
    <s v="Polera"/>
    <x v="3"/>
    <n v="12000"/>
    <n v="3"/>
    <n v="5"/>
    <n v="36000"/>
    <n v="1800"/>
    <n v="34200"/>
  </r>
  <r>
    <n v="142"/>
    <x v="141"/>
    <x v="47"/>
    <n v="13"/>
    <x v="111"/>
    <x v="111"/>
    <s v="cliente248@mail.cl"/>
    <s v="Hombre"/>
    <s v="30"/>
    <s v="Rancagua"/>
    <x v="7"/>
    <s v="App"/>
    <s v="Notebook"/>
    <x v="2"/>
    <n v="750000"/>
    <n v="1"/>
    <n v="5"/>
    <n v="750000"/>
    <n v="37500"/>
    <n v="712500"/>
  </r>
  <r>
    <n v="143"/>
    <x v="142"/>
    <x v="16"/>
    <n v="3"/>
    <x v="112"/>
    <x v="112"/>
    <s v="cliente142@mail.cl"/>
    <s v="Hombre"/>
    <s v="53"/>
    <s v="Concepción"/>
    <x v="1"/>
    <s v="Tienda"/>
    <s v="Pantalón"/>
    <x v="3"/>
    <n v="25000"/>
    <n v="3"/>
    <n v="1"/>
    <n v="75000"/>
    <n v="750"/>
    <n v="74250"/>
  </r>
  <r>
    <n v="144"/>
    <x v="143"/>
    <x v="65"/>
    <n v="1"/>
    <x v="113"/>
    <x v="113"/>
    <s v="cliente22@mail.cl"/>
    <s v="Hombre"/>
    <s v="35"/>
    <s v="Puerto Montt"/>
    <x v="5"/>
    <s v="Tienda"/>
    <s v="TV"/>
    <x v="1"/>
    <n v="650000"/>
    <n v="3"/>
    <n v="0"/>
    <n v="1950000"/>
    <n v="0"/>
    <n v="1950000"/>
  </r>
  <r>
    <n v="145"/>
    <x v="144"/>
    <x v="28"/>
    <n v="7"/>
    <x v="114"/>
    <x v="114"/>
    <s v="cliente163@mail.cl"/>
    <s v="Hombre"/>
    <s v="51"/>
    <s v="Valparaíso"/>
    <x v="3"/>
    <s v="App"/>
    <s v="Perfume"/>
    <x v="0"/>
    <n v="35000"/>
    <n v="3"/>
    <n v="0"/>
    <n v="105000"/>
    <n v="0"/>
    <n v="105000"/>
  </r>
  <r>
    <n v="146"/>
    <x v="145"/>
    <x v="12"/>
    <n v="1"/>
    <x v="115"/>
    <x v="115"/>
    <s v="cliente247@mail.cl"/>
    <s v="Mujer"/>
    <s v="32"/>
    <s v="Talcahuano"/>
    <x v="1"/>
    <s v="Web"/>
    <s v="Refrigerador"/>
    <x v="1"/>
    <n v="800000"/>
    <n v="3"/>
    <n v="0"/>
    <n v="2400000"/>
    <n v="0"/>
    <n v="2400000"/>
  </r>
  <r>
    <n v="147"/>
    <x v="146"/>
    <x v="50"/>
    <n v="6"/>
    <x v="116"/>
    <x v="116"/>
    <s v="cliente101@mail.cl"/>
    <s v="Mujer"/>
    <s v="21"/>
    <s v="Antofagasta"/>
    <x v="4"/>
    <s v="Web"/>
    <s v="Polera"/>
    <x v="3"/>
    <n v="12000"/>
    <n v="2"/>
    <n v="0"/>
    <n v="24000"/>
    <n v="0"/>
    <n v="24000"/>
  </r>
  <r>
    <n v="148"/>
    <x v="147"/>
    <x v="12"/>
    <n v="1"/>
    <x v="92"/>
    <x v="92"/>
    <s v="cliente228@mail.cl"/>
    <s v="Mujer"/>
    <s v="25"/>
    <s v="Talcahuano"/>
    <x v="1"/>
    <s v="App"/>
    <s v="Refrigerador"/>
    <x v="1"/>
    <n v="800000"/>
    <n v="3"/>
    <n v="5"/>
    <n v="2400000"/>
    <n v="120000"/>
    <n v="2280000"/>
  </r>
  <r>
    <n v="149"/>
    <x v="148"/>
    <x v="29"/>
    <n v="3"/>
    <x v="117"/>
    <x v="117"/>
    <s v="cliente185@mail.cl"/>
    <s v="Hombre"/>
    <s v="35"/>
    <s v="Puerto Montt"/>
    <x v="5"/>
    <s v="App"/>
    <s v="Polera"/>
    <x v="3"/>
    <n v="12000"/>
    <n v="1"/>
    <n v="0"/>
    <n v="12000"/>
    <n v="0"/>
    <n v="12000"/>
  </r>
  <r>
    <n v="150"/>
    <x v="149"/>
    <x v="33"/>
    <n v="4"/>
    <x v="118"/>
    <x v="118"/>
    <s v="cliente157@mail.cl"/>
    <s v="Mujer"/>
    <s v="60"/>
    <s v="Temuco"/>
    <x v="0"/>
    <s v="Web"/>
    <s v="Refrigerador"/>
    <x v="1"/>
    <n v="800000"/>
    <n v="2"/>
    <n v="5"/>
    <n v="1600000"/>
    <n v="80000"/>
    <n v="1520000"/>
  </r>
  <r>
    <n v="151"/>
    <x v="150"/>
    <x v="31"/>
    <n v="5"/>
    <x v="119"/>
    <x v="119"/>
    <s v="cliente120@mail.cl"/>
    <s v="Mujer"/>
    <s v="47"/>
    <s v="Puerto Montt"/>
    <x v="5"/>
    <s v="Web"/>
    <s v="Notebook"/>
    <x v="2"/>
    <n v="750000"/>
    <n v="2"/>
    <n v="0"/>
    <n v="1500000"/>
    <n v="0"/>
    <n v="1500000"/>
  </r>
  <r>
    <n v="152"/>
    <x v="151"/>
    <x v="7"/>
    <n v="3"/>
    <x v="120"/>
    <x v="120"/>
    <s v="cliente229@mail.cl"/>
    <s v="Hombre"/>
    <s v="29"/>
    <s v="Concepción"/>
    <x v="1"/>
    <s v="Web"/>
    <s v="Zapatillas"/>
    <x v="4"/>
    <n v="55000"/>
    <n v="2"/>
    <n v="5"/>
    <n v="110000"/>
    <n v="5500"/>
    <n v="104500"/>
  </r>
  <r>
    <n v="153"/>
    <x v="152"/>
    <x v="25"/>
    <n v="0"/>
    <x v="121"/>
    <x v="121"/>
    <s v="cliente201@mail.cl"/>
    <s v="Mujer"/>
    <s v="42"/>
    <s v="Viña del Mar"/>
    <x v="3"/>
    <s v="Web"/>
    <s v="Zapatillas"/>
    <x v="4"/>
    <n v="55000"/>
    <n v="3"/>
    <n v="5"/>
    <n v="165000"/>
    <n v="8250"/>
    <n v="156750"/>
  </r>
  <r>
    <n v="154"/>
    <x v="153"/>
    <x v="61"/>
    <n v="4"/>
    <x v="37"/>
    <x v="37"/>
    <s v="cliente178@mail.cl"/>
    <s v="Mujer"/>
    <s v="55"/>
    <s v="Viña del Mar"/>
    <x v="3"/>
    <s v="Tienda"/>
    <s v="Lavadora"/>
    <x v="1"/>
    <n v="700000"/>
    <n v="3"/>
    <n v="1"/>
    <n v="2100000"/>
    <n v="21000"/>
    <n v="2079000"/>
  </r>
  <r>
    <n v="155"/>
    <x v="154"/>
    <x v="9"/>
    <n v="0"/>
    <x v="122"/>
    <x v="122"/>
    <s v="cliente241@mail.cl"/>
    <s v="Mujer"/>
    <s v="28"/>
    <s v="Santiago"/>
    <x v="2"/>
    <s v="Tienda"/>
    <s v="Lavadora"/>
    <x v="1"/>
    <n v="700000"/>
    <n v="3"/>
    <n v="1"/>
    <n v="2100000"/>
    <n v="21000"/>
    <n v="2079000"/>
  </r>
  <r>
    <n v="156"/>
    <x v="155"/>
    <x v="22"/>
    <n v="5"/>
    <x v="123"/>
    <x v="123"/>
    <s v="cliente9@mail.cl"/>
    <s v="Mujer"/>
    <s v="32"/>
    <s v="Rancagua"/>
    <x v="7"/>
    <s v="Web"/>
    <s v="Pantalón"/>
    <x v="3"/>
    <n v="25000"/>
    <n v="3"/>
    <n v="0"/>
    <n v="75000"/>
    <n v="0"/>
    <n v="75000"/>
  </r>
  <r>
    <n v="157"/>
    <x v="156"/>
    <x v="33"/>
    <n v="4"/>
    <x v="77"/>
    <x v="77"/>
    <s v="cliente125@mail.cl"/>
    <s v="Mujer"/>
    <s v="45"/>
    <s v="Temuco"/>
    <x v="0"/>
    <s v="Web"/>
    <s v="TV"/>
    <x v="1"/>
    <n v="650000"/>
    <n v="3"/>
    <n v="1"/>
    <n v="1950000"/>
    <n v="19500"/>
    <n v="1930500"/>
  </r>
  <r>
    <n v="158"/>
    <x v="157"/>
    <x v="42"/>
    <n v="4"/>
    <x v="124"/>
    <x v="124"/>
    <s v="cliente34@mail.cl"/>
    <s v="Mujer"/>
    <s v="25"/>
    <s v="Antofagasta"/>
    <x v="4"/>
    <s v="Tienda"/>
    <s v="TV"/>
    <x v="1"/>
    <n v="650000"/>
    <n v="2"/>
    <n v="1"/>
    <n v="1300000"/>
    <n v="13000"/>
    <n v="1287000"/>
  </r>
  <r>
    <n v="159"/>
    <x v="158"/>
    <x v="45"/>
    <n v="1"/>
    <x v="125"/>
    <x v="125"/>
    <s v="cliente174@mail.cl"/>
    <s v="Mujer"/>
    <s v="42"/>
    <s v="Talcahuano"/>
    <x v="1"/>
    <s v="Tienda"/>
    <s v="TV"/>
    <x v="1"/>
    <n v="650000"/>
    <n v="2"/>
    <n v="0"/>
    <n v="1300000"/>
    <n v="0"/>
    <n v="1300000"/>
  </r>
  <r>
    <n v="160"/>
    <x v="159"/>
    <x v="59"/>
    <n v="1"/>
    <x v="126"/>
    <x v="126"/>
    <s v="cliente219@mail.cl"/>
    <s v="Mujer"/>
    <s v="32"/>
    <s v="Puerto Montt"/>
    <x v="5"/>
    <s v="Web"/>
    <s v="TV"/>
    <x v="1"/>
    <n v="650000"/>
    <n v="1"/>
    <n v="1"/>
    <n v="650000"/>
    <n v="6500"/>
    <n v="643500"/>
  </r>
  <r>
    <n v="161"/>
    <x v="160"/>
    <x v="61"/>
    <n v="4"/>
    <x v="127"/>
    <x v="127"/>
    <s v="cliente60@mail.cl"/>
    <s v="Hombre"/>
    <s v="49"/>
    <s v="Viña del Mar"/>
    <x v="3"/>
    <s v="Web"/>
    <s v="Notebook"/>
    <x v="2"/>
    <n v="750000"/>
    <n v="2"/>
    <n v="5"/>
    <n v="1500000"/>
    <n v="75000"/>
    <n v="1425000"/>
  </r>
  <r>
    <n v="162"/>
    <x v="161"/>
    <x v="52"/>
    <n v="1"/>
    <x v="128"/>
    <x v="128"/>
    <s v="cliente227@mail.cl"/>
    <s v="Mujer"/>
    <s v="38"/>
    <s v="Viña del Mar"/>
    <x v="3"/>
    <s v="Tienda"/>
    <s v="Notebook"/>
    <x v="2"/>
    <n v="750000"/>
    <n v="1"/>
    <n v="0"/>
    <n v="750000"/>
    <n v="0"/>
    <n v="750000"/>
  </r>
  <r>
    <n v="163"/>
    <x v="162"/>
    <x v="56"/>
    <n v="5"/>
    <x v="41"/>
    <x v="41"/>
    <s v="cliente118@mail.cl"/>
    <s v="Mujer"/>
    <s v="23"/>
    <s v="Viña del Mar"/>
    <x v="3"/>
    <s v="App"/>
    <s v="Perfume"/>
    <x v="0"/>
    <n v="35000"/>
    <n v="1"/>
    <n v="0"/>
    <n v="35000"/>
    <n v="0"/>
    <n v="35000"/>
  </r>
  <r>
    <n v="164"/>
    <x v="163"/>
    <x v="43"/>
    <n v="0"/>
    <x v="129"/>
    <x v="129"/>
    <s v="cliente211@mail.cl"/>
    <s v="Hombre"/>
    <s v="44"/>
    <s v="Valparaíso"/>
    <x v="3"/>
    <s v="Tienda"/>
    <s v="Zapatillas"/>
    <x v="4"/>
    <n v="55000"/>
    <n v="2"/>
    <n v="5"/>
    <n v="110000"/>
    <n v="5500"/>
    <n v="104500"/>
  </r>
  <r>
    <n v="165"/>
    <x v="164"/>
    <x v="37"/>
    <n v="6"/>
    <x v="130"/>
    <x v="130"/>
    <s v="cliente71@mail.cl"/>
    <s v="Mujer"/>
    <s v="42"/>
    <s v="Valparaíso"/>
    <x v="3"/>
    <s v="Tienda"/>
    <s v="Polera"/>
    <x v="3"/>
    <n v="12000"/>
    <n v="3"/>
    <n v="1"/>
    <n v="36000"/>
    <n v="360"/>
    <n v="35640"/>
  </r>
  <r>
    <n v="166"/>
    <x v="165"/>
    <x v="36"/>
    <n v="1"/>
    <x v="100"/>
    <x v="100"/>
    <s v="cliente267@mail.cl"/>
    <s v="Mujer"/>
    <s v="57"/>
    <s v="Talcahuano"/>
    <x v="1"/>
    <s v="Web"/>
    <s v="Pantalón"/>
    <x v="3"/>
    <n v="25000"/>
    <n v="3"/>
    <n v="0"/>
    <n v="75000"/>
    <n v="0"/>
    <n v="75000"/>
  </r>
  <r>
    <n v="167"/>
    <x v="166"/>
    <x v="16"/>
    <n v="3"/>
    <x v="131"/>
    <x v="131"/>
    <s v="cliente213@mail.cl"/>
    <s v="Mujer"/>
    <s v="49"/>
    <s v="Concepción"/>
    <x v="1"/>
    <s v="Web"/>
    <s v="TV"/>
    <x v="1"/>
    <n v="650000"/>
    <n v="1"/>
    <n v="0"/>
    <n v="650000"/>
    <n v="0"/>
    <n v="650000"/>
  </r>
  <r>
    <n v="168"/>
    <x v="167"/>
    <x v="45"/>
    <n v="1"/>
    <x v="132"/>
    <x v="132"/>
    <s v="cliente76@mail.cl"/>
    <s v="Hombre"/>
    <s v="47"/>
    <s v="Talcahuano"/>
    <x v="1"/>
    <s v="App"/>
    <s v="Refrigerador"/>
    <x v="1"/>
    <n v="800000"/>
    <n v="3"/>
    <n v="1"/>
    <n v="2400000"/>
    <n v="24000"/>
    <n v="2376000"/>
  </r>
  <r>
    <n v="169"/>
    <x v="168"/>
    <x v="59"/>
    <n v="1"/>
    <x v="133"/>
    <x v="133"/>
    <s v="cliente14@mail.cl"/>
    <s v="Hombre"/>
    <s v="18"/>
    <s v="Puerto Montt"/>
    <x v="5"/>
    <s v="Web"/>
    <s v="Maquillaje"/>
    <x v="0"/>
    <n v="15000"/>
    <n v="3"/>
    <n v="0"/>
    <n v="45000"/>
    <n v="0"/>
    <n v="45000"/>
  </r>
  <r>
    <n v="170"/>
    <x v="169"/>
    <x v="64"/>
    <n v="8"/>
    <x v="134"/>
    <x v="134"/>
    <s v="cliente93@mail.cl"/>
    <s v="Mujer"/>
    <s v="29"/>
    <s v="Santiago"/>
    <x v="2"/>
    <s v="Tienda"/>
    <s v="Zapatillas"/>
    <x v="4"/>
    <n v="55000"/>
    <n v="2"/>
    <n v="1"/>
    <n v="110000"/>
    <n v="1100"/>
    <n v="108900"/>
  </r>
  <r>
    <n v="171"/>
    <x v="170"/>
    <x v="45"/>
    <n v="1"/>
    <x v="15"/>
    <x v="15"/>
    <s v="cliente269@mail.cl"/>
    <s v="Mujer"/>
    <s v="32"/>
    <s v="Talcahuano"/>
    <x v="1"/>
    <s v="Tienda"/>
    <s v="Smartphone"/>
    <x v="2"/>
    <n v="450000"/>
    <n v="3"/>
    <n v="5"/>
    <n v="1350000"/>
    <n v="67500"/>
    <n v="1282500"/>
  </r>
  <r>
    <n v="172"/>
    <x v="171"/>
    <x v="59"/>
    <n v="1"/>
    <x v="135"/>
    <x v="135"/>
    <s v="cliente107@mail.cl"/>
    <s v="Mujer"/>
    <s v="60"/>
    <s v="Puerto Montt"/>
    <x v="5"/>
    <s v="Tienda"/>
    <s v="Notebook"/>
    <x v="2"/>
    <n v="750000"/>
    <n v="3"/>
    <n v="0"/>
    <n v="2250000"/>
    <n v="0"/>
    <n v="2250000"/>
  </r>
  <r>
    <n v="173"/>
    <x v="172"/>
    <x v="44"/>
    <n v="2"/>
    <x v="21"/>
    <x v="21"/>
    <s v="cliente40@mail.cl"/>
    <s v="Hombre"/>
    <s v="40"/>
    <s v="Talcahuano"/>
    <x v="1"/>
    <s v="Web"/>
    <s v="Refrigerador"/>
    <x v="1"/>
    <n v="800000"/>
    <n v="3"/>
    <n v="0"/>
    <n v="2400000"/>
    <n v="0"/>
    <n v="2400000"/>
  </r>
  <r>
    <n v="174"/>
    <x v="173"/>
    <x v="1"/>
    <n v="0"/>
    <x v="114"/>
    <x v="114"/>
    <s v="cliente163@mail.cl"/>
    <s v="Hombre"/>
    <s v="51"/>
    <s v="Talcahuano"/>
    <x v="1"/>
    <s v="Tienda"/>
    <s v="Polera"/>
    <x v="3"/>
    <n v="12000"/>
    <n v="2"/>
    <n v="1"/>
    <n v="24000"/>
    <n v="240"/>
    <n v="23760"/>
  </r>
  <r>
    <n v="175"/>
    <x v="174"/>
    <x v="4"/>
    <n v="0"/>
    <x v="136"/>
    <x v="136"/>
    <s v="cliente171@mail.cl"/>
    <s v="Hombre"/>
    <s v="27"/>
    <s v="Antofagasta"/>
    <x v="4"/>
    <s v="Web"/>
    <s v="Polera"/>
    <x v="3"/>
    <n v="12000"/>
    <n v="3"/>
    <n v="0"/>
    <n v="36000"/>
    <n v="0"/>
    <n v="36000"/>
  </r>
  <r>
    <n v="176"/>
    <x v="175"/>
    <x v="48"/>
    <n v="1"/>
    <x v="137"/>
    <x v="137"/>
    <s v="cliente243@mail.cl"/>
    <s v="Mujer"/>
    <s v="44"/>
    <s v="Valparaíso"/>
    <x v="3"/>
    <s v="Tienda"/>
    <s v="Maquillaje"/>
    <x v="0"/>
    <n v="15000"/>
    <n v="2"/>
    <n v="0"/>
    <n v="30000"/>
    <n v="0"/>
    <n v="30000"/>
  </r>
  <r>
    <n v="177"/>
    <x v="176"/>
    <x v="0"/>
    <n v="0"/>
    <x v="138"/>
    <x v="138"/>
    <s v="cliente62@mail.cl"/>
    <s v="Mujer"/>
    <s v="35"/>
    <s v="Temuco"/>
    <x v="0"/>
    <s v="Tienda"/>
    <s v="Polera"/>
    <x v="3"/>
    <n v="12000"/>
    <n v="2"/>
    <n v="1"/>
    <n v="24000"/>
    <n v="240"/>
    <n v="23760"/>
  </r>
  <r>
    <n v="178"/>
    <x v="177"/>
    <x v="15"/>
    <n v="5"/>
    <x v="139"/>
    <x v="139"/>
    <s v="cliente12@mail.cl"/>
    <s v="Mujer"/>
    <s v="32"/>
    <s v="La Serena"/>
    <x v="6"/>
    <s v="Web"/>
    <s v="Polera"/>
    <x v="3"/>
    <n v="12000"/>
    <n v="2"/>
    <n v="1"/>
    <n v="24000"/>
    <n v="240"/>
    <n v="23760"/>
  </r>
  <r>
    <n v="179"/>
    <x v="178"/>
    <x v="10"/>
    <n v="5"/>
    <x v="140"/>
    <x v="140"/>
    <s v="cliente32@mail.cl"/>
    <s v="Mujer"/>
    <s v="60"/>
    <s v="Temuco"/>
    <x v="0"/>
    <s v="Tienda"/>
    <s v="Refrigerador"/>
    <x v="1"/>
    <n v="800000"/>
    <n v="3"/>
    <n v="1"/>
    <n v="2400000"/>
    <n v="24000"/>
    <n v="2376000"/>
  </r>
  <r>
    <n v="180"/>
    <x v="179"/>
    <x v="65"/>
    <n v="1"/>
    <x v="52"/>
    <x v="52"/>
    <s v="cliente167@mail.cl"/>
    <s v="Mujer"/>
    <s v="47"/>
    <s v="Puerto Montt"/>
    <x v="5"/>
    <s v="Web"/>
    <s v="TV"/>
    <x v="1"/>
    <n v="650000"/>
    <n v="3"/>
    <n v="0"/>
    <n v="1950000"/>
    <n v="0"/>
    <n v="1950000"/>
  </r>
  <r>
    <n v="181"/>
    <x v="180"/>
    <x v="14"/>
    <n v="9"/>
    <x v="75"/>
    <x v="75"/>
    <s v="cliente191@mail.cl"/>
    <s v="Mujer"/>
    <s v="32"/>
    <s v="Talcahuano"/>
    <x v="1"/>
    <s v="Tienda"/>
    <s v="Smartphone"/>
    <x v="2"/>
    <n v="450000"/>
    <n v="3"/>
    <n v="0"/>
    <n v="1350000"/>
    <n v="0"/>
    <n v="1350000"/>
  </r>
  <r>
    <n v="182"/>
    <x v="181"/>
    <x v="66"/>
    <n v="7"/>
    <x v="141"/>
    <x v="141"/>
    <s v="cliente177@mail.cl"/>
    <s v="Mujer"/>
    <s v="38"/>
    <s v="Antofagasta"/>
    <x v="4"/>
    <s v="Tienda"/>
    <s v="Lavadora"/>
    <x v="1"/>
    <n v="700000"/>
    <n v="3"/>
    <n v="5"/>
    <n v="2100000"/>
    <n v="105000"/>
    <n v="1995000"/>
  </r>
  <r>
    <n v="183"/>
    <x v="182"/>
    <x v="26"/>
    <n v="3"/>
    <x v="120"/>
    <x v="120"/>
    <s v="cliente229@mail.cl"/>
    <s v="Hombre"/>
    <s v="29"/>
    <s v="La Serena"/>
    <x v="6"/>
    <s v="App"/>
    <s v="Maquillaje"/>
    <x v="0"/>
    <n v="15000"/>
    <n v="3"/>
    <n v="0"/>
    <n v="45000"/>
    <n v="0"/>
    <n v="45000"/>
  </r>
  <r>
    <n v="184"/>
    <x v="183"/>
    <x v="5"/>
    <n v="0"/>
    <x v="142"/>
    <x v="142"/>
    <s v="cliente92@mail.cl"/>
    <s v="Mujer"/>
    <s v="49"/>
    <s v="Santiago"/>
    <x v="2"/>
    <s v="App"/>
    <s v="Polera"/>
    <x v="3"/>
    <n v="12000"/>
    <n v="3"/>
    <n v="0"/>
    <n v="36000"/>
    <n v="0"/>
    <n v="36000"/>
  </r>
  <r>
    <n v="185"/>
    <x v="184"/>
    <x v="33"/>
    <n v="4"/>
    <x v="143"/>
    <x v="143"/>
    <s v="cliente33@mail.cl"/>
    <s v="Hombre"/>
    <s v="37"/>
    <s v="Temuco"/>
    <x v="0"/>
    <s v="Tienda"/>
    <s v="Pantalón"/>
    <x v="3"/>
    <n v="25000"/>
    <n v="1"/>
    <n v="0"/>
    <n v="25000"/>
    <n v="0"/>
    <n v="25000"/>
  </r>
  <r>
    <n v="186"/>
    <x v="185"/>
    <x v="26"/>
    <n v="3"/>
    <x v="144"/>
    <x v="144"/>
    <s v="cliente51@mail.cl"/>
    <s v="Hombre"/>
    <m/>
    <s v="La Serena"/>
    <x v="6"/>
    <s v="App"/>
    <s v="Pantalón"/>
    <x v="3"/>
    <n v="25000"/>
    <n v="2"/>
    <n v="0"/>
    <n v="50000"/>
    <n v="0"/>
    <n v="50000"/>
  </r>
  <r>
    <n v="187"/>
    <x v="186"/>
    <x v="13"/>
    <n v="5"/>
    <x v="145"/>
    <x v="145"/>
    <s v="cliente70@mail.cl"/>
    <s v="Mujer"/>
    <s v="30"/>
    <s v="Puerto Montt"/>
    <x v="5"/>
    <s v="Tienda"/>
    <s v="Polera"/>
    <x v="3"/>
    <n v="12000"/>
    <n v="3"/>
    <n v="0"/>
    <n v="36000"/>
    <n v="0"/>
    <n v="36000"/>
  </r>
  <r>
    <n v="188"/>
    <x v="187"/>
    <x v="36"/>
    <n v="1"/>
    <x v="78"/>
    <x v="78"/>
    <s v="cliente104@mail.cl"/>
    <s v="Mujer"/>
    <s v="28"/>
    <s v="Talcahuano"/>
    <x v="1"/>
    <s v="Web"/>
    <s v="Refrigerador"/>
    <x v="1"/>
    <n v="800000"/>
    <n v="2"/>
    <n v="1"/>
    <n v="1600000"/>
    <n v="16000"/>
    <n v="1584000"/>
  </r>
  <r>
    <n v="189"/>
    <x v="188"/>
    <x v="34"/>
    <n v="1"/>
    <x v="109"/>
    <x v="109"/>
    <s v="cliente188@mail.cl"/>
    <s v="Mujer"/>
    <s v="37"/>
    <s v="Viña del Mar"/>
    <x v="3"/>
    <s v="Web"/>
    <s v="Refrigerador"/>
    <x v="1"/>
    <n v="800000"/>
    <n v="3"/>
    <n v="1"/>
    <n v="2400000"/>
    <n v="24000"/>
    <n v="2376000"/>
  </r>
  <r>
    <n v="190"/>
    <x v="189"/>
    <x v="26"/>
    <n v="3"/>
    <x v="146"/>
    <x v="146"/>
    <s v="cliente166@mail.cl"/>
    <s v="Mujer"/>
    <s v="42"/>
    <s v="La Serena"/>
    <x v="6"/>
    <s v="Web"/>
    <s v="Lavadora"/>
    <x v="1"/>
    <n v="700000"/>
    <n v="2"/>
    <n v="1"/>
    <n v="1400000"/>
    <n v="14000"/>
    <n v="1386000"/>
  </r>
  <r>
    <n v="191"/>
    <x v="190"/>
    <x v="67"/>
    <n v="1"/>
    <x v="66"/>
    <x v="66"/>
    <s v="cliente144@mail.cl"/>
    <s v="Mujer"/>
    <s v="40"/>
    <s v="Viña del Mar"/>
    <x v="3"/>
    <s v="Tienda"/>
    <s v="Pantalón"/>
    <x v="3"/>
    <n v="25000"/>
    <n v="2"/>
    <n v="5"/>
    <n v="50000"/>
    <n v="2500"/>
    <n v="47500"/>
  </r>
  <r>
    <n v="192"/>
    <x v="191"/>
    <x v="61"/>
    <n v="4"/>
    <x v="147"/>
    <x v="147"/>
    <s v="cliente231@mail.cl"/>
    <s v="Hombre"/>
    <s v="29"/>
    <s v="Viña del Mar"/>
    <x v="3"/>
    <s v="Tienda"/>
    <s v="TV"/>
    <x v="1"/>
    <n v="650000"/>
    <n v="3"/>
    <n v="1"/>
    <n v="1950000"/>
    <n v="19500"/>
    <n v="1930500"/>
  </r>
  <r>
    <n v="193"/>
    <x v="192"/>
    <x v="29"/>
    <n v="3"/>
    <x v="38"/>
    <x v="38"/>
    <s v="cliente271@mail.cl"/>
    <s v="Mujer"/>
    <s v="55"/>
    <s v="Puerto Montt"/>
    <x v="5"/>
    <s v="Web"/>
    <s v="Zapatillas"/>
    <x v="4"/>
    <n v="55000"/>
    <n v="2"/>
    <n v="0"/>
    <n v="110000"/>
    <n v="0"/>
    <n v="110000"/>
  </r>
  <r>
    <n v="194"/>
    <x v="193"/>
    <x v="51"/>
    <n v="6"/>
    <x v="110"/>
    <x v="110"/>
    <s v="cliente13@mail.cl"/>
    <s v="Mujer"/>
    <s v="40"/>
    <s v="Rancagua"/>
    <x v="7"/>
    <s v="Tienda"/>
    <s v="Notebook"/>
    <x v="2"/>
    <n v="750000"/>
    <n v="2"/>
    <n v="0"/>
    <n v="1500000"/>
    <n v="0"/>
    <n v="1500000"/>
  </r>
  <r>
    <n v="195"/>
    <x v="194"/>
    <x v="43"/>
    <n v="0"/>
    <x v="148"/>
    <x v="148"/>
    <s v="cliente159@mail.cl"/>
    <s v="Mujer"/>
    <m/>
    <s v="Valparaíso"/>
    <x v="3"/>
    <s v="App"/>
    <s v="Zapatillas"/>
    <x v="4"/>
    <n v="55000"/>
    <n v="2"/>
    <n v="1"/>
    <n v="110000"/>
    <n v="1100"/>
    <n v="108900"/>
  </r>
  <r>
    <n v="196"/>
    <x v="195"/>
    <x v="54"/>
    <n v="4"/>
    <x v="59"/>
    <x v="59"/>
    <s v="cliente176@mail.cl"/>
    <s v="Mujer"/>
    <s v="47"/>
    <s v="Rancagua"/>
    <x v="7"/>
    <s v="Web"/>
    <s v="TV"/>
    <x v="1"/>
    <n v="650000"/>
    <n v="2"/>
    <n v="1"/>
    <n v="1300000"/>
    <n v="13000"/>
    <n v="1287000"/>
  </r>
  <r>
    <n v="197"/>
    <x v="196"/>
    <x v="46"/>
    <n v="1"/>
    <x v="149"/>
    <x v="149"/>
    <s v="cliente253@mail.cl"/>
    <s v="Hombre"/>
    <m/>
    <s v="Antofagasta"/>
    <x v="4"/>
    <s v="Web"/>
    <s v="Polera"/>
    <x v="3"/>
    <n v="12000"/>
    <n v="1"/>
    <n v="5"/>
    <n v="12000"/>
    <n v="600"/>
    <n v="11400"/>
  </r>
  <r>
    <n v="198"/>
    <x v="197"/>
    <x v="2"/>
    <n v="2"/>
    <x v="67"/>
    <x v="67"/>
    <s v="cliente26@mail.cl"/>
    <s v="Mujer"/>
    <s v="39"/>
    <s v="Santiago"/>
    <x v="2"/>
    <s v="Web"/>
    <s v="Maquillaje"/>
    <x v="0"/>
    <n v="15000"/>
    <n v="1"/>
    <n v="0"/>
    <n v="15000"/>
    <n v="0"/>
    <n v="15000"/>
  </r>
  <r>
    <n v="199"/>
    <x v="198"/>
    <x v="17"/>
    <n v="3"/>
    <x v="129"/>
    <x v="129"/>
    <s v="cliente211@mail.cl"/>
    <s v="Hombre"/>
    <s v="44"/>
    <s v="Temuco"/>
    <x v="0"/>
    <s v="Web"/>
    <s v="Smartphone"/>
    <x v="2"/>
    <n v="450000"/>
    <n v="3"/>
    <n v="5"/>
    <n v="1350000"/>
    <n v="67500"/>
    <n v="1282500"/>
  </r>
  <r>
    <n v="200"/>
    <x v="199"/>
    <x v="2"/>
    <n v="2"/>
    <x v="54"/>
    <x v="54"/>
    <s v="cliente195@mail.cl"/>
    <s v="Mujer"/>
    <s v="40"/>
    <s v="Santiago"/>
    <x v="2"/>
    <s v="App"/>
    <s v="Maquillaje"/>
    <x v="0"/>
    <n v="15000"/>
    <n v="3"/>
    <n v="0"/>
    <n v="45000"/>
    <n v="0"/>
    <n v="45000"/>
  </r>
  <r>
    <n v="201"/>
    <x v="200"/>
    <x v="48"/>
    <n v="1"/>
    <x v="147"/>
    <x v="147"/>
    <s v="cliente231@mail.cl"/>
    <s v="Hombre"/>
    <s v="29"/>
    <s v="Valparaíso"/>
    <x v="3"/>
    <s v="Tienda"/>
    <s v="TV"/>
    <x v="1"/>
    <n v="650000"/>
    <n v="2"/>
    <n v="1"/>
    <n v="1300000"/>
    <n v="13000"/>
    <n v="1287000"/>
  </r>
  <r>
    <n v="202"/>
    <x v="201"/>
    <x v="34"/>
    <n v="1"/>
    <x v="131"/>
    <x v="131"/>
    <s v="cliente213@mail.cl"/>
    <s v="Mujer"/>
    <s v="49"/>
    <s v="Viña del Mar"/>
    <x v="3"/>
    <s v="App"/>
    <s v="Zapatillas"/>
    <x v="4"/>
    <n v="55000"/>
    <n v="1"/>
    <n v="5"/>
    <n v="55000"/>
    <n v="2750"/>
    <n v="52250"/>
  </r>
  <r>
    <n v="203"/>
    <x v="202"/>
    <x v="65"/>
    <n v="1"/>
    <x v="62"/>
    <x v="62"/>
    <s v="cliente148@mail.cl"/>
    <s v="Hombre"/>
    <s v="22"/>
    <s v="Puerto Montt"/>
    <x v="5"/>
    <s v="Tienda"/>
    <s v="Refrigerador"/>
    <x v="1"/>
    <n v="800000"/>
    <n v="1"/>
    <n v="5"/>
    <n v="800000"/>
    <n v="40000"/>
    <n v="760000"/>
  </r>
  <r>
    <n v="204"/>
    <x v="203"/>
    <x v="45"/>
    <n v="1"/>
    <x v="150"/>
    <x v="150"/>
    <s v="cliente36@mail.cl"/>
    <s v="Mujer"/>
    <s v="23"/>
    <s v="Talcahuano"/>
    <x v="1"/>
    <s v="Web"/>
    <s v="Smartphone"/>
    <x v="2"/>
    <n v="450000"/>
    <n v="1"/>
    <n v="0"/>
    <n v="450000"/>
    <n v="0"/>
    <n v="450000"/>
  </r>
  <r>
    <n v="205"/>
    <x v="204"/>
    <x v="12"/>
    <n v="1"/>
    <x v="151"/>
    <x v="151"/>
    <s v="cliente266@mail.cl"/>
    <s v="Mujer"/>
    <s v="23"/>
    <s v="Talcahuano"/>
    <x v="1"/>
    <s v="Tienda"/>
    <s v="TV"/>
    <x v="1"/>
    <n v="650000"/>
    <n v="2"/>
    <n v="0"/>
    <n v="1300000"/>
    <n v="0"/>
    <n v="1300000"/>
  </r>
  <r>
    <n v="206"/>
    <x v="205"/>
    <x v="3"/>
    <n v="1"/>
    <x v="152"/>
    <x v="152"/>
    <s v="cliente46@mail.cl"/>
    <s v="Mujer"/>
    <s v="29"/>
    <s v="Valparaíso"/>
    <x v="3"/>
    <s v="Tienda"/>
    <s v="Maquillaje"/>
    <x v="0"/>
    <n v="15000"/>
    <n v="2"/>
    <n v="1"/>
    <n v="30000"/>
    <n v="300"/>
    <n v="29700"/>
  </r>
  <r>
    <n v="207"/>
    <x v="206"/>
    <x v="37"/>
    <n v="6"/>
    <x v="153"/>
    <x v="153"/>
    <s v="cliente129@mail.cl"/>
    <s v="Mujer"/>
    <s v="39"/>
    <s v="Valparaíso"/>
    <x v="3"/>
    <s v="App"/>
    <s v="TV"/>
    <x v="1"/>
    <n v="650000"/>
    <n v="2"/>
    <n v="5"/>
    <n v="1300000"/>
    <n v="65000"/>
    <n v="1235000"/>
  </r>
  <r>
    <n v="208"/>
    <x v="207"/>
    <x v="50"/>
    <n v="6"/>
    <x v="76"/>
    <x v="76"/>
    <s v="cliente58@mail.cl"/>
    <s v="Hombre"/>
    <s v="34"/>
    <s v="Antofagasta"/>
    <x v="4"/>
    <s v="Tienda"/>
    <s v="Refrigerador"/>
    <x v="1"/>
    <n v="800000"/>
    <n v="1"/>
    <n v="1"/>
    <n v="800000"/>
    <n v="8000"/>
    <n v="792000"/>
  </r>
  <r>
    <n v="209"/>
    <x v="208"/>
    <x v="23"/>
    <n v="2"/>
    <x v="154"/>
    <x v="154"/>
    <s v="cliente182@mail.cl"/>
    <s v="Hombre"/>
    <s v="27"/>
    <s v="Talcahuano"/>
    <x v="1"/>
    <s v="Web"/>
    <s v="Polera"/>
    <x v="3"/>
    <n v="12000"/>
    <n v="3"/>
    <n v="5"/>
    <n v="36000"/>
    <n v="1800"/>
    <n v="34200"/>
  </r>
  <r>
    <n v="210"/>
    <x v="209"/>
    <x v="14"/>
    <n v="9"/>
    <x v="68"/>
    <x v="68"/>
    <s v="cliente69@mail.cl"/>
    <s v="Mujer"/>
    <s v="42"/>
    <s v="Talcahuano"/>
    <x v="1"/>
    <s v="App"/>
    <s v="Maquillaje"/>
    <x v="0"/>
    <n v="15000"/>
    <n v="3"/>
    <n v="5"/>
    <n v="45000"/>
    <n v="2250"/>
    <n v="42750"/>
  </r>
  <r>
    <n v="211"/>
    <x v="210"/>
    <x v="7"/>
    <n v="3"/>
    <x v="155"/>
    <x v="155"/>
    <s v="cliente273@mail.cl"/>
    <s v="Mujer"/>
    <s v="51"/>
    <s v="Concepción"/>
    <x v="1"/>
    <s v="Tienda"/>
    <s v="Polera"/>
    <x v="3"/>
    <n v="12000"/>
    <n v="2"/>
    <n v="0"/>
    <n v="24000"/>
    <n v="0"/>
    <n v="24000"/>
  </r>
  <r>
    <n v="212"/>
    <x v="211"/>
    <x v="10"/>
    <n v="5"/>
    <x v="113"/>
    <x v="113"/>
    <s v="cliente22@mail.cl"/>
    <s v="Hombre"/>
    <s v="35"/>
    <s v="Temuco"/>
    <x v="0"/>
    <s v="Tienda"/>
    <s v="Refrigerador"/>
    <x v="1"/>
    <n v="800000"/>
    <n v="1"/>
    <n v="5"/>
    <n v="800000"/>
    <n v="40000"/>
    <n v="760000"/>
  </r>
  <r>
    <n v="213"/>
    <x v="212"/>
    <x v="1"/>
    <n v="0"/>
    <x v="156"/>
    <x v="156"/>
    <s v="cliente63@mail.cl"/>
    <s v="Mujer"/>
    <s v="24"/>
    <s v="Talcahuano"/>
    <x v="1"/>
    <s v="Tienda"/>
    <s v="Polera"/>
    <x v="3"/>
    <n v="12000"/>
    <n v="1"/>
    <n v="1"/>
    <n v="12000"/>
    <n v="120"/>
    <n v="11880"/>
  </r>
  <r>
    <n v="214"/>
    <x v="213"/>
    <x v="12"/>
    <n v="1"/>
    <x v="144"/>
    <x v="144"/>
    <s v="cliente51@mail.cl"/>
    <s v="Hombre"/>
    <m/>
    <s v="Talcahuano"/>
    <x v="1"/>
    <s v="Tienda"/>
    <s v="Smartphone"/>
    <x v="2"/>
    <n v="450000"/>
    <n v="2"/>
    <n v="1"/>
    <n v="900000"/>
    <n v="9000"/>
    <n v="891000"/>
  </r>
  <r>
    <n v="215"/>
    <x v="214"/>
    <x v="24"/>
    <n v="0"/>
    <x v="157"/>
    <x v="157"/>
    <s v="cliente25@mail.cl"/>
    <s v="Mujer"/>
    <s v="31"/>
    <s v="Rancagua"/>
    <x v="7"/>
    <s v="Tienda"/>
    <s v="Lavadora"/>
    <x v="1"/>
    <n v="700000"/>
    <n v="3"/>
    <n v="1"/>
    <n v="2100000"/>
    <n v="21000"/>
    <n v="2079000"/>
  </r>
  <r>
    <n v="216"/>
    <x v="215"/>
    <x v="33"/>
    <n v="4"/>
    <x v="152"/>
    <x v="152"/>
    <s v="cliente46@mail.cl"/>
    <s v="Mujer"/>
    <s v="29"/>
    <s v="Temuco"/>
    <x v="0"/>
    <s v="App"/>
    <s v="Pantalón"/>
    <x v="3"/>
    <n v="25000"/>
    <n v="2"/>
    <n v="5"/>
    <n v="50000"/>
    <n v="2500"/>
    <n v="47500"/>
  </r>
  <r>
    <n v="217"/>
    <x v="216"/>
    <x v="54"/>
    <n v="4"/>
    <x v="108"/>
    <x v="108"/>
    <s v="cliente147@mail.cl"/>
    <s v="Mujer"/>
    <s v="23"/>
    <s v="Rancagua"/>
    <x v="7"/>
    <s v="Tienda"/>
    <s v="Smartphone"/>
    <x v="2"/>
    <n v="450000"/>
    <n v="3"/>
    <n v="1"/>
    <n v="1350000"/>
    <n v="13500"/>
    <n v="1336500"/>
  </r>
  <r>
    <n v="218"/>
    <x v="217"/>
    <x v="56"/>
    <n v="5"/>
    <x v="158"/>
    <x v="158"/>
    <s v="cliente164@mail.cl"/>
    <s v="Mujer"/>
    <s v="28"/>
    <s v="Viña del Mar"/>
    <x v="3"/>
    <s v="Web"/>
    <s v="Perfume"/>
    <x v="0"/>
    <n v="35000"/>
    <n v="2"/>
    <n v="5"/>
    <n v="70000"/>
    <n v="3500"/>
    <n v="66500"/>
  </r>
  <r>
    <n v="219"/>
    <x v="218"/>
    <x v="50"/>
    <n v="6"/>
    <x v="159"/>
    <x v="159"/>
    <s v="cliente215@mail.cl"/>
    <s v="Hombre"/>
    <s v="34"/>
    <s v="Antofagasta"/>
    <x v="4"/>
    <s v="Web"/>
    <s v="Pantalón"/>
    <x v="3"/>
    <n v="25000"/>
    <n v="2"/>
    <n v="1"/>
    <n v="50000"/>
    <n v="500"/>
    <n v="49500"/>
  </r>
  <r>
    <n v="220"/>
    <x v="219"/>
    <x v="46"/>
    <n v="1"/>
    <x v="40"/>
    <x v="40"/>
    <s v="cliente41@mail.cl"/>
    <s v="Mujer"/>
    <s v="46"/>
    <s v="Antofagasta"/>
    <x v="4"/>
    <s v="Web"/>
    <s v="Smartphone"/>
    <x v="2"/>
    <n v="450000"/>
    <n v="3"/>
    <n v="5"/>
    <n v="1350000"/>
    <n v="67500"/>
    <n v="1282500"/>
  </r>
  <r>
    <n v="221"/>
    <x v="220"/>
    <x v="47"/>
    <n v="13"/>
    <x v="11"/>
    <x v="11"/>
    <s v="cliente50@mail.cl"/>
    <s v="Hombre"/>
    <s v="18"/>
    <s v="Rancagua"/>
    <x v="7"/>
    <s v="Web"/>
    <s v="Pantalón"/>
    <x v="3"/>
    <n v="25000"/>
    <n v="1"/>
    <n v="0"/>
    <n v="25000"/>
    <n v="0"/>
    <n v="25000"/>
  </r>
  <r>
    <n v="222"/>
    <x v="221"/>
    <x v="33"/>
    <n v="4"/>
    <x v="160"/>
    <x v="160"/>
    <s v="cliente66@mail.cl"/>
    <s v="Hombre"/>
    <s v="54"/>
    <s v="Temuco"/>
    <x v="0"/>
    <s v="Web"/>
    <s v="Refrigerador"/>
    <x v="1"/>
    <n v="800000"/>
    <n v="3"/>
    <n v="0"/>
    <n v="2400000"/>
    <n v="0"/>
    <n v="2400000"/>
  </r>
  <r>
    <n v="223"/>
    <x v="222"/>
    <x v="1"/>
    <n v="0"/>
    <x v="161"/>
    <x v="161"/>
    <s v="cliente151@mail.cl"/>
    <s v="Hombre"/>
    <s v="41"/>
    <s v="Talcahuano"/>
    <x v="1"/>
    <s v="Tienda"/>
    <s v="Maquillaje"/>
    <x v="0"/>
    <n v="15000"/>
    <n v="1"/>
    <n v="5"/>
    <n v="15000"/>
    <n v="750"/>
    <n v="14250"/>
  </r>
  <r>
    <n v="224"/>
    <x v="223"/>
    <x v="66"/>
    <n v="7"/>
    <x v="89"/>
    <x v="89"/>
    <s v="cliente169@mail.cl"/>
    <s v="Mujer"/>
    <s v="35"/>
    <s v="Antofagasta"/>
    <x v="4"/>
    <s v="Tienda"/>
    <s v="Polera"/>
    <x v="3"/>
    <n v="12000"/>
    <n v="1"/>
    <n v="5"/>
    <n v="12000"/>
    <n v="600"/>
    <n v="11400"/>
  </r>
  <r>
    <n v="225"/>
    <x v="224"/>
    <x v="29"/>
    <n v="3"/>
    <x v="9"/>
    <x v="9"/>
    <s v="cliente35@mail.cl"/>
    <s v="Mujer"/>
    <s v="47"/>
    <s v="Puerto Montt"/>
    <x v="5"/>
    <s v="Web"/>
    <s v="Lavadora"/>
    <x v="1"/>
    <n v="700000"/>
    <n v="2"/>
    <n v="0"/>
    <n v="1400000"/>
    <n v="0"/>
    <n v="1400000"/>
  </r>
  <r>
    <n v="226"/>
    <x v="225"/>
    <x v="22"/>
    <n v="5"/>
    <x v="139"/>
    <x v="139"/>
    <s v="cliente12@mail.cl"/>
    <s v="Mujer"/>
    <s v="32"/>
    <s v="Rancagua"/>
    <x v="7"/>
    <s v="Web"/>
    <s v="TV"/>
    <x v="1"/>
    <n v="650000"/>
    <n v="3"/>
    <n v="0"/>
    <n v="1950000"/>
    <n v="0"/>
    <n v="1950000"/>
  </r>
  <r>
    <n v="227"/>
    <x v="226"/>
    <x v="11"/>
    <n v="1"/>
    <x v="162"/>
    <x v="162"/>
    <s v="cliente187@mail.cl"/>
    <s v="Mujer"/>
    <s v="43"/>
    <s v="Antofagasta"/>
    <x v="4"/>
    <s v="Tienda"/>
    <s v="Refrigerador"/>
    <x v="1"/>
    <n v="800000"/>
    <n v="3"/>
    <n v="0"/>
    <n v="2400000"/>
    <n v="0"/>
    <n v="2400000"/>
  </r>
  <r>
    <n v="228"/>
    <x v="227"/>
    <x v="16"/>
    <n v="3"/>
    <x v="105"/>
    <x v="105"/>
    <s v="cliente72@mail.cl"/>
    <s v="Hombre"/>
    <s v="56"/>
    <s v="Concepción"/>
    <x v="1"/>
    <s v="App"/>
    <s v="Smartphone"/>
    <x v="2"/>
    <n v="450000"/>
    <n v="1"/>
    <n v="0"/>
    <n v="450000"/>
    <n v="0"/>
    <n v="450000"/>
  </r>
  <r>
    <n v="229"/>
    <x v="228"/>
    <x v="2"/>
    <n v="2"/>
    <x v="107"/>
    <x v="107"/>
    <s v="cliente237@mail.cl"/>
    <s v="Hombre"/>
    <s v="18"/>
    <s v="Santiago"/>
    <x v="2"/>
    <s v="Tienda"/>
    <s v="Maquillaje"/>
    <x v="0"/>
    <n v="15000"/>
    <n v="1"/>
    <n v="0"/>
    <n v="15000"/>
    <n v="0"/>
    <n v="15000"/>
  </r>
  <r>
    <n v="230"/>
    <x v="229"/>
    <x v="8"/>
    <n v="2"/>
    <x v="163"/>
    <x v="163"/>
    <s v="cliente155@mail.cl"/>
    <s v="Mujer"/>
    <s v="41"/>
    <s v="Concepción"/>
    <x v="1"/>
    <s v="Web"/>
    <s v="TV"/>
    <x v="1"/>
    <n v="650000"/>
    <n v="1"/>
    <n v="0"/>
    <n v="650000"/>
    <n v="0"/>
    <n v="650000"/>
  </r>
  <r>
    <n v="231"/>
    <x v="230"/>
    <x v="60"/>
    <n v="2"/>
    <x v="164"/>
    <x v="164"/>
    <s v="cliente279@mail.cl"/>
    <s v="Mujer"/>
    <s v="38"/>
    <s v="Talcahuano"/>
    <x v="1"/>
    <s v="App"/>
    <s v="Notebook"/>
    <x v="2"/>
    <n v="750000"/>
    <n v="2"/>
    <n v="0"/>
    <n v="1500000"/>
    <n v="0"/>
    <n v="1500000"/>
  </r>
  <r>
    <n v="232"/>
    <x v="231"/>
    <x v="54"/>
    <n v="4"/>
    <x v="165"/>
    <x v="165"/>
    <s v="cliente52@mail.cl"/>
    <s v="Hombre"/>
    <s v="33"/>
    <s v="Rancagua"/>
    <x v="7"/>
    <s v="Tienda"/>
    <s v="Perfume"/>
    <x v="0"/>
    <n v="35000"/>
    <n v="3"/>
    <n v="5"/>
    <n v="105000"/>
    <n v="5250"/>
    <n v="99750"/>
  </r>
  <r>
    <n v="233"/>
    <x v="232"/>
    <x v="9"/>
    <n v="0"/>
    <x v="64"/>
    <x v="64"/>
    <s v="cliente44@mail.cl"/>
    <s v="Hombre"/>
    <s v="34"/>
    <s v="Santiago"/>
    <x v="2"/>
    <s v="Web"/>
    <s v="Notebook"/>
    <x v="2"/>
    <n v="750000"/>
    <n v="1"/>
    <n v="0"/>
    <n v="750000"/>
    <n v="0"/>
    <n v="750000"/>
  </r>
  <r>
    <n v="234"/>
    <x v="233"/>
    <x v="29"/>
    <n v="3"/>
    <x v="166"/>
    <x v="166"/>
    <s v="cliente131@mail.cl"/>
    <s v="Hombre"/>
    <s v="19"/>
    <s v="Puerto Montt"/>
    <x v="5"/>
    <s v="App"/>
    <s v="Maquillaje"/>
    <x v="0"/>
    <n v="15000"/>
    <n v="3"/>
    <n v="0"/>
    <n v="45000"/>
    <n v="0"/>
    <n v="45000"/>
  </r>
  <r>
    <n v="235"/>
    <x v="234"/>
    <x v="6"/>
    <n v="0"/>
    <x v="167"/>
    <x v="167"/>
    <s v="cliente209@mail.cl"/>
    <s v="Hombre"/>
    <s v="44"/>
    <s v="Santiago"/>
    <x v="2"/>
    <s v="Tienda"/>
    <s v="Refrigerador"/>
    <x v="1"/>
    <n v="800000"/>
    <n v="2"/>
    <n v="5"/>
    <n v="1600000"/>
    <n v="80000"/>
    <n v="1520000"/>
  </r>
  <r>
    <n v="236"/>
    <x v="235"/>
    <x v="24"/>
    <n v="0"/>
    <x v="168"/>
    <x v="168"/>
    <s v="cliente259@mail.cl"/>
    <s v="Mujer"/>
    <s v="43"/>
    <s v="Rancagua"/>
    <x v="7"/>
    <s v="Tienda"/>
    <s v="Perfume"/>
    <x v="0"/>
    <n v="35000"/>
    <n v="3"/>
    <n v="0"/>
    <n v="105000"/>
    <n v="0"/>
    <n v="105000"/>
  </r>
  <r>
    <n v="237"/>
    <x v="236"/>
    <x v="32"/>
    <n v="4"/>
    <x v="59"/>
    <x v="59"/>
    <s v="cliente176@mail.cl"/>
    <s v="Mujer"/>
    <s v="47"/>
    <s v="Talcahuano"/>
    <x v="1"/>
    <s v="Tienda"/>
    <s v="Pantalón"/>
    <x v="3"/>
    <n v="25000"/>
    <n v="1"/>
    <n v="0"/>
    <n v="25000"/>
    <n v="0"/>
    <n v="25000"/>
  </r>
  <r>
    <n v="238"/>
    <x v="237"/>
    <x v="64"/>
    <n v="8"/>
    <x v="45"/>
    <x v="45"/>
    <s v="cliente239@mail.cl"/>
    <s v="Mujer"/>
    <s v="30"/>
    <s v="Santiago"/>
    <x v="2"/>
    <s v="Web"/>
    <s v="Lavadora"/>
    <x v="1"/>
    <n v="700000"/>
    <n v="1"/>
    <n v="0"/>
    <n v="700000"/>
    <n v="0"/>
    <n v="700000"/>
  </r>
  <r>
    <n v="239"/>
    <x v="238"/>
    <x v="56"/>
    <n v="5"/>
    <x v="13"/>
    <x v="13"/>
    <s v="cliente189@mail.cl"/>
    <s v="Mujer"/>
    <s v="27"/>
    <s v="Viña del Mar"/>
    <x v="3"/>
    <s v="Tienda"/>
    <s v="TV"/>
    <x v="1"/>
    <n v="650000"/>
    <n v="1"/>
    <n v="5"/>
    <n v="650000"/>
    <n v="32500"/>
    <n v="617500"/>
  </r>
  <r>
    <n v="240"/>
    <x v="239"/>
    <x v="18"/>
    <n v="0"/>
    <x v="169"/>
    <x v="169"/>
    <s v="cliente16@mail.cl"/>
    <s v="Mujer"/>
    <s v="31"/>
    <s v="Talcahuano"/>
    <x v="1"/>
    <s v="Tienda"/>
    <s v="Refrigerador"/>
    <x v="1"/>
    <n v="800000"/>
    <n v="3"/>
    <n v="1"/>
    <n v="2400000"/>
    <n v="24000"/>
    <n v="2376000"/>
  </r>
  <r>
    <n v="241"/>
    <x v="240"/>
    <x v="15"/>
    <n v="5"/>
    <x v="15"/>
    <x v="15"/>
    <s v="cliente269@mail.cl"/>
    <s v="Mujer"/>
    <s v="32"/>
    <s v="La Serena"/>
    <x v="6"/>
    <s v="Web"/>
    <s v="Lavadora"/>
    <x v="1"/>
    <n v="700000"/>
    <n v="2"/>
    <n v="5"/>
    <n v="1400000"/>
    <n v="70000"/>
    <n v="1330000"/>
  </r>
  <r>
    <n v="242"/>
    <x v="241"/>
    <x v="33"/>
    <n v="4"/>
    <x v="158"/>
    <x v="158"/>
    <s v="cliente164@mail.cl"/>
    <s v="Mujer"/>
    <s v="28"/>
    <s v="Temuco"/>
    <x v="0"/>
    <s v="Web"/>
    <s v="Zapatillas"/>
    <x v="4"/>
    <n v="55000"/>
    <n v="3"/>
    <n v="5"/>
    <n v="165000"/>
    <n v="8250"/>
    <n v="156750"/>
  </r>
  <r>
    <n v="243"/>
    <x v="242"/>
    <x v="53"/>
    <n v="0"/>
    <x v="1"/>
    <x v="1"/>
    <s v="cliente102@mail.cl"/>
    <s v="Hombre"/>
    <s v="32"/>
    <s v="Talcahuano"/>
    <x v="1"/>
    <s v="App"/>
    <s v="Smartphone"/>
    <x v="2"/>
    <n v="450000"/>
    <n v="3"/>
    <n v="5"/>
    <n v="1350000"/>
    <n v="67500"/>
    <n v="1282500"/>
  </r>
  <r>
    <n v="244"/>
    <x v="243"/>
    <x v="68"/>
    <n v="8"/>
    <x v="91"/>
    <x v="91"/>
    <s v="cliente53@mail.cl"/>
    <s v="Mujer"/>
    <s v="29"/>
    <s v="Valparaíso"/>
    <x v="3"/>
    <s v="Tienda"/>
    <s v="Smartphone"/>
    <x v="2"/>
    <n v="450000"/>
    <n v="2"/>
    <n v="0"/>
    <n v="900000"/>
    <n v="0"/>
    <n v="900000"/>
  </r>
  <r>
    <n v="245"/>
    <x v="244"/>
    <x v="24"/>
    <n v="0"/>
    <x v="170"/>
    <x v="170"/>
    <s v="cliente17@mail.cl"/>
    <s v="Mujer"/>
    <s v="25"/>
    <s v="Rancagua"/>
    <x v="7"/>
    <s v="Tienda"/>
    <s v="Refrigerador"/>
    <x v="1"/>
    <n v="800000"/>
    <n v="1"/>
    <n v="1"/>
    <n v="800000"/>
    <n v="8000"/>
    <n v="792000"/>
  </r>
  <r>
    <n v="246"/>
    <x v="245"/>
    <x v="3"/>
    <n v="1"/>
    <x v="112"/>
    <x v="112"/>
    <s v="cliente142@mail.cl"/>
    <s v="Hombre"/>
    <s v="53"/>
    <s v="Valparaíso"/>
    <x v="3"/>
    <s v="App"/>
    <s v="Smartphone"/>
    <x v="2"/>
    <n v="450000"/>
    <n v="1"/>
    <n v="5"/>
    <n v="450000"/>
    <n v="22500"/>
    <n v="427500"/>
  </r>
  <r>
    <n v="247"/>
    <x v="246"/>
    <x v="39"/>
    <n v="3"/>
    <x v="171"/>
    <x v="171"/>
    <s v="cliente8@mail.cl"/>
    <s v="Mujer"/>
    <s v="47"/>
    <s v="Concepción"/>
    <x v="1"/>
    <s v="Tienda"/>
    <s v="Zapatillas"/>
    <x v="4"/>
    <n v="55000"/>
    <n v="2"/>
    <n v="0"/>
    <n v="110000"/>
    <n v="0"/>
    <n v="110000"/>
  </r>
  <r>
    <n v="248"/>
    <x v="247"/>
    <x v="11"/>
    <n v="1"/>
    <x v="156"/>
    <x v="156"/>
    <s v="cliente63@mail.cl"/>
    <s v="Mujer"/>
    <s v="24"/>
    <s v="Antofagasta"/>
    <x v="4"/>
    <s v="Web"/>
    <s v="Refrigerador"/>
    <x v="1"/>
    <n v="800000"/>
    <n v="3"/>
    <n v="5"/>
    <n v="2400000"/>
    <n v="120000"/>
    <n v="2280000"/>
  </r>
  <r>
    <n v="249"/>
    <x v="248"/>
    <x v="29"/>
    <n v="3"/>
    <x v="172"/>
    <x v="172"/>
    <s v="cliente7@mail.cl"/>
    <s v="Hombre"/>
    <s v="56"/>
    <s v="Puerto Montt"/>
    <x v="5"/>
    <s v="App"/>
    <s v="Smartphone"/>
    <x v="2"/>
    <n v="450000"/>
    <n v="3"/>
    <n v="0"/>
    <n v="1350000"/>
    <n v="0"/>
    <n v="1350000"/>
  </r>
  <r>
    <n v="250"/>
    <x v="249"/>
    <x v="57"/>
    <n v="9"/>
    <x v="25"/>
    <x v="25"/>
    <s v="cliente114@mail.cl"/>
    <s v="Mujer"/>
    <s v="67"/>
    <s v="Antofagasta"/>
    <x v="4"/>
    <s v="App"/>
    <s v="TV"/>
    <x v="1"/>
    <n v="650000"/>
    <n v="3"/>
    <n v="5"/>
    <n v="1950000"/>
    <n v="97500"/>
    <n v="1852500"/>
  </r>
  <r>
    <n v="251"/>
    <x v="250"/>
    <x v="59"/>
    <n v="1"/>
    <x v="173"/>
    <x v="173"/>
    <s v="cliente258@mail.cl"/>
    <s v="Mujer"/>
    <s v="29"/>
    <s v="Puerto Montt"/>
    <x v="5"/>
    <s v="Web"/>
    <s v="Maquillaje"/>
    <x v="0"/>
    <n v="15000"/>
    <n v="3"/>
    <n v="0"/>
    <n v="45000"/>
    <n v="0"/>
    <n v="45000"/>
  </r>
  <r>
    <n v="252"/>
    <x v="251"/>
    <x v="9"/>
    <n v="0"/>
    <x v="24"/>
    <x v="24"/>
    <s v="cliente132@mail.cl"/>
    <s v="Mujer"/>
    <s v="38"/>
    <s v="Santiago"/>
    <x v="2"/>
    <s v="Tienda"/>
    <s v="Perfume"/>
    <x v="0"/>
    <n v="35000"/>
    <n v="2"/>
    <n v="5"/>
    <n v="70000"/>
    <n v="3500"/>
    <n v="66500"/>
  </r>
  <r>
    <n v="253"/>
    <x v="252"/>
    <x v="20"/>
    <n v="6"/>
    <x v="174"/>
    <x v="174"/>
    <s v="cliente21@mail.cl"/>
    <s v="Hombre"/>
    <s v="55"/>
    <s v="Talcahuano"/>
    <x v="1"/>
    <s v="Tienda"/>
    <s v="Notebook"/>
    <x v="2"/>
    <n v="750000"/>
    <n v="1"/>
    <n v="5"/>
    <n v="750000"/>
    <n v="37500"/>
    <n v="712500"/>
  </r>
  <r>
    <n v="254"/>
    <x v="253"/>
    <x v="56"/>
    <n v="5"/>
    <x v="175"/>
    <x v="175"/>
    <s v="cliente272@mail.cl"/>
    <s v="Hombre"/>
    <s v="20"/>
    <s v="Viña del Mar"/>
    <x v="3"/>
    <s v="App"/>
    <s v="Perfume"/>
    <x v="0"/>
    <n v="35000"/>
    <n v="1"/>
    <n v="5"/>
    <n v="35000"/>
    <n v="1750"/>
    <n v="33250"/>
  </r>
  <r>
    <n v="255"/>
    <x v="254"/>
    <x v="3"/>
    <n v="1"/>
    <x v="29"/>
    <x v="29"/>
    <s v="cliente122@mail.cl"/>
    <s v="Mujer"/>
    <s v="27"/>
    <s v="Valparaíso"/>
    <x v="3"/>
    <s v="Tienda"/>
    <s v="Smartphone"/>
    <x v="2"/>
    <n v="450000"/>
    <n v="2"/>
    <n v="0"/>
    <n v="900000"/>
    <n v="0"/>
    <n v="900000"/>
  </r>
  <r>
    <n v="256"/>
    <x v="255"/>
    <x v="8"/>
    <n v="2"/>
    <x v="74"/>
    <x v="74"/>
    <s v="cliente38@mail.cl"/>
    <s v="Hombre"/>
    <s v="18"/>
    <s v="Concepción"/>
    <x v="1"/>
    <s v="App"/>
    <s v="TV"/>
    <x v="1"/>
    <n v="650000"/>
    <n v="2"/>
    <n v="1"/>
    <n v="1300000"/>
    <n v="13000"/>
    <n v="1287000"/>
  </r>
  <r>
    <n v="257"/>
    <x v="256"/>
    <x v="68"/>
    <n v="8"/>
    <x v="137"/>
    <x v="137"/>
    <s v="cliente243@mail.cl"/>
    <s v="Mujer"/>
    <s v="44"/>
    <s v="Valparaíso"/>
    <x v="3"/>
    <s v="Tienda"/>
    <s v="Refrigerador"/>
    <x v="1"/>
    <n v="800000"/>
    <n v="3"/>
    <n v="0"/>
    <n v="2400000"/>
    <n v="0"/>
    <n v="2400000"/>
  </r>
  <r>
    <n v="258"/>
    <x v="257"/>
    <x v="20"/>
    <n v="6"/>
    <x v="1"/>
    <x v="1"/>
    <s v="cliente102@mail.cl"/>
    <s v="Hombre"/>
    <s v="32"/>
    <s v="Talcahuano"/>
    <x v="1"/>
    <s v="Web"/>
    <s v="Notebook"/>
    <x v="2"/>
    <n v="750000"/>
    <n v="2"/>
    <n v="0"/>
    <n v="1500000"/>
    <n v="0"/>
    <n v="1500000"/>
  </r>
  <r>
    <n v="259"/>
    <x v="258"/>
    <x v="68"/>
    <n v="8"/>
    <x v="176"/>
    <x v="176"/>
    <s v="cliente197@mail.cl"/>
    <s v="Mujer"/>
    <s v="27"/>
    <s v="Valparaíso"/>
    <x v="3"/>
    <s v="Web"/>
    <s v="Lavadora"/>
    <x v="1"/>
    <n v="700000"/>
    <n v="1"/>
    <n v="1"/>
    <n v="700000"/>
    <n v="7000"/>
    <n v="693000"/>
  </r>
  <r>
    <n v="260"/>
    <x v="259"/>
    <x v="56"/>
    <n v="5"/>
    <x v="177"/>
    <x v="177"/>
    <s v="cliente91@mail.cl"/>
    <s v="Hombre"/>
    <s v="39"/>
    <s v="Viña del Mar"/>
    <x v="3"/>
    <s v="Web"/>
    <s v="Refrigerador"/>
    <x v="1"/>
    <n v="800000"/>
    <n v="2"/>
    <n v="1"/>
    <n v="1600000"/>
    <n v="16000"/>
    <n v="1584000"/>
  </r>
  <r>
    <n v="261"/>
    <x v="260"/>
    <x v="48"/>
    <n v="1"/>
    <x v="178"/>
    <x v="178"/>
    <s v="cliente108@mail.cl"/>
    <s v="Hombre"/>
    <s v="40"/>
    <s v="Valparaíso"/>
    <x v="3"/>
    <s v="Web"/>
    <s v="Polera"/>
    <x v="3"/>
    <n v="12000"/>
    <n v="3"/>
    <n v="5"/>
    <n v="36000"/>
    <n v="1800"/>
    <n v="34200"/>
  </r>
  <r>
    <n v="262"/>
    <x v="261"/>
    <x v="21"/>
    <n v="4"/>
    <x v="145"/>
    <x v="145"/>
    <s v="cliente70@mail.cl"/>
    <s v="Mujer"/>
    <s v="30"/>
    <s v="Puerto Montt"/>
    <x v="5"/>
    <s v="App"/>
    <s v="TV"/>
    <x v="1"/>
    <n v="650000"/>
    <n v="2"/>
    <n v="1"/>
    <n v="1300000"/>
    <n v="13000"/>
    <n v="1287000"/>
  </r>
  <r>
    <n v="263"/>
    <x v="262"/>
    <x v="53"/>
    <n v="0"/>
    <x v="41"/>
    <x v="41"/>
    <s v="cliente118@mail.cl"/>
    <s v="Mujer"/>
    <s v="23"/>
    <s v="Talcahuano"/>
    <x v="1"/>
    <s v="Web"/>
    <s v="TV"/>
    <x v="1"/>
    <n v="650000"/>
    <n v="2"/>
    <n v="0"/>
    <n v="1300000"/>
    <n v="0"/>
    <n v="1300000"/>
  </r>
  <r>
    <n v="264"/>
    <x v="263"/>
    <x v="45"/>
    <n v="1"/>
    <x v="179"/>
    <x v="179"/>
    <s v="cliente192@mail.cl"/>
    <s v="Mujer"/>
    <m/>
    <s v="Talcahuano"/>
    <x v="1"/>
    <s v="App"/>
    <s v="Polera"/>
    <x v="3"/>
    <n v="12000"/>
    <n v="1"/>
    <n v="0"/>
    <n v="12000"/>
    <n v="0"/>
    <n v="12000"/>
  </r>
  <r>
    <n v="265"/>
    <x v="264"/>
    <x v="10"/>
    <n v="5"/>
    <x v="179"/>
    <x v="179"/>
    <s v="cliente192@mail.cl"/>
    <s v="Mujer"/>
    <m/>
    <s v="Temuco"/>
    <x v="0"/>
    <s v="Tienda"/>
    <s v="Polera"/>
    <x v="3"/>
    <n v="12000"/>
    <n v="3"/>
    <n v="0"/>
    <n v="36000"/>
    <n v="0"/>
    <n v="36000"/>
  </r>
  <r>
    <n v="266"/>
    <x v="265"/>
    <x v="12"/>
    <n v="1"/>
    <x v="132"/>
    <x v="132"/>
    <s v="cliente76@mail.cl"/>
    <s v="Hombre"/>
    <s v="47"/>
    <s v="Talcahuano"/>
    <x v="1"/>
    <s v="Web"/>
    <s v="Refrigerador"/>
    <x v="1"/>
    <n v="800000"/>
    <n v="3"/>
    <n v="0"/>
    <n v="2400000"/>
    <n v="0"/>
    <n v="2400000"/>
  </r>
  <r>
    <n v="267"/>
    <x v="266"/>
    <x v="60"/>
    <n v="2"/>
    <x v="180"/>
    <x v="180"/>
    <s v="cliente139@mail.cl"/>
    <s v="Hombre"/>
    <s v="47"/>
    <s v="Talcahuano"/>
    <x v="1"/>
    <s v="Tienda"/>
    <s v="Maquillaje"/>
    <x v="0"/>
    <n v="15000"/>
    <n v="1"/>
    <n v="0"/>
    <n v="15000"/>
    <n v="0"/>
    <n v="15000"/>
  </r>
  <r>
    <n v="268"/>
    <x v="267"/>
    <x v="59"/>
    <n v="1"/>
    <x v="127"/>
    <x v="127"/>
    <s v="cliente60@mail.cl"/>
    <s v="Hombre"/>
    <s v="49"/>
    <s v="Puerto Montt"/>
    <x v="5"/>
    <s v="Tienda"/>
    <s v="Polera"/>
    <x v="3"/>
    <n v="12000"/>
    <n v="2"/>
    <n v="0"/>
    <n v="24000"/>
    <n v="0"/>
    <n v="24000"/>
  </r>
  <r>
    <n v="269"/>
    <x v="268"/>
    <x v="57"/>
    <n v="9"/>
    <x v="41"/>
    <x v="41"/>
    <s v="cliente118@mail.cl"/>
    <s v="Mujer"/>
    <s v="23"/>
    <s v="Antofagasta"/>
    <x v="4"/>
    <s v="App"/>
    <s v="Lavadora"/>
    <x v="1"/>
    <n v="700000"/>
    <n v="2"/>
    <n v="0"/>
    <n v="1400000"/>
    <n v="0"/>
    <n v="1400000"/>
  </r>
  <r>
    <n v="270"/>
    <x v="269"/>
    <x v="1"/>
    <n v="0"/>
    <x v="66"/>
    <x v="66"/>
    <s v="cliente144@mail.cl"/>
    <s v="Mujer"/>
    <s v="40"/>
    <s v="Talcahuano"/>
    <x v="1"/>
    <s v="Web"/>
    <s v="Maquillaje"/>
    <x v="0"/>
    <n v="15000"/>
    <n v="1"/>
    <n v="0"/>
    <n v="15000"/>
    <n v="0"/>
    <n v="15000"/>
  </r>
  <r>
    <n v="271"/>
    <x v="270"/>
    <x v="43"/>
    <n v="0"/>
    <x v="181"/>
    <x v="181"/>
    <s v="cliente74@mail.cl"/>
    <s v="Hombre"/>
    <s v="56"/>
    <s v="Valparaíso"/>
    <x v="3"/>
    <s v="App"/>
    <s v="Refrigerador"/>
    <x v="1"/>
    <n v="800000"/>
    <n v="2"/>
    <n v="0"/>
    <n v="1600000"/>
    <n v="0"/>
    <n v="1600000"/>
  </r>
  <r>
    <n v="272"/>
    <x v="271"/>
    <x v="56"/>
    <n v="5"/>
    <x v="15"/>
    <x v="15"/>
    <s v="cliente269@mail.cl"/>
    <s v="Mujer"/>
    <s v="32"/>
    <s v="Viña del Mar"/>
    <x v="3"/>
    <s v="Web"/>
    <s v="Refrigerador"/>
    <x v="1"/>
    <n v="800000"/>
    <n v="1"/>
    <n v="0"/>
    <n v="800000"/>
    <n v="0"/>
    <n v="800000"/>
  </r>
  <r>
    <n v="273"/>
    <x v="272"/>
    <x v="23"/>
    <n v="2"/>
    <x v="100"/>
    <x v="100"/>
    <s v="cliente267@mail.cl"/>
    <s v="Mujer"/>
    <s v="57"/>
    <s v="Talcahuano"/>
    <x v="1"/>
    <s v="Tienda"/>
    <s v="Perfume"/>
    <x v="0"/>
    <n v="35000"/>
    <n v="3"/>
    <n v="1"/>
    <n v="105000"/>
    <n v="1050"/>
    <n v="103950"/>
  </r>
  <r>
    <n v="274"/>
    <x v="273"/>
    <x v="55"/>
    <n v="1"/>
    <x v="15"/>
    <x v="15"/>
    <s v="cliente269@mail.cl"/>
    <s v="Mujer"/>
    <s v="32"/>
    <s v="Concepción"/>
    <x v="1"/>
    <s v="Tienda"/>
    <s v="Notebook"/>
    <x v="2"/>
    <n v="750000"/>
    <n v="2"/>
    <n v="0"/>
    <n v="1500000"/>
    <n v="0"/>
    <n v="1500000"/>
  </r>
  <r>
    <n v="275"/>
    <x v="274"/>
    <x v="26"/>
    <n v="3"/>
    <x v="182"/>
    <x v="182"/>
    <s v="cliente119@mail.cl"/>
    <s v="Hombre"/>
    <s v="51"/>
    <s v="La Serena"/>
    <x v="6"/>
    <s v="Tienda"/>
    <s v="TV"/>
    <x v="1"/>
    <n v="650000"/>
    <n v="1"/>
    <n v="1"/>
    <n v="650000"/>
    <n v="6500"/>
    <n v="643500"/>
  </r>
  <r>
    <n v="276"/>
    <x v="275"/>
    <x v="30"/>
    <n v="0"/>
    <x v="14"/>
    <x v="14"/>
    <s v="cliente67@mail.cl"/>
    <s v="Hombre"/>
    <s v="37"/>
    <s v="Concepción"/>
    <x v="1"/>
    <s v="Tienda"/>
    <s v="Perfume"/>
    <x v="0"/>
    <n v="35000"/>
    <n v="1"/>
    <n v="0"/>
    <n v="35000"/>
    <n v="0"/>
    <n v="35000"/>
  </r>
  <r>
    <n v="277"/>
    <x v="276"/>
    <x v="57"/>
    <n v="9"/>
    <x v="50"/>
    <x v="50"/>
    <s v="cliente186@mail.cl"/>
    <s v="Mujer"/>
    <s v="46"/>
    <s v="Antofagasta"/>
    <x v="4"/>
    <s v="Tienda"/>
    <s v="Smartphone"/>
    <x v="2"/>
    <n v="450000"/>
    <n v="1"/>
    <n v="0"/>
    <n v="450000"/>
    <n v="0"/>
    <n v="450000"/>
  </r>
  <r>
    <n v="278"/>
    <x v="277"/>
    <x v="7"/>
    <n v="3"/>
    <x v="183"/>
    <x v="183"/>
    <s v="cliente264@mail.cl"/>
    <s v="Mujer"/>
    <s v="25"/>
    <s v="Concepción"/>
    <x v="1"/>
    <s v="Tienda"/>
    <s v="Polera"/>
    <x v="3"/>
    <n v="12000"/>
    <n v="3"/>
    <n v="1"/>
    <n v="36000"/>
    <n v="360"/>
    <n v="35640"/>
  </r>
  <r>
    <n v="279"/>
    <x v="278"/>
    <x v="43"/>
    <n v="0"/>
    <x v="24"/>
    <x v="24"/>
    <s v="cliente132@mail.cl"/>
    <s v="Mujer"/>
    <s v="38"/>
    <s v="Valparaíso"/>
    <x v="3"/>
    <s v="Tienda"/>
    <s v="Lavadora"/>
    <x v="1"/>
    <n v="700000"/>
    <n v="3"/>
    <n v="0"/>
    <n v="2100000"/>
    <n v="0"/>
    <n v="2100000"/>
  </r>
  <r>
    <n v="280"/>
    <x v="279"/>
    <x v="56"/>
    <n v="5"/>
    <x v="3"/>
    <x v="3"/>
    <s v="cliente65@mail.cl"/>
    <s v="Hombre"/>
    <s v="47"/>
    <s v="Viña del Mar"/>
    <x v="3"/>
    <s v="Tienda"/>
    <s v="Pantalón"/>
    <x v="3"/>
    <n v="25000"/>
    <n v="3"/>
    <n v="0"/>
    <n v="75000"/>
    <n v="0"/>
    <n v="75000"/>
  </r>
  <r>
    <n v="281"/>
    <x v="280"/>
    <x v="14"/>
    <n v="9"/>
    <x v="122"/>
    <x v="122"/>
    <s v="cliente241@mail.cl"/>
    <s v="Mujer"/>
    <s v="28"/>
    <s v="Talcahuano"/>
    <x v="1"/>
    <s v="Web"/>
    <s v="Zapatillas"/>
    <x v="4"/>
    <n v="55000"/>
    <n v="2"/>
    <n v="0"/>
    <n v="110000"/>
    <n v="0"/>
    <n v="110000"/>
  </r>
  <r>
    <n v="282"/>
    <x v="281"/>
    <x v="24"/>
    <n v="0"/>
    <x v="92"/>
    <x v="92"/>
    <s v="cliente228@mail.cl"/>
    <s v="Mujer"/>
    <s v="25"/>
    <s v="Rancagua"/>
    <x v="7"/>
    <s v="Tienda"/>
    <s v="Polera"/>
    <x v="3"/>
    <n v="12000"/>
    <n v="1"/>
    <n v="5"/>
    <n v="12000"/>
    <n v="600"/>
    <n v="11400"/>
  </r>
  <r>
    <n v="283"/>
    <x v="282"/>
    <x v="42"/>
    <n v="4"/>
    <x v="184"/>
    <x v="184"/>
    <s v="cliente138@mail.cl"/>
    <s v="Mujer"/>
    <s v="34"/>
    <s v="Antofagasta"/>
    <x v="4"/>
    <s v="Web"/>
    <s v="Smartphone"/>
    <x v="2"/>
    <n v="450000"/>
    <n v="3"/>
    <n v="5"/>
    <n v="1350000"/>
    <n v="67500"/>
    <n v="1282500"/>
  </r>
  <r>
    <n v="284"/>
    <x v="283"/>
    <x v="64"/>
    <n v="8"/>
    <x v="2"/>
    <x v="2"/>
    <s v="cliente196@mail.cl"/>
    <s v="Hombre"/>
    <s v="42"/>
    <s v="Santiago"/>
    <x v="2"/>
    <s v="Tienda"/>
    <s v="Lavadora"/>
    <x v="1"/>
    <n v="700000"/>
    <n v="2"/>
    <n v="0"/>
    <n v="1400000"/>
    <n v="0"/>
    <n v="1400000"/>
  </r>
  <r>
    <n v="285"/>
    <x v="284"/>
    <x v="3"/>
    <n v="1"/>
    <x v="185"/>
    <x v="185"/>
    <s v="cliente135@mail.cl"/>
    <s v="Mujer"/>
    <s v="26"/>
    <s v="Valparaíso"/>
    <x v="3"/>
    <s v="Web"/>
    <s v="Polera"/>
    <x v="3"/>
    <n v="12000"/>
    <n v="1"/>
    <n v="1"/>
    <n v="12000"/>
    <n v="120"/>
    <n v="11880"/>
  </r>
  <r>
    <n v="286"/>
    <x v="285"/>
    <x v="26"/>
    <n v="3"/>
    <x v="186"/>
    <x v="186"/>
    <s v="cliente128@mail.cl"/>
    <s v="Mujer"/>
    <s v="31"/>
    <s v="La Serena"/>
    <x v="6"/>
    <s v="Tienda"/>
    <s v="Maquillaje"/>
    <x v="0"/>
    <n v="15000"/>
    <n v="1"/>
    <n v="1"/>
    <n v="15000"/>
    <n v="150"/>
    <n v="14850"/>
  </r>
  <r>
    <n v="287"/>
    <x v="286"/>
    <x v="6"/>
    <n v="0"/>
    <x v="135"/>
    <x v="135"/>
    <s v="cliente107@mail.cl"/>
    <s v="Mujer"/>
    <s v="60"/>
    <s v="Santiago"/>
    <x v="2"/>
    <s v="Tienda"/>
    <s v="Lavadora"/>
    <x v="1"/>
    <n v="700000"/>
    <n v="2"/>
    <n v="0"/>
    <n v="1400000"/>
    <n v="0"/>
    <n v="1400000"/>
  </r>
  <r>
    <n v="288"/>
    <x v="287"/>
    <x v="0"/>
    <n v="0"/>
    <x v="187"/>
    <x v="187"/>
    <s v="cliente73@mail.cl"/>
    <s v="Mujer"/>
    <s v="37"/>
    <s v="Temuco"/>
    <x v="0"/>
    <s v="Web"/>
    <s v="Zapatillas"/>
    <x v="4"/>
    <n v="55000"/>
    <n v="1"/>
    <n v="1"/>
    <n v="55000"/>
    <n v="550"/>
    <n v="54450"/>
  </r>
  <r>
    <n v="289"/>
    <x v="288"/>
    <x v="21"/>
    <n v="4"/>
    <x v="98"/>
    <x v="98"/>
    <s v="cliente225@mail.cl"/>
    <s v="Hombre"/>
    <s v="32"/>
    <s v="Puerto Montt"/>
    <x v="5"/>
    <s v="Web"/>
    <s v="Refrigerador"/>
    <x v="1"/>
    <n v="800000"/>
    <n v="3"/>
    <n v="0"/>
    <n v="2400000"/>
    <n v="0"/>
    <n v="2400000"/>
  </r>
  <r>
    <n v="290"/>
    <x v="289"/>
    <x v="59"/>
    <n v="1"/>
    <x v="131"/>
    <x v="131"/>
    <s v="cliente213@mail.cl"/>
    <s v="Mujer"/>
    <s v="49"/>
    <s v="Puerto Montt"/>
    <x v="5"/>
    <s v="App"/>
    <s v="Perfume"/>
    <x v="0"/>
    <n v="35000"/>
    <n v="1"/>
    <n v="0"/>
    <n v="35000"/>
    <n v="0"/>
    <n v="35000"/>
  </r>
  <r>
    <n v="291"/>
    <x v="290"/>
    <x v="13"/>
    <n v="5"/>
    <x v="38"/>
    <x v="38"/>
    <s v="cliente271@mail.cl"/>
    <s v="Mujer"/>
    <s v="55"/>
    <s v="Puerto Montt"/>
    <x v="5"/>
    <s v="App"/>
    <s v="Perfume"/>
    <x v="0"/>
    <n v="35000"/>
    <n v="3"/>
    <n v="5"/>
    <n v="105000"/>
    <n v="5250"/>
    <n v="99750"/>
  </r>
  <r>
    <n v="292"/>
    <x v="291"/>
    <x v="21"/>
    <n v="4"/>
    <x v="188"/>
    <x v="188"/>
    <s v="cliente3@mail.cl"/>
    <s v="Hombre"/>
    <s v="45"/>
    <s v="Puerto Montt"/>
    <x v="5"/>
    <s v="Web"/>
    <s v="Smartphone"/>
    <x v="2"/>
    <n v="450000"/>
    <n v="1"/>
    <n v="1"/>
    <n v="450000"/>
    <n v="4500"/>
    <n v="445500"/>
  </r>
  <r>
    <n v="293"/>
    <x v="292"/>
    <x v="27"/>
    <n v="0"/>
    <x v="175"/>
    <x v="175"/>
    <s v="cliente272@mail.cl"/>
    <s v="Hombre"/>
    <s v="20"/>
    <s v="Temuco"/>
    <x v="0"/>
    <s v="Tienda"/>
    <s v="TV"/>
    <x v="1"/>
    <n v="650000"/>
    <n v="1"/>
    <n v="0"/>
    <n v="650000"/>
    <n v="0"/>
    <n v="650000"/>
  </r>
  <r>
    <n v="294"/>
    <x v="293"/>
    <x v="19"/>
    <n v="4"/>
    <x v="107"/>
    <x v="107"/>
    <s v="cliente237@mail.cl"/>
    <s v="Hombre"/>
    <s v="18"/>
    <s v="Rancagua"/>
    <x v="7"/>
    <s v="Tienda"/>
    <s v="Polera"/>
    <x v="3"/>
    <n v="12000"/>
    <n v="3"/>
    <n v="0"/>
    <n v="36000"/>
    <n v="0"/>
    <n v="36000"/>
  </r>
  <r>
    <n v="295"/>
    <x v="294"/>
    <x v="64"/>
    <n v="8"/>
    <x v="189"/>
    <x v="189"/>
    <s v="cliente251@mail.cl"/>
    <s v="Hombre"/>
    <s v="22"/>
    <s v="Santiago"/>
    <x v="2"/>
    <s v="App"/>
    <s v="Perfume"/>
    <x v="0"/>
    <n v="35000"/>
    <n v="2"/>
    <n v="0"/>
    <n v="70000"/>
    <n v="0"/>
    <n v="70000"/>
  </r>
  <r>
    <n v="296"/>
    <x v="295"/>
    <x v="16"/>
    <n v="3"/>
    <x v="190"/>
    <x v="190"/>
    <s v="cliente214@mail.cl"/>
    <s v="Hombre"/>
    <s v="45"/>
    <s v="Concepción"/>
    <x v="1"/>
    <s v="Tienda"/>
    <s v="Maquillaje"/>
    <x v="0"/>
    <n v="15000"/>
    <n v="1"/>
    <n v="5"/>
    <n v="15000"/>
    <n v="750"/>
    <n v="14250"/>
  </r>
  <r>
    <n v="297"/>
    <x v="296"/>
    <x v="8"/>
    <n v="2"/>
    <x v="191"/>
    <x v="191"/>
    <s v="cliente223@mail.cl"/>
    <s v="Hombre"/>
    <s v="46"/>
    <s v="Concepción"/>
    <x v="1"/>
    <s v="Web"/>
    <s v="Lavadora"/>
    <x v="1"/>
    <n v="700000"/>
    <n v="1"/>
    <n v="5"/>
    <n v="700000"/>
    <n v="35000"/>
    <n v="665000"/>
  </r>
  <r>
    <n v="298"/>
    <x v="297"/>
    <x v="16"/>
    <n v="3"/>
    <x v="95"/>
    <x v="95"/>
    <s v="cliente109@mail.cl"/>
    <s v="Hombre"/>
    <s v="41"/>
    <s v="Concepción"/>
    <x v="1"/>
    <s v="Tienda"/>
    <s v="Zapatillas"/>
    <x v="4"/>
    <n v="55000"/>
    <n v="1"/>
    <n v="5"/>
    <n v="55000"/>
    <n v="2750"/>
    <n v="52250"/>
  </r>
  <r>
    <n v="299"/>
    <x v="298"/>
    <x v="36"/>
    <n v="1"/>
    <x v="170"/>
    <x v="170"/>
    <s v="cliente17@mail.cl"/>
    <s v="Mujer"/>
    <s v="25"/>
    <s v="Talcahuano"/>
    <x v="1"/>
    <s v="Tienda"/>
    <s v="Smartphone"/>
    <x v="2"/>
    <n v="450000"/>
    <n v="1"/>
    <n v="1"/>
    <n v="450000"/>
    <n v="4500"/>
    <n v="445500"/>
  </r>
  <r>
    <n v="300"/>
    <x v="299"/>
    <x v="59"/>
    <n v="1"/>
    <x v="94"/>
    <x v="94"/>
    <s v="cliente75@mail.cl"/>
    <s v="Hombre"/>
    <s v="18"/>
    <s v="Puerto Montt"/>
    <x v="5"/>
    <s v="Tienda"/>
    <s v="Zapatillas"/>
    <x v="4"/>
    <n v="55000"/>
    <n v="2"/>
    <n v="5"/>
    <n v="110000"/>
    <n v="5500"/>
    <n v="104500"/>
  </r>
  <r>
    <n v="301"/>
    <x v="300"/>
    <x v="21"/>
    <n v="4"/>
    <x v="192"/>
    <x v="192"/>
    <s v="cliente5@mail.cl"/>
    <s v="Hombre"/>
    <s v="35"/>
    <s v="Puerto Montt"/>
    <x v="5"/>
    <s v="App"/>
    <s v="TV"/>
    <x v="1"/>
    <n v="650000"/>
    <n v="2"/>
    <n v="1"/>
    <n v="1300000"/>
    <n v="13000"/>
    <n v="1287000"/>
  </r>
  <r>
    <n v="302"/>
    <x v="301"/>
    <x v="39"/>
    <n v="3"/>
    <x v="184"/>
    <x v="184"/>
    <s v="cliente138@mail.cl"/>
    <s v="Mujer"/>
    <s v="34"/>
    <s v="Concepción"/>
    <x v="1"/>
    <s v="Web"/>
    <s v="Lavadora"/>
    <x v="1"/>
    <n v="700000"/>
    <n v="2"/>
    <n v="1"/>
    <n v="1400000"/>
    <n v="14000"/>
    <n v="1386000"/>
  </r>
  <r>
    <n v="303"/>
    <x v="302"/>
    <x v="18"/>
    <n v="0"/>
    <x v="5"/>
    <x v="5"/>
    <s v="cliente202@mail.cl"/>
    <s v="Mujer"/>
    <s v="44"/>
    <s v="Talcahuano"/>
    <x v="1"/>
    <s v="Web"/>
    <s v="Smartphone"/>
    <x v="2"/>
    <n v="450000"/>
    <n v="3"/>
    <n v="5"/>
    <n v="1350000"/>
    <n v="67500"/>
    <n v="1282500"/>
  </r>
  <r>
    <n v="304"/>
    <x v="303"/>
    <x v="22"/>
    <n v="5"/>
    <x v="49"/>
    <x v="49"/>
    <s v="cliente117@mail.cl"/>
    <s v="Mujer"/>
    <m/>
    <s v="Rancagua"/>
    <x v="7"/>
    <s v="Web"/>
    <s v="Zapatillas"/>
    <x v="4"/>
    <n v="55000"/>
    <n v="1"/>
    <n v="0"/>
    <n v="55000"/>
    <n v="0"/>
    <n v="55000"/>
  </r>
  <r>
    <n v="305"/>
    <x v="304"/>
    <x v="8"/>
    <n v="2"/>
    <x v="81"/>
    <x v="81"/>
    <s v="cliente86@mail.cl"/>
    <s v="Hombre"/>
    <s v="31"/>
    <s v="Concepción"/>
    <x v="1"/>
    <s v="Web"/>
    <s v="Notebook"/>
    <x v="2"/>
    <n v="750000"/>
    <n v="2"/>
    <n v="1"/>
    <n v="1500000"/>
    <n v="15000"/>
    <n v="1485000"/>
  </r>
  <r>
    <n v="306"/>
    <x v="305"/>
    <x v="43"/>
    <n v="0"/>
    <x v="107"/>
    <x v="107"/>
    <s v="cliente237@mail.cl"/>
    <s v="Hombre"/>
    <s v="18"/>
    <s v="Valparaíso"/>
    <x v="3"/>
    <s v="Web"/>
    <s v="TV"/>
    <x v="1"/>
    <n v="650000"/>
    <n v="2"/>
    <n v="0"/>
    <n v="1300000"/>
    <n v="0"/>
    <n v="1300000"/>
  </r>
  <r>
    <n v="307"/>
    <x v="306"/>
    <x v="33"/>
    <n v="4"/>
    <x v="193"/>
    <x v="193"/>
    <s v="cliente149@mail.cl"/>
    <s v="Mujer"/>
    <s v="44"/>
    <s v="Temuco"/>
    <x v="0"/>
    <s v="App"/>
    <s v="Zapatillas"/>
    <x v="4"/>
    <n v="55000"/>
    <n v="1"/>
    <n v="5"/>
    <n v="55000"/>
    <n v="2750"/>
    <n v="52250"/>
  </r>
  <r>
    <n v="308"/>
    <x v="307"/>
    <x v="37"/>
    <n v="6"/>
    <x v="194"/>
    <x v="194"/>
    <s v="cliente47@mail.cl"/>
    <s v="Hombre"/>
    <s v="32"/>
    <s v="Valparaíso"/>
    <x v="3"/>
    <s v="Tienda"/>
    <s v="Lavadora"/>
    <x v="1"/>
    <n v="700000"/>
    <n v="3"/>
    <n v="0"/>
    <n v="2100000"/>
    <n v="0"/>
    <n v="2100000"/>
  </r>
  <r>
    <n v="309"/>
    <x v="308"/>
    <x v="45"/>
    <n v="1"/>
    <x v="75"/>
    <x v="75"/>
    <s v="cliente191@mail.cl"/>
    <s v="Mujer"/>
    <s v="32"/>
    <s v="Talcahuano"/>
    <x v="1"/>
    <s v="Web"/>
    <s v="TV"/>
    <x v="1"/>
    <n v="650000"/>
    <n v="2"/>
    <n v="0"/>
    <n v="1300000"/>
    <n v="0"/>
    <n v="1300000"/>
  </r>
  <r>
    <n v="310"/>
    <x v="309"/>
    <x v="21"/>
    <n v="4"/>
    <x v="68"/>
    <x v="68"/>
    <s v="cliente69@mail.cl"/>
    <s v="Mujer"/>
    <s v="42"/>
    <s v="Puerto Montt"/>
    <x v="5"/>
    <s v="App"/>
    <s v="Smartphone"/>
    <x v="2"/>
    <n v="450000"/>
    <n v="2"/>
    <n v="5"/>
    <n v="900000"/>
    <n v="45000"/>
    <n v="855000"/>
  </r>
  <r>
    <n v="311"/>
    <x v="310"/>
    <x v="39"/>
    <n v="3"/>
    <x v="195"/>
    <x v="195"/>
    <s v="cliente244@mail.cl"/>
    <s v="Hombre"/>
    <s v="48"/>
    <s v="Concepción"/>
    <x v="1"/>
    <s v="Tienda"/>
    <s v="Zapatillas"/>
    <x v="4"/>
    <n v="55000"/>
    <n v="2"/>
    <n v="0"/>
    <n v="110000"/>
    <n v="0"/>
    <n v="110000"/>
  </r>
  <r>
    <n v="312"/>
    <x v="311"/>
    <x v="63"/>
    <n v="1"/>
    <x v="196"/>
    <x v="196"/>
    <s v="cliente168@mail.cl"/>
    <s v="Hombre"/>
    <s v="60"/>
    <s v="Puerto Montt"/>
    <x v="5"/>
    <s v="Web"/>
    <s v="TV"/>
    <x v="1"/>
    <n v="650000"/>
    <n v="2"/>
    <n v="0"/>
    <n v="1300000"/>
    <n v="0"/>
    <n v="1300000"/>
  </r>
  <r>
    <n v="313"/>
    <x v="312"/>
    <x v="55"/>
    <n v="1"/>
    <x v="197"/>
    <x v="197"/>
    <s v="cliente82@mail.cl"/>
    <s v="Hombre"/>
    <m/>
    <s v="Concepción"/>
    <x v="1"/>
    <s v="Tienda"/>
    <s v="Refrigerador"/>
    <x v="1"/>
    <n v="800000"/>
    <n v="3"/>
    <n v="0"/>
    <n v="2400000"/>
    <n v="0"/>
    <n v="2400000"/>
  </r>
  <r>
    <n v="314"/>
    <x v="313"/>
    <x v="38"/>
    <n v="2"/>
    <x v="198"/>
    <x v="198"/>
    <s v="cliente180@mail.cl"/>
    <s v="Hombre"/>
    <s v="70"/>
    <s v="Rancagua"/>
    <x v="7"/>
    <s v="Tienda"/>
    <s v="Perfume"/>
    <x v="0"/>
    <n v="35000"/>
    <n v="2"/>
    <n v="5"/>
    <n v="70000"/>
    <n v="3500"/>
    <n v="66500"/>
  </r>
  <r>
    <n v="315"/>
    <x v="314"/>
    <x v="6"/>
    <n v="0"/>
    <x v="179"/>
    <x v="179"/>
    <s v="cliente192@mail.cl"/>
    <s v="Mujer"/>
    <m/>
    <s v="Santiago"/>
    <x v="2"/>
    <s v="Tienda"/>
    <s v="Lavadora"/>
    <x v="1"/>
    <n v="700000"/>
    <n v="2"/>
    <n v="0"/>
    <n v="1400000"/>
    <n v="0"/>
    <n v="1400000"/>
  </r>
  <r>
    <n v="316"/>
    <x v="315"/>
    <x v="46"/>
    <n v="1"/>
    <x v="199"/>
    <x v="199"/>
    <s v="cliente106@mail.cl"/>
    <s v="Hombre"/>
    <s v="42"/>
    <s v="Antofagasta"/>
    <x v="4"/>
    <s v="App"/>
    <s v="Perfume"/>
    <x v="0"/>
    <n v="35000"/>
    <n v="3"/>
    <n v="5"/>
    <n v="105000"/>
    <n v="5250"/>
    <n v="99750"/>
  </r>
  <r>
    <n v="317"/>
    <x v="316"/>
    <x v="67"/>
    <n v="1"/>
    <x v="55"/>
    <x v="55"/>
    <s v="cliente249@mail.cl"/>
    <s v="Mujer"/>
    <s v="59"/>
    <s v="Viña del Mar"/>
    <x v="3"/>
    <s v="App"/>
    <s v="TV"/>
    <x v="1"/>
    <n v="650000"/>
    <n v="3"/>
    <n v="5"/>
    <n v="1950000"/>
    <n v="97500"/>
    <n v="1852500"/>
  </r>
  <r>
    <n v="318"/>
    <x v="317"/>
    <x v="9"/>
    <n v="0"/>
    <x v="126"/>
    <x v="126"/>
    <s v="cliente219@mail.cl"/>
    <s v="Mujer"/>
    <s v="32"/>
    <s v="Santiago"/>
    <x v="2"/>
    <s v="Tienda"/>
    <s v="Notebook"/>
    <x v="2"/>
    <n v="750000"/>
    <n v="1"/>
    <n v="0"/>
    <n v="750000"/>
    <n v="0"/>
    <n v="750000"/>
  </r>
  <r>
    <n v="319"/>
    <x v="318"/>
    <x v="28"/>
    <n v="7"/>
    <x v="195"/>
    <x v="195"/>
    <s v="cliente244@mail.cl"/>
    <s v="Hombre"/>
    <s v="48"/>
    <s v="Valparaíso"/>
    <x v="3"/>
    <s v="Tienda"/>
    <s v="Polera"/>
    <x v="3"/>
    <n v="12000"/>
    <n v="1"/>
    <n v="0"/>
    <n v="12000"/>
    <n v="0"/>
    <n v="12000"/>
  </r>
  <r>
    <n v="320"/>
    <x v="319"/>
    <x v="27"/>
    <n v="0"/>
    <x v="184"/>
    <x v="184"/>
    <s v="cliente138@mail.cl"/>
    <s v="Mujer"/>
    <s v="34"/>
    <s v="Temuco"/>
    <x v="0"/>
    <s v="App"/>
    <s v="Notebook"/>
    <x v="2"/>
    <n v="750000"/>
    <n v="3"/>
    <n v="0"/>
    <n v="2250000"/>
    <n v="0"/>
    <n v="2250000"/>
  </r>
  <r>
    <n v="321"/>
    <x v="320"/>
    <x v="29"/>
    <n v="3"/>
    <x v="75"/>
    <x v="75"/>
    <s v="cliente191@mail.cl"/>
    <s v="Mujer"/>
    <s v="32"/>
    <s v="Puerto Montt"/>
    <x v="5"/>
    <s v="Tienda"/>
    <s v="Notebook"/>
    <x v="2"/>
    <n v="750000"/>
    <n v="3"/>
    <n v="0"/>
    <n v="2250000"/>
    <n v="0"/>
    <n v="2250000"/>
  </r>
  <r>
    <n v="322"/>
    <x v="321"/>
    <x v="42"/>
    <n v="4"/>
    <x v="185"/>
    <x v="185"/>
    <s v="cliente135@mail.cl"/>
    <s v="Mujer"/>
    <s v="26"/>
    <s v="Antofagasta"/>
    <x v="4"/>
    <s v="Tienda"/>
    <s v="Maquillaje"/>
    <x v="0"/>
    <n v="15000"/>
    <n v="3"/>
    <n v="5"/>
    <n v="45000"/>
    <n v="2250"/>
    <n v="42750"/>
  </r>
  <r>
    <n v="323"/>
    <x v="322"/>
    <x v="43"/>
    <n v="0"/>
    <x v="200"/>
    <x v="200"/>
    <s v="cliente153@mail.cl"/>
    <s v="Hombre"/>
    <s v="29"/>
    <s v="Valparaíso"/>
    <x v="3"/>
    <s v="Tienda"/>
    <s v="Pantalón"/>
    <x v="3"/>
    <n v="25000"/>
    <n v="2"/>
    <n v="0"/>
    <n v="50000"/>
    <n v="0"/>
    <n v="50000"/>
  </r>
  <r>
    <n v="324"/>
    <x v="323"/>
    <x v="6"/>
    <n v="0"/>
    <x v="85"/>
    <x v="85"/>
    <s v="cliente61@mail.cl"/>
    <s v="Mujer"/>
    <s v="32"/>
    <s v="Santiago"/>
    <x v="2"/>
    <s v="App"/>
    <s v="TV"/>
    <x v="1"/>
    <n v="650000"/>
    <n v="3"/>
    <n v="0"/>
    <n v="1950000"/>
    <n v="0"/>
    <n v="1950000"/>
  </r>
  <r>
    <n v="325"/>
    <x v="324"/>
    <x v="40"/>
    <n v="1"/>
    <x v="81"/>
    <x v="81"/>
    <s v="cliente86@mail.cl"/>
    <s v="Hombre"/>
    <s v="31"/>
    <s v="Viña del Mar"/>
    <x v="3"/>
    <s v="Web"/>
    <s v="Smartphone"/>
    <x v="2"/>
    <n v="450000"/>
    <n v="1"/>
    <n v="0"/>
    <n v="450000"/>
    <n v="0"/>
    <n v="450000"/>
  </r>
  <r>
    <n v="326"/>
    <x v="325"/>
    <x v="14"/>
    <n v="9"/>
    <x v="64"/>
    <x v="64"/>
    <s v="cliente44@mail.cl"/>
    <s v="Hombre"/>
    <s v="34"/>
    <s v="Talcahuano"/>
    <x v="1"/>
    <s v="App"/>
    <s v="Lavadora"/>
    <x v="1"/>
    <n v="700000"/>
    <n v="1"/>
    <n v="5"/>
    <n v="700000"/>
    <n v="35000"/>
    <n v="665000"/>
  </r>
  <r>
    <n v="327"/>
    <x v="326"/>
    <x v="15"/>
    <n v="5"/>
    <x v="92"/>
    <x v="92"/>
    <s v="cliente228@mail.cl"/>
    <s v="Mujer"/>
    <s v="25"/>
    <s v="La Serena"/>
    <x v="6"/>
    <s v="App"/>
    <s v="Zapatillas"/>
    <x v="4"/>
    <n v="55000"/>
    <n v="1"/>
    <n v="0"/>
    <n v="55000"/>
    <n v="0"/>
    <n v="55000"/>
  </r>
  <r>
    <n v="328"/>
    <x v="327"/>
    <x v="38"/>
    <n v="2"/>
    <x v="168"/>
    <x v="168"/>
    <s v="cliente259@mail.cl"/>
    <s v="Mujer"/>
    <s v="43"/>
    <s v="Rancagua"/>
    <x v="7"/>
    <s v="Tienda"/>
    <s v="Refrigerador"/>
    <x v="1"/>
    <n v="800000"/>
    <n v="2"/>
    <n v="0"/>
    <n v="1600000"/>
    <n v="0"/>
    <n v="1600000"/>
  </r>
  <r>
    <n v="329"/>
    <x v="328"/>
    <x v="7"/>
    <n v="3"/>
    <x v="201"/>
    <x v="201"/>
    <s v="cliente111@mail.cl"/>
    <s v="Mujer"/>
    <s v="18"/>
    <s v="Concepción"/>
    <x v="1"/>
    <s v="Tienda"/>
    <s v="Zapatillas"/>
    <x v="4"/>
    <n v="55000"/>
    <n v="3"/>
    <n v="1"/>
    <n v="165000"/>
    <n v="1650"/>
    <n v="163350"/>
  </r>
  <r>
    <n v="330"/>
    <x v="329"/>
    <x v="15"/>
    <n v="5"/>
    <x v="202"/>
    <x v="202"/>
    <s v="cliente54@mail.cl"/>
    <s v="Mujer"/>
    <s v="45"/>
    <s v="La Serena"/>
    <x v="6"/>
    <s v="App"/>
    <s v="Lavadora"/>
    <x v="1"/>
    <n v="700000"/>
    <n v="1"/>
    <n v="1"/>
    <n v="700000"/>
    <n v="7000"/>
    <n v="693000"/>
  </r>
  <r>
    <n v="331"/>
    <x v="330"/>
    <x v="21"/>
    <n v="4"/>
    <x v="203"/>
    <x v="203"/>
    <s v="cliente179@mail.cl"/>
    <s v="Hombre"/>
    <s v="34"/>
    <s v="Puerto Montt"/>
    <x v="5"/>
    <s v="Tienda"/>
    <s v="Notebook"/>
    <x v="2"/>
    <n v="750000"/>
    <n v="3"/>
    <n v="1"/>
    <n v="2250000"/>
    <n v="22500"/>
    <n v="2227500"/>
  </r>
  <r>
    <n v="332"/>
    <x v="331"/>
    <x v="27"/>
    <n v="0"/>
    <x v="204"/>
    <x v="204"/>
    <s v="cliente49@mail.cl"/>
    <s v="Hombre"/>
    <s v="42"/>
    <s v="Temuco"/>
    <x v="0"/>
    <s v="App"/>
    <s v="Lavadora"/>
    <x v="1"/>
    <n v="700000"/>
    <n v="2"/>
    <n v="0"/>
    <n v="1400000"/>
    <n v="0"/>
    <n v="1400000"/>
  </r>
  <r>
    <n v="333"/>
    <x v="332"/>
    <x v="46"/>
    <n v="1"/>
    <x v="88"/>
    <x v="88"/>
    <s v="cliente105@mail.cl"/>
    <s v="Hombre"/>
    <s v="36"/>
    <s v="Antofagasta"/>
    <x v="4"/>
    <s v="Tienda"/>
    <s v="Pantalón"/>
    <x v="3"/>
    <n v="25000"/>
    <n v="3"/>
    <n v="5"/>
    <n v="75000"/>
    <n v="3750"/>
    <n v="71250"/>
  </r>
  <r>
    <n v="334"/>
    <x v="333"/>
    <x v="27"/>
    <n v="0"/>
    <x v="205"/>
    <x v="205"/>
    <s v="cliente98@mail.cl"/>
    <s v="Hombre"/>
    <s v="41"/>
    <s v="Temuco"/>
    <x v="0"/>
    <s v="Tienda"/>
    <s v="Refrigerador"/>
    <x v="1"/>
    <n v="800000"/>
    <n v="3"/>
    <n v="0"/>
    <n v="2400000"/>
    <n v="0"/>
    <n v="2400000"/>
  </r>
  <r>
    <n v="335"/>
    <x v="334"/>
    <x v="45"/>
    <n v="1"/>
    <x v="94"/>
    <x v="94"/>
    <s v="cliente75@mail.cl"/>
    <s v="Hombre"/>
    <s v="18"/>
    <s v="Talcahuano"/>
    <x v="1"/>
    <s v="Tienda"/>
    <s v="Smartphone"/>
    <x v="2"/>
    <n v="450000"/>
    <n v="3"/>
    <n v="5"/>
    <n v="1350000"/>
    <n v="67500"/>
    <n v="1282500"/>
  </r>
  <r>
    <n v="336"/>
    <x v="335"/>
    <x v="34"/>
    <n v="1"/>
    <x v="29"/>
    <x v="29"/>
    <s v="cliente122@mail.cl"/>
    <s v="Mujer"/>
    <s v="27"/>
    <s v="Viña del Mar"/>
    <x v="3"/>
    <s v="Web"/>
    <s v="Refrigerador"/>
    <x v="1"/>
    <n v="800000"/>
    <n v="1"/>
    <n v="1"/>
    <n v="800000"/>
    <n v="8000"/>
    <n v="792000"/>
  </r>
  <r>
    <n v="337"/>
    <x v="336"/>
    <x v="51"/>
    <n v="6"/>
    <x v="75"/>
    <x v="75"/>
    <s v="cliente191@mail.cl"/>
    <s v="Mujer"/>
    <s v="32"/>
    <s v="Rancagua"/>
    <x v="7"/>
    <s v="Web"/>
    <s v="TV"/>
    <x v="1"/>
    <n v="650000"/>
    <n v="1"/>
    <n v="0"/>
    <n v="650000"/>
    <n v="0"/>
    <n v="650000"/>
  </r>
  <r>
    <n v="338"/>
    <x v="337"/>
    <x v="38"/>
    <n v="2"/>
    <x v="195"/>
    <x v="195"/>
    <s v="cliente244@mail.cl"/>
    <s v="Hombre"/>
    <s v="48"/>
    <s v="Rancagua"/>
    <x v="7"/>
    <s v="Web"/>
    <s v="Polera"/>
    <x v="3"/>
    <n v="12000"/>
    <n v="3"/>
    <n v="0"/>
    <n v="36000"/>
    <n v="0"/>
    <n v="36000"/>
  </r>
  <r>
    <n v="339"/>
    <x v="338"/>
    <x v="38"/>
    <n v="2"/>
    <x v="206"/>
    <x v="206"/>
    <s v="cliente210@mail.cl"/>
    <s v="Hombre"/>
    <s v="75"/>
    <s v="Rancagua"/>
    <x v="7"/>
    <s v="Web"/>
    <s v="Smartphone"/>
    <x v="2"/>
    <n v="450000"/>
    <n v="2"/>
    <n v="0"/>
    <n v="900000"/>
    <n v="0"/>
    <n v="900000"/>
  </r>
  <r>
    <n v="340"/>
    <x v="339"/>
    <x v="41"/>
    <n v="8"/>
    <x v="138"/>
    <x v="138"/>
    <s v="cliente62@mail.cl"/>
    <s v="Mujer"/>
    <s v="35"/>
    <s v="Concepción"/>
    <x v="1"/>
    <s v="App"/>
    <s v="Polera"/>
    <x v="3"/>
    <n v="12000"/>
    <n v="1"/>
    <n v="1"/>
    <n v="12000"/>
    <n v="120"/>
    <n v="11880"/>
  </r>
  <r>
    <n v="341"/>
    <x v="340"/>
    <x v="22"/>
    <n v="5"/>
    <x v="42"/>
    <x v="42"/>
    <s v="cliente68@mail.cl"/>
    <s v="Hombre"/>
    <s v="50"/>
    <s v="Rancagua"/>
    <x v="7"/>
    <s v="App"/>
    <s v="Maquillaje"/>
    <x v="0"/>
    <n v="15000"/>
    <n v="1"/>
    <n v="0"/>
    <n v="15000"/>
    <n v="0"/>
    <n v="15000"/>
  </r>
  <r>
    <n v="342"/>
    <x v="341"/>
    <x v="63"/>
    <n v="1"/>
    <x v="207"/>
    <x v="207"/>
    <s v="cliente270@mail.cl"/>
    <s v="Hombre"/>
    <s v="39"/>
    <s v="Puerto Montt"/>
    <x v="5"/>
    <s v="Tienda"/>
    <s v="Lavadora"/>
    <x v="1"/>
    <n v="700000"/>
    <n v="3"/>
    <n v="0"/>
    <n v="2100000"/>
    <n v="0"/>
    <n v="2100000"/>
  </r>
  <r>
    <n v="343"/>
    <x v="342"/>
    <x v="42"/>
    <n v="4"/>
    <x v="208"/>
    <x v="208"/>
    <s v="cliente158@mail.cl"/>
    <s v="Hombre"/>
    <s v="43"/>
    <s v="Antofagasta"/>
    <x v="4"/>
    <s v="Web"/>
    <s v="Lavadora"/>
    <x v="1"/>
    <n v="700000"/>
    <n v="2"/>
    <n v="0"/>
    <n v="1400000"/>
    <n v="0"/>
    <n v="1400000"/>
  </r>
  <r>
    <n v="344"/>
    <x v="343"/>
    <x v="13"/>
    <n v="5"/>
    <x v="209"/>
    <x v="209"/>
    <s v="cliente265@mail.cl"/>
    <s v="Mujer"/>
    <s v="34"/>
    <s v="Puerto Montt"/>
    <x v="5"/>
    <s v="Tienda"/>
    <s v="TV"/>
    <x v="1"/>
    <n v="650000"/>
    <n v="1"/>
    <n v="5"/>
    <n v="650000"/>
    <n v="32500"/>
    <n v="617500"/>
  </r>
  <r>
    <n v="345"/>
    <x v="344"/>
    <x v="56"/>
    <n v="5"/>
    <x v="180"/>
    <x v="180"/>
    <s v="cliente139@mail.cl"/>
    <s v="Hombre"/>
    <s v="47"/>
    <s v="Viña del Mar"/>
    <x v="3"/>
    <s v="Tienda"/>
    <s v="Zapatillas"/>
    <x v="4"/>
    <n v="55000"/>
    <n v="2"/>
    <n v="1"/>
    <n v="110000"/>
    <n v="1100"/>
    <n v="108900"/>
  </r>
  <r>
    <n v="346"/>
    <x v="345"/>
    <x v="27"/>
    <n v="0"/>
    <x v="24"/>
    <x v="24"/>
    <s v="cliente132@mail.cl"/>
    <s v="Mujer"/>
    <s v="38"/>
    <s v="Temuco"/>
    <x v="0"/>
    <s v="Tienda"/>
    <s v="Perfume"/>
    <x v="0"/>
    <n v="35000"/>
    <n v="1"/>
    <n v="5"/>
    <n v="35000"/>
    <n v="1750"/>
    <n v="33250"/>
  </r>
  <r>
    <n v="347"/>
    <x v="346"/>
    <x v="64"/>
    <n v="8"/>
    <x v="150"/>
    <x v="150"/>
    <s v="cliente36@mail.cl"/>
    <s v="Mujer"/>
    <s v="23"/>
    <s v="Santiago"/>
    <x v="2"/>
    <s v="Web"/>
    <s v="Lavadora"/>
    <x v="1"/>
    <n v="700000"/>
    <n v="2"/>
    <n v="5"/>
    <n v="1400000"/>
    <n v="70000"/>
    <n v="1330000"/>
  </r>
  <r>
    <n v="348"/>
    <x v="347"/>
    <x v="18"/>
    <n v="0"/>
    <x v="210"/>
    <x v="210"/>
    <s v="cliente250@mail.cl"/>
    <s v="Mujer"/>
    <s v="42"/>
    <s v="Talcahuano"/>
    <x v="1"/>
    <s v="Tienda"/>
    <s v="Lavadora"/>
    <x v="1"/>
    <n v="700000"/>
    <n v="1"/>
    <n v="0"/>
    <n v="700000"/>
    <n v="0"/>
    <n v="700000"/>
  </r>
  <r>
    <n v="349"/>
    <x v="348"/>
    <x v="22"/>
    <n v="5"/>
    <x v="109"/>
    <x v="109"/>
    <s v="cliente188@mail.cl"/>
    <s v="Mujer"/>
    <s v="37"/>
    <s v="Rancagua"/>
    <x v="7"/>
    <s v="App"/>
    <s v="Lavadora"/>
    <x v="1"/>
    <n v="700000"/>
    <n v="3"/>
    <n v="5"/>
    <n v="2100000"/>
    <n v="105000"/>
    <n v="1995000"/>
  </r>
  <r>
    <n v="350"/>
    <x v="349"/>
    <x v="68"/>
    <n v="8"/>
    <x v="183"/>
    <x v="183"/>
    <s v="cliente264@mail.cl"/>
    <s v="Mujer"/>
    <s v="25"/>
    <s v="Valparaíso"/>
    <x v="3"/>
    <s v="Web"/>
    <s v="Notebook"/>
    <x v="2"/>
    <n v="750000"/>
    <n v="3"/>
    <n v="1"/>
    <n v="2250000"/>
    <n v="22500"/>
    <n v="2227500"/>
  </r>
  <r>
    <n v="351"/>
    <x v="350"/>
    <x v="27"/>
    <n v="0"/>
    <x v="211"/>
    <x v="211"/>
    <s v="cliente124@mail.cl"/>
    <s v="Mujer"/>
    <s v="21"/>
    <s v="Temuco"/>
    <x v="0"/>
    <s v="Tienda"/>
    <s v="Refrigerador"/>
    <x v="1"/>
    <n v="800000"/>
    <n v="1"/>
    <n v="5"/>
    <n v="800000"/>
    <n v="40000"/>
    <n v="760000"/>
  </r>
  <r>
    <n v="352"/>
    <x v="351"/>
    <x v="64"/>
    <n v="8"/>
    <x v="192"/>
    <x v="192"/>
    <s v="cliente5@mail.cl"/>
    <s v="Hombre"/>
    <s v="35"/>
    <s v="Santiago"/>
    <x v="2"/>
    <s v="App"/>
    <s v="Smartphone"/>
    <x v="2"/>
    <n v="450000"/>
    <n v="1"/>
    <n v="5"/>
    <n v="450000"/>
    <n v="22500"/>
    <n v="427500"/>
  </r>
  <r>
    <n v="353"/>
    <x v="352"/>
    <x v="37"/>
    <n v="6"/>
    <x v="4"/>
    <x v="4"/>
    <s v="cliente218@mail.cl"/>
    <s v="Mujer"/>
    <s v="35"/>
    <s v="Valparaíso"/>
    <x v="3"/>
    <s v="Tienda"/>
    <s v="Pantalón"/>
    <x v="3"/>
    <n v="25000"/>
    <n v="1"/>
    <n v="0"/>
    <n v="25000"/>
    <n v="0"/>
    <n v="25000"/>
  </r>
  <r>
    <n v="354"/>
    <x v="353"/>
    <x v="60"/>
    <n v="2"/>
    <x v="139"/>
    <x v="139"/>
    <s v="cliente12@mail.cl"/>
    <s v="Mujer"/>
    <s v="32"/>
    <s v="Talcahuano"/>
    <x v="1"/>
    <s v="Tienda"/>
    <s v="TV"/>
    <x v="1"/>
    <n v="650000"/>
    <n v="3"/>
    <n v="0"/>
    <n v="1950000"/>
    <n v="0"/>
    <n v="1950000"/>
  </r>
  <r>
    <n v="355"/>
    <x v="354"/>
    <x v="59"/>
    <n v="1"/>
    <x v="212"/>
    <x v="212"/>
    <s v="cliente94@mail.cl"/>
    <s v="Hombre"/>
    <s v="34"/>
    <s v="Puerto Montt"/>
    <x v="5"/>
    <s v="Web"/>
    <s v="Smartphone"/>
    <x v="2"/>
    <n v="450000"/>
    <n v="1"/>
    <n v="0"/>
    <n v="450000"/>
    <n v="0"/>
    <n v="450000"/>
  </r>
  <r>
    <n v="356"/>
    <x v="355"/>
    <x v="30"/>
    <n v="0"/>
    <x v="177"/>
    <x v="177"/>
    <s v="cliente91@mail.cl"/>
    <s v="Hombre"/>
    <s v="39"/>
    <s v="Concepción"/>
    <x v="1"/>
    <s v="Web"/>
    <s v="Refrigerador"/>
    <x v="1"/>
    <n v="800000"/>
    <n v="2"/>
    <n v="0"/>
    <n v="1600000"/>
    <n v="0"/>
    <n v="1600000"/>
  </r>
  <r>
    <n v="357"/>
    <x v="356"/>
    <x v="9"/>
    <n v="0"/>
    <x v="213"/>
    <x v="213"/>
    <s v="cliente113@mail.cl"/>
    <s v="Mujer"/>
    <s v="38"/>
    <s v="Santiago"/>
    <x v="2"/>
    <s v="Web"/>
    <s v="TV"/>
    <x v="1"/>
    <n v="650000"/>
    <n v="1"/>
    <n v="0"/>
    <n v="650000"/>
    <n v="0"/>
    <n v="650000"/>
  </r>
  <r>
    <n v="358"/>
    <x v="357"/>
    <x v="29"/>
    <n v="3"/>
    <x v="214"/>
    <x v="214"/>
    <s v="cliente277@mail.cl"/>
    <s v="Mujer"/>
    <s v="40"/>
    <s v="Puerto Montt"/>
    <x v="5"/>
    <s v="Web"/>
    <s v="Notebook"/>
    <x v="2"/>
    <n v="750000"/>
    <n v="2"/>
    <n v="5"/>
    <n v="1500000"/>
    <n v="75000"/>
    <n v="1425000"/>
  </r>
  <r>
    <n v="359"/>
    <x v="358"/>
    <x v="68"/>
    <n v="8"/>
    <x v="32"/>
    <x v="32"/>
    <s v="cliente2@mail.cl"/>
    <s v="Hombre"/>
    <s v="36"/>
    <s v="Valparaíso"/>
    <x v="3"/>
    <s v="Web"/>
    <s v="Smartphone"/>
    <x v="2"/>
    <n v="450000"/>
    <n v="2"/>
    <n v="1"/>
    <n v="900000"/>
    <n v="9000"/>
    <n v="891000"/>
  </r>
  <r>
    <n v="360"/>
    <x v="359"/>
    <x v="50"/>
    <n v="6"/>
    <x v="215"/>
    <x v="215"/>
    <s v="cliente84@mail.cl"/>
    <s v="Mujer"/>
    <s v="31"/>
    <s v="Antofagasta"/>
    <x v="4"/>
    <s v="Tienda"/>
    <s v="Notebook"/>
    <x v="2"/>
    <n v="750000"/>
    <n v="2"/>
    <n v="1"/>
    <n v="1500000"/>
    <n v="15000"/>
    <n v="1485000"/>
  </r>
  <r>
    <n v="361"/>
    <x v="360"/>
    <x v="8"/>
    <n v="2"/>
    <x v="67"/>
    <x v="67"/>
    <s v="cliente26@mail.cl"/>
    <s v="Mujer"/>
    <s v="39"/>
    <s v="Concepción"/>
    <x v="1"/>
    <s v="Tienda"/>
    <s v="Maquillaje"/>
    <x v="0"/>
    <n v="15000"/>
    <n v="2"/>
    <n v="0"/>
    <n v="30000"/>
    <n v="0"/>
    <n v="30000"/>
  </r>
  <r>
    <n v="362"/>
    <x v="361"/>
    <x v="13"/>
    <n v="5"/>
    <x v="205"/>
    <x v="205"/>
    <s v="cliente98@mail.cl"/>
    <s v="Hombre"/>
    <s v="41"/>
    <s v="Puerto Montt"/>
    <x v="5"/>
    <s v="Web"/>
    <s v="Perfume"/>
    <x v="0"/>
    <n v="35000"/>
    <n v="2"/>
    <n v="0"/>
    <n v="70000"/>
    <n v="0"/>
    <n v="70000"/>
  </r>
  <r>
    <n v="363"/>
    <x v="362"/>
    <x v="24"/>
    <n v="0"/>
    <x v="213"/>
    <x v="213"/>
    <s v="cliente113@mail.cl"/>
    <s v="Mujer"/>
    <s v="38"/>
    <s v="Rancagua"/>
    <x v="7"/>
    <s v="Tienda"/>
    <s v="Smartphone"/>
    <x v="2"/>
    <n v="450000"/>
    <n v="1"/>
    <n v="1"/>
    <n v="450000"/>
    <n v="4500"/>
    <n v="445500"/>
  </r>
  <r>
    <n v="364"/>
    <x v="363"/>
    <x v="65"/>
    <n v="1"/>
    <x v="31"/>
    <x v="31"/>
    <s v="cliente43@mail.cl"/>
    <s v="Hombre"/>
    <s v="36"/>
    <s v="Puerto Montt"/>
    <x v="5"/>
    <s v="Web"/>
    <s v="Polera"/>
    <x v="3"/>
    <n v="12000"/>
    <n v="1"/>
    <n v="1"/>
    <n v="12000"/>
    <n v="120"/>
    <n v="11880"/>
  </r>
  <r>
    <n v="365"/>
    <x v="364"/>
    <x v="0"/>
    <n v="0"/>
    <x v="216"/>
    <x v="216"/>
    <s v="cliente240@mail.cl"/>
    <s v="Hombre"/>
    <s v="48"/>
    <s v="Temuco"/>
    <x v="0"/>
    <s v="Web"/>
    <s v="Zapatillas"/>
    <x v="4"/>
    <n v="55000"/>
    <n v="3"/>
    <n v="5"/>
    <n v="165000"/>
    <n v="8250"/>
    <n v="156750"/>
  </r>
  <r>
    <n v="366"/>
    <x v="365"/>
    <x v="39"/>
    <n v="3"/>
    <x v="10"/>
    <x v="10"/>
    <s v="cliente136@mail.cl"/>
    <s v="Mujer"/>
    <s v="56"/>
    <s v="Concepción"/>
    <x v="1"/>
    <s v="Tienda"/>
    <s v="Maquillaje"/>
    <x v="0"/>
    <n v="15000"/>
    <n v="3"/>
    <n v="5"/>
    <n v="45000"/>
    <n v="2250"/>
    <n v="42750"/>
  </r>
  <r>
    <n v="367"/>
    <x v="366"/>
    <x v="18"/>
    <n v="0"/>
    <x v="76"/>
    <x v="76"/>
    <s v="cliente58@mail.cl"/>
    <s v="Hombre"/>
    <s v="34"/>
    <s v="Talcahuano"/>
    <x v="1"/>
    <s v="Tienda"/>
    <s v="Smartphone"/>
    <x v="2"/>
    <n v="450000"/>
    <n v="1"/>
    <n v="5"/>
    <n v="450000"/>
    <n v="22500"/>
    <n v="427500"/>
  </r>
  <r>
    <n v="368"/>
    <x v="367"/>
    <x v="36"/>
    <n v="1"/>
    <x v="31"/>
    <x v="31"/>
    <s v="cliente43@mail.cl"/>
    <s v="Hombre"/>
    <s v="36"/>
    <s v="Talcahuano"/>
    <x v="1"/>
    <s v="Tienda"/>
    <s v="TV"/>
    <x v="1"/>
    <n v="650000"/>
    <n v="3"/>
    <n v="0"/>
    <n v="1950000"/>
    <n v="0"/>
    <n v="1950000"/>
  </r>
  <r>
    <n v="369"/>
    <x v="368"/>
    <x v="40"/>
    <n v="1"/>
    <x v="39"/>
    <x v="39"/>
    <s v="cliente238@mail.cl"/>
    <s v="Hombre"/>
    <s v="40"/>
    <s v="Viña del Mar"/>
    <x v="3"/>
    <s v="Tienda"/>
    <s v="Maquillaje"/>
    <x v="0"/>
    <n v="15000"/>
    <n v="1"/>
    <n v="0"/>
    <n v="15000"/>
    <n v="0"/>
    <n v="15000"/>
  </r>
  <r>
    <n v="370"/>
    <x v="369"/>
    <x v="22"/>
    <n v="5"/>
    <x v="51"/>
    <x v="51"/>
    <s v="cliente261@mail.cl"/>
    <s v="Hombre"/>
    <s v="26"/>
    <s v="Rancagua"/>
    <x v="7"/>
    <s v="Web"/>
    <s v="Polera"/>
    <x v="3"/>
    <n v="12000"/>
    <n v="1"/>
    <n v="0"/>
    <n v="12000"/>
    <n v="0"/>
    <n v="12000"/>
  </r>
  <r>
    <n v="371"/>
    <x v="370"/>
    <x v="53"/>
    <n v="0"/>
    <x v="217"/>
    <x v="217"/>
    <s v="cliente83@mail.cl"/>
    <s v="Hombre"/>
    <s v="55"/>
    <s v="Talcahuano"/>
    <x v="1"/>
    <s v="Web"/>
    <s v="Perfume"/>
    <x v="0"/>
    <n v="35000"/>
    <n v="1"/>
    <n v="0"/>
    <n v="35000"/>
    <n v="0"/>
    <n v="35000"/>
  </r>
  <r>
    <n v="372"/>
    <x v="371"/>
    <x v="5"/>
    <n v="0"/>
    <x v="6"/>
    <x v="6"/>
    <s v="cliente160@mail.cl"/>
    <s v="Mujer"/>
    <s v="45"/>
    <s v="Santiago"/>
    <x v="2"/>
    <s v="Web"/>
    <s v="Polera"/>
    <x v="3"/>
    <n v="12000"/>
    <n v="3"/>
    <n v="0"/>
    <n v="36000"/>
    <n v="0"/>
    <n v="36000"/>
  </r>
  <r>
    <n v="373"/>
    <x v="372"/>
    <x v="43"/>
    <n v="0"/>
    <x v="146"/>
    <x v="146"/>
    <s v="cliente166@mail.cl"/>
    <s v="Mujer"/>
    <s v="42"/>
    <s v="Valparaíso"/>
    <x v="3"/>
    <s v="Tienda"/>
    <s v="Lavadora"/>
    <x v="1"/>
    <n v="700000"/>
    <n v="3"/>
    <n v="5"/>
    <n v="2100000"/>
    <n v="105000"/>
    <n v="1995000"/>
  </r>
  <r>
    <n v="374"/>
    <x v="373"/>
    <x v="31"/>
    <n v="5"/>
    <x v="120"/>
    <x v="120"/>
    <s v="cliente229@mail.cl"/>
    <s v="Hombre"/>
    <s v="29"/>
    <s v="Puerto Montt"/>
    <x v="5"/>
    <s v="Web"/>
    <s v="Polera"/>
    <x v="3"/>
    <n v="12000"/>
    <n v="2"/>
    <n v="5"/>
    <n v="24000"/>
    <n v="1200"/>
    <n v="22800"/>
  </r>
  <r>
    <n v="375"/>
    <x v="374"/>
    <x v="45"/>
    <n v="1"/>
    <x v="218"/>
    <x v="218"/>
    <s v="cliente20@mail.cl"/>
    <s v="Hombre"/>
    <s v="21"/>
    <s v="Talcahuano"/>
    <x v="1"/>
    <s v="Web"/>
    <s v="Perfume"/>
    <x v="0"/>
    <n v="35000"/>
    <n v="1"/>
    <n v="0"/>
    <n v="35000"/>
    <n v="0"/>
    <n v="35000"/>
  </r>
  <r>
    <n v="376"/>
    <x v="375"/>
    <x v="49"/>
    <n v="0"/>
    <x v="219"/>
    <x v="219"/>
    <s v="cliente85@mail.cl"/>
    <s v="Hombre"/>
    <s v="28"/>
    <s v="Santiago"/>
    <x v="2"/>
    <s v="Tienda"/>
    <s v="Notebook"/>
    <x v="2"/>
    <n v="750000"/>
    <n v="2"/>
    <n v="0"/>
    <n v="1500000"/>
    <n v="0"/>
    <n v="1500000"/>
  </r>
  <r>
    <n v="377"/>
    <x v="376"/>
    <x v="61"/>
    <n v="4"/>
    <x v="56"/>
    <x v="56"/>
    <s v="cliente184@mail.cl"/>
    <s v="Hombre"/>
    <s v="43"/>
    <s v="Viña del Mar"/>
    <x v="3"/>
    <s v="App"/>
    <s v="Pantalón"/>
    <x v="3"/>
    <n v="25000"/>
    <n v="3"/>
    <n v="1"/>
    <n v="75000"/>
    <n v="750"/>
    <n v="74250"/>
  </r>
  <r>
    <n v="378"/>
    <x v="377"/>
    <x v="59"/>
    <n v="1"/>
    <x v="112"/>
    <x v="112"/>
    <s v="cliente142@mail.cl"/>
    <s v="Hombre"/>
    <s v="53"/>
    <s v="Puerto Montt"/>
    <x v="5"/>
    <s v="Tienda"/>
    <s v="Maquillaje"/>
    <x v="0"/>
    <n v="15000"/>
    <n v="2"/>
    <n v="5"/>
    <n v="30000"/>
    <n v="1500"/>
    <n v="28500"/>
  </r>
  <r>
    <n v="379"/>
    <x v="378"/>
    <x v="1"/>
    <n v="0"/>
    <x v="220"/>
    <x v="220"/>
    <s v="cliente96@mail.cl"/>
    <s v="Hombre"/>
    <s v="20"/>
    <s v="Talcahuano"/>
    <x v="1"/>
    <s v="Tienda"/>
    <s v="Refrigerador"/>
    <x v="1"/>
    <n v="800000"/>
    <n v="2"/>
    <n v="1"/>
    <n v="1600000"/>
    <n v="16000"/>
    <n v="1584000"/>
  </r>
  <r>
    <n v="380"/>
    <x v="379"/>
    <x v="2"/>
    <n v="2"/>
    <x v="207"/>
    <x v="207"/>
    <s v="cliente270@mail.cl"/>
    <s v="Hombre"/>
    <s v="39"/>
    <s v="Santiago"/>
    <x v="2"/>
    <s v="Tienda"/>
    <s v="Maquillaje"/>
    <x v="0"/>
    <n v="15000"/>
    <n v="2"/>
    <n v="0"/>
    <n v="30000"/>
    <n v="0"/>
    <n v="30000"/>
  </r>
  <r>
    <n v="381"/>
    <x v="380"/>
    <x v="46"/>
    <n v="1"/>
    <x v="221"/>
    <x v="221"/>
    <s v="cliente230@mail.cl"/>
    <s v="Hombre"/>
    <s v="46"/>
    <s v="Antofagasta"/>
    <x v="4"/>
    <s v="Tienda"/>
    <s v="Pantalón"/>
    <x v="3"/>
    <n v="25000"/>
    <n v="3"/>
    <n v="0"/>
    <n v="75000"/>
    <n v="0"/>
    <n v="75000"/>
  </r>
  <r>
    <n v="382"/>
    <x v="381"/>
    <x v="52"/>
    <n v="1"/>
    <x v="113"/>
    <x v="113"/>
    <s v="cliente22@mail.cl"/>
    <s v="Hombre"/>
    <s v="35"/>
    <s v="Viña del Mar"/>
    <x v="3"/>
    <s v="Tienda"/>
    <s v="Notebook"/>
    <x v="2"/>
    <n v="750000"/>
    <n v="3"/>
    <n v="0"/>
    <n v="2250000"/>
    <n v="0"/>
    <n v="2250000"/>
  </r>
  <r>
    <n v="383"/>
    <x v="382"/>
    <x v="41"/>
    <n v="8"/>
    <x v="174"/>
    <x v="174"/>
    <s v="cliente21@mail.cl"/>
    <s v="Hombre"/>
    <s v="55"/>
    <s v="Concepción"/>
    <x v="1"/>
    <s v="Web"/>
    <s v="Notebook"/>
    <x v="2"/>
    <n v="750000"/>
    <n v="2"/>
    <n v="0"/>
    <n v="1500000"/>
    <n v="0"/>
    <n v="1500000"/>
  </r>
  <r>
    <n v="384"/>
    <x v="383"/>
    <x v="5"/>
    <n v="0"/>
    <x v="222"/>
    <x v="222"/>
    <s v="cliente112@mail.cl"/>
    <s v="Hombre"/>
    <s v="37"/>
    <s v="Santiago"/>
    <x v="2"/>
    <s v="Tienda"/>
    <s v="Maquillaje"/>
    <x v="0"/>
    <n v="15000"/>
    <n v="1"/>
    <n v="0"/>
    <n v="15000"/>
    <n v="0"/>
    <n v="15000"/>
  </r>
  <r>
    <n v="385"/>
    <x v="384"/>
    <x v="50"/>
    <n v="6"/>
    <x v="67"/>
    <x v="67"/>
    <s v="cliente26@mail.cl"/>
    <s v="Mujer"/>
    <s v="39"/>
    <s v="Antofagasta"/>
    <x v="4"/>
    <s v="Web"/>
    <s v="Refrigerador"/>
    <x v="1"/>
    <n v="800000"/>
    <n v="2"/>
    <n v="0"/>
    <n v="1600000"/>
    <n v="0"/>
    <n v="1600000"/>
  </r>
  <r>
    <n v="386"/>
    <x v="385"/>
    <x v="23"/>
    <n v="2"/>
    <x v="223"/>
    <x v="223"/>
    <s v="cliente141@mail.cl"/>
    <s v="Mujer"/>
    <s v="40"/>
    <s v="Talcahuano"/>
    <x v="1"/>
    <s v="Tienda"/>
    <s v="Smartphone"/>
    <x v="2"/>
    <n v="450000"/>
    <n v="3"/>
    <n v="5"/>
    <n v="1350000"/>
    <n v="67500"/>
    <n v="1282500"/>
  </r>
  <r>
    <n v="387"/>
    <x v="386"/>
    <x v="45"/>
    <n v="1"/>
    <x v="73"/>
    <x v="73"/>
    <s v="cliente80@mail.cl"/>
    <s v="Mujer"/>
    <s v="18"/>
    <s v="Talcahuano"/>
    <x v="1"/>
    <s v="Web"/>
    <s v="Zapatillas"/>
    <x v="4"/>
    <n v="55000"/>
    <n v="1"/>
    <n v="5"/>
    <n v="55000"/>
    <n v="2750"/>
    <n v="52250"/>
  </r>
  <r>
    <n v="388"/>
    <x v="387"/>
    <x v="68"/>
    <n v="8"/>
    <x v="123"/>
    <x v="123"/>
    <s v="cliente9@mail.cl"/>
    <s v="Mujer"/>
    <s v="32"/>
    <s v="Valparaíso"/>
    <x v="3"/>
    <s v="Tienda"/>
    <s v="Refrigerador"/>
    <x v="1"/>
    <n v="800000"/>
    <n v="3"/>
    <n v="0"/>
    <n v="2400000"/>
    <n v="0"/>
    <n v="2400000"/>
  </r>
  <r>
    <n v="389"/>
    <x v="388"/>
    <x v="1"/>
    <n v="0"/>
    <x v="26"/>
    <x v="26"/>
    <s v="cliente252@mail.cl"/>
    <s v="Mujer"/>
    <s v="49"/>
    <s v="Talcahuano"/>
    <x v="1"/>
    <s v="Tienda"/>
    <s v="Zapatillas"/>
    <x v="4"/>
    <n v="55000"/>
    <n v="1"/>
    <n v="0"/>
    <n v="55000"/>
    <n v="0"/>
    <n v="55000"/>
  </r>
  <r>
    <n v="390"/>
    <x v="389"/>
    <x v="65"/>
    <n v="1"/>
    <x v="129"/>
    <x v="129"/>
    <s v="cliente211@mail.cl"/>
    <s v="Hombre"/>
    <s v="44"/>
    <s v="Puerto Montt"/>
    <x v="5"/>
    <s v="App"/>
    <s v="Pantalón"/>
    <x v="3"/>
    <n v="25000"/>
    <n v="2"/>
    <n v="0"/>
    <n v="50000"/>
    <n v="0"/>
    <n v="50000"/>
  </r>
  <r>
    <n v="391"/>
    <x v="390"/>
    <x v="20"/>
    <n v="6"/>
    <x v="52"/>
    <x v="52"/>
    <s v="cliente167@mail.cl"/>
    <s v="Mujer"/>
    <s v="47"/>
    <s v="Talcahuano"/>
    <x v="1"/>
    <s v="Web"/>
    <s v="Zapatillas"/>
    <x v="4"/>
    <n v="55000"/>
    <n v="1"/>
    <n v="0"/>
    <n v="55000"/>
    <n v="0"/>
    <n v="55000"/>
  </r>
  <r>
    <n v="392"/>
    <x v="391"/>
    <x v="0"/>
    <n v="0"/>
    <x v="95"/>
    <x v="95"/>
    <s v="cliente109@mail.cl"/>
    <s v="Hombre"/>
    <s v="41"/>
    <s v="Temuco"/>
    <x v="0"/>
    <s v="App"/>
    <s v="Maquillaje"/>
    <x v="0"/>
    <n v="15000"/>
    <n v="1"/>
    <n v="0"/>
    <n v="15000"/>
    <n v="0"/>
    <n v="15000"/>
  </r>
  <r>
    <n v="393"/>
    <x v="392"/>
    <x v="1"/>
    <n v="0"/>
    <x v="69"/>
    <x v="69"/>
    <s v="cliente137@mail.cl"/>
    <s v="Hombre"/>
    <s v="28"/>
    <s v="Talcahuano"/>
    <x v="1"/>
    <s v="Web"/>
    <s v="Notebook"/>
    <x v="2"/>
    <n v="750000"/>
    <n v="3"/>
    <n v="1"/>
    <n v="2250000"/>
    <n v="22500"/>
    <n v="2227500"/>
  </r>
  <r>
    <n v="394"/>
    <x v="393"/>
    <x v="56"/>
    <n v="5"/>
    <x v="65"/>
    <x v="65"/>
    <s v="cliente165@mail.cl"/>
    <s v="Mujer"/>
    <s v="49"/>
    <s v="Viña del Mar"/>
    <x v="3"/>
    <s v="App"/>
    <s v="Polera"/>
    <x v="3"/>
    <n v="12000"/>
    <n v="2"/>
    <n v="0"/>
    <n v="24000"/>
    <n v="0"/>
    <n v="24000"/>
  </r>
  <r>
    <n v="395"/>
    <x v="394"/>
    <x v="3"/>
    <n v="1"/>
    <x v="217"/>
    <x v="217"/>
    <s v="cliente83@mail.cl"/>
    <s v="Hombre"/>
    <s v="55"/>
    <s v="Valparaíso"/>
    <x v="3"/>
    <s v="App"/>
    <s v="Maquillaje"/>
    <x v="0"/>
    <n v="15000"/>
    <n v="3"/>
    <n v="0"/>
    <n v="45000"/>
    <n v="0"/>
    <n v="45000"/>
  </r>
  <r>
    <n v="396"/>
    <x v="395"/>
    <x v="13"/>
    <n v="5"/>
    <x v="39"/>
    <x v="39"/>
    <s v="cliente238@mail.cl"/>
    <s v="Hombre"/>
    <s v="40"/>
    <s v="Puerto Montt"/>
    <x v="5"/>
    <s v="Tienda"/>
    <s v="Zapatillas"/>
    <x v="4"/>
    <n v="55000"/>
    <n v="1"/>
    <n v="0"/>
    <n v="55000"/>
    <n v="0"/>
    <n v="55000"/>
  </r>
  <r>
    <n v="397"/>
    <x v="396"/>
    <x v="66"/>
    <n v="7"/>
    <x v="3"/>
    <x v="3"/>
    <s v="cliente65@mail.cl"/>
    <s v="Hombre"/>
    <s v="47"/>
    <s v="Antofagasta"/>
    <x v="4"/>
    <s v="Web"/>
    <s v="TV"/>
    <x v="1"/>
    <n v="650000"/>
    <n v="3"/>
    <n v="5"/>
    <n v="1950000"/>
    <n v="97500"/>
    <n v="1852500"/>
  </r>
  <r>
    <n v="398"/>
    <x v="397"/>
    <x v="33"/>
    <n v="4"/>
    <x v="198"/>
    <x v="198"/>
    <s v="cliente180@mail.cl"/>
    <s v="Hombre"/>
    <s v="70"/>
    <s v="Temuco"/>
    <x v="0"/>
    <s v="Web"/>
    <s v="Notebook"/>
    <x v="2"/>
    <n v="750000"/>
    <n v="3"/>
    <n v="0"/>
    <n v="2250000"/>
    <n v="0"/>
    <n v="2250000"/>
  </r>
  <r>
    <n v="399"/>
    <x v="398"/>
    <x v="11"/>
    <n v="1"/>
    <x v="179"/>
    <x v="179"/>
    <s v="cliente192@mail.cl"/>
    <s v="Mujer"/>
    <m/>
    <s v="Antofagasta"/>
    <x v="4"/>
    <s v="Tienda"/>
    <s v="Pantalón"/>
    <x v="3"/>
    <n v="25000"/>
    <n v="1"/>
    <n v="5"/>
    <n v="25000"/>
    <n v="1250"/>
    <n v="23750"/>
  </r>
  <r>
    <n v="400"/>
    <x v="399"/>
    <x v="22"/>
    <n v="5"/>
    <x v="91"/>
    <x v="91"/>
    <s v="cliente53@mail.cl"/>
    <s v="Mujer"/>
    <s v="29"/>
    <s v="Rancagua"/>
    <x v="7"/>
    <s v="App"/>
    <s v="Maquillaje"/>
    <x v="0"/>
    <n v="15000"/>
    <n v="1"/>
    <n v="5"/>
    <n v="15000"/>
    <n v="750"/>
    <n v="14250"/>
  </r>
  <r>
    <n v="401"/>
    <x v="400"/>
    <x v="19"/>
    <n v="4"/>
    <x v="224"/>
    <x v="224"/>
    <s v="cliente126@mail.cl"/>
    <s v="Mujer"/>
    <s v="64"/>
    <s v="Rancagua"/>
    <x v="7"/>
    <s v="Tienda"/>
    <s v="Maquillaje"/>
    <x v="0"/>
    <n v="15000"/>
    <n v="3"/>
    <n v="0"/>
    <n v="45000"/>
    <n v="0"/>
    <n v="45000"/>
  </r>
  <r>
    <n v="402"/>
    <x v="401"/>
    <x v="16"/>
    <n v="3"/>
    <x v="105"/>
    <x v="105"/>
    <s v="cliente72@mail.cl"/>
    <s v="Hombre"/>
    <s v="56"/>
    <s v="Concepción"/>
    <x v="1"/>
    <s v="Tienda"/>
    <s v="Pantalón"/>
    <x v="3"/>
    <n v="25000"/>
    <n v="3"/>
    <n v="1"/>
    <n v="75000"/>
    <n v="750"/>
    <n v="74250"/>
  </r>
  <r>
    <n v="403"/>
    <x v="402"/>
    <x v="13"/>
    <n v="5"/>
    <x v="225"/>
    <x v="225"/>
    <s v="cliente19@mail.cl"/>
    <s v="Hombre"/>
    <s v="27"/>
    <s v="Puerto Montt"/>
    <x v="5"/>
    <s v="Tienda"/>
    <s v="Zapatillas"/>
    <x v="4"/>
    <n v="55000"/>
    <n v="1"/>
    <n v="0"/>
    <n v="55000"/>
    <n v="0"/>
    <n v="55000"/>
  </r>
  <r>
    <n v="404"/>
    <x v="403"/>
    <x v="48"/>
    <n v="1"/>
    <x v="68"/>
    <x v="68"/>
    <s v="cliente69@mail.cl"/>
    <s v="Mujer"/>
    <s v="42"/>
    <s v="Valparaíso"/>
    <x v="3"/>
    <s v="Tienda"/>
    <s v="Polera"/>
    <x v="3"/>
    <n v="12000"/>
    <n v="1"/>
    <n v="0"/>
    <n v="12000"/>
    <n v="0"/>
    <n v="12000"/>
  </r>
  <r>
    <n v="405"/>
    <x v="404"/>
    <x v="33"/>
    <n v="4"/>
    <x v="57"/>
    <x v="57"/>
    <s v="cliente263@mail.cl"/>
    <s v="Mujer"/>
    <s v="18"/>
    <s v="Temuco"/>
    <x v="0"/>
    <s v="Tienda"/>
    <s v="Perfume"/>
    <x v="0"/>
    <n v="35000"/>
    <n v="2"/>
    <n v="1"/>
    <n v="70000"/>
    <n v="700"/>
    <n v="69300"/>
  </r>
  <r>
    <n v="406"/>
    <x v="405"/>
    <x v="30"/>
    <n v="0"/>
    <x v="226"/>
    <x v="226"/>
    <s v="cliente217@mail.cl"/>
    <s v="Hombre"/>
    <s v="28"/>
    <s v="Concepción"/>
    <x v="1"/>
    <s v="Tienda"/>
    <s v="Perfume"/>
    <x v="0"/>
    <n v="35000"/>
    <n v="1"/>
    <n v="1"/>
    <n v="35000"/>
    <n v="350"/>
    <n v="34650"/>
  </r>
  <r>
    <n v="407"/>
    <x v="406"/>
    <x v="11"/>
    <n v="1"/>
    <x v="138"/>
    <x v="138"/>
    <s v="cliente62@mail.cl"/>
    <s v="Mujer"/>
    <s v="35"/>
    <s v="Antofagasta"/>
    <x v="4"/>
    <s v="Web"/>
    <s v="Lavadora"/>
    <x v="1"/>
    <n v="700000"/>
    <n v="1"/>
    <n v="0"/>
    <n v="700000"/>
    <n v="0"/>
    <n v="700000"/>
  </r>
  <r>
    <n v="408"/>
    <x v="407"/>
    <x v="64"/>
    <n v="8"/>
    <x v="24"/>
    <x v="24"/>
    <s v="cliente132@mail.cl"/>
    <s v="Mujer"/>
    <s v="38"/>
    <s v="Santiago"/>
    <x v="2"/>
    <s v="Web"/>
    <s v="Notebook"/>
    <x v="2"/>
    <n v="750000"/>
    <n v="1"/>
    <n v="5"/>
    <n v="750000"/>
    <n v="37500"/>
    <n v="712500"/>
  </r>
  <r>
    <n v="409"/>
    <x v="408"/>
    <x v="3"/>
    <n v="1"/>
    <x v="104"/>
    <x v="104"/>
    <s v="cliente18@mail.cl"/>
    <s v="Mujer"/>
    <s v="41"/>
    <s v="Valparaíso"/>
    <x v="3"/>
    <s v="Tienda"/>
    <s v="Polera"/>
    <x v="3"/>
    <n v="12000"/>
    <n v="1"/>
    <n v="1"/>
    <n v="12000"/>
    <n v="120"/>
    <n v="11880"/>
  </r>
  <r>
    <n v="410"/>
    <x v="409"/>
    <x v="28"/>
    <n v="7"/>
    <x v="37"/>
    <x v="37"/>
    <s v="cliente178@mail.cl"/>
    <s v="Mujer"/>
    <s v="55"/>
    <s v="Valparaíso"/>
    <x v="3"/>
    <s v="App"/>
    <s v="Maquillaje"/>
    <x v="0"/>
    <n v="15000"/>
    <n v="3"/>
    <n v="0"/>
    <n v="45000"/>
    <n v="0"/>
    <n v="45000"/>
  </r>
  <r>
    <n v="411"/>
    <x v="410"/>
    <x v="28"/>
    <n v="7"/>
    <x v="199"/>
    <x v="199"/>
    <s v="cliente106@mail.cl"/>
    <s v="Hombre"/>
    <s v="42"/>
    <s v="Valparaíso"/>
    <x v="3"/>
    <s v="App"/>
    <s v="Zapatillas"/>
    <x v="4"/>
    <n v="55000"/>
    <n v="1"/>
    <n v="0"/>
    <n v="55000"/>
    <n v="0"/>
    <n v="55000"/>
  </r>
  <r>
    <n v="412"/>
    <x v="411"/>
    <x v="62"/>
    <n v="1"/>
    <x v="130"/>
    <x v="130"/>
    <s v="cliente71@mail.cl"/>
    <s v="Mujer"/>
    <s v="42"/>
    <s v="Antofagasta"/>
    <x v="4"/>
    <s v="Tienda"/>
    <s v="TV"/>
    <x v="1"/>
    <n v="650000"/>
    <n v="1"/>
    <n v="1"/>
    <n v="650000"/>
    <n v="6500"/>
    <n v="643500"/>
  </r>
  <r>
    <n v="413"/>
    <x v="412"/>
    <x v="59"/>
    <n v="1"/>
    <x v="143"/>
    <x v="143"/>
    <s v="cliente33@mail.cl"/>
    <s v="Hombre"/>
    <s v="37"/>
    <s v="Puerto Montt"/>
    <x v="5"/>
    <s v="Tienda"/>
    <s v="Perfume"/>
    <x v="0"/>
    <n v="35000"/>
    <n v="3"/>
    <n v="0"/>
    <n v="105000"/>
    <n v="0"/>
    <n v="105000"/>
  </r>
  <r>
    <n v="414"/>
    <x v="413"/>
    <x v="69"/>
    <n v="1"/>
    <x v="48"/>
    <x v="48"/>
    <s v="cliente99@mail.cl"/>
    <s v="Hombre"/>
    <s v="38"/>
    <s v="Puerto Montt"/>
    <x v="5"/>
    <s v="Web"/>
    <s v="Notebook"/>
    <x v="2"/>
    <n v="750000"/>
    <n v="3"/>
    <n v="0"/>
    <n v="2250000"/>
    <n v="0"/>
    <n v="2250000"/>
  </r>
  <r>
    <n v="415"/>
    <x v="414"/>
    <x v="19"/>
    <n v="4"/>
    <x v="96"/>
    <x v="96"/>
    <s v="cliente216@mail.cl"/>
    <s v="Hombre"/>
    <s v="47"/>
    <s v="Rancagua"/>
    <x v="7"/>
    <s v="App"/>
    <s v="Refrigerador"/>
    <x v="1"/>
    <n v="800000"/>
    <n v="1"/>
    <n v="0"/>
    <n v="800000"/>
    <n v="0"/>
    <n v="800000"/>
  </r>
  <r>
    <n v="416"/>
    <x v="415"/>
    <x v="0"/>
    <n v="0"/>
    <x v="182"/>
    <x v="182"/>
    <s v="cliente119@mail.cl"/>
    <s v="Hombre"/>
    <s v="51"/>
    <s v="Temuco"/>
    <x v="0"/>
    <s v="Tienda"/>
    <s v="Smartphone"/>
    <x v="2"/>
    <n v="450000"/>
    <n v="2"/>
    <n v="1"/>
    <n v="900000"/>
    <n v="9000"/>
    <n v="891000"/>
  </r>
  <r>
    <n v="417"/>
    <x v="416"/>
    <x v="61"/>
    <n v="4"/>
    <x v="207"/>
    <x v="207"/>
    <s v="cliente270@mail.cl"/>
    <s v="Hombre"/>
    <s v="39"/>
    <s v="Viña del Mar"/>
    <x v="3"/>
    <s v="App"/>
    <s v="Notebook"/>
    <x v="2"/>
    <n v="750000"/>
    <n v="3"/>
    <n v="1"/>
    <n v="2250000"/>
    <n v="22500"/>
    <n v="2227500"/>
  </r>
  <r>
    <n v="418"/>
    <x v="417"/>
    <x v="7"/>
    <n v="3"/>
    <x v="5"/>
    <x v="5"/>
    <s v="cliente202@mail.cl"/>
    <s v="Mujer"/>
    <s v="44"/>
    <s v="Concepción"/>
    <x v="1"/>
    <s v="Tienda"/>
    <s v="Notebook"/>
    <x v="2"/>
    <n v="750000"/>
    <n v="1"/>
    <n v="5"/>
    <n v="750000"/>
    <n v="37500"/>
    <n v="712500"/>
  </r>
  <r>
    <n v="419"/>
    <x v="418"/>
    <x v="29"/>
    <n v="3"/>
    <x v="75"/>
    <x v="75"/>
    <s v="cliente191@mail.cl"/>
    <s v="Mujer"/>
    <s v="32"/>
    <s v="Puerto Montt"/>
    <x v="5"/>
    <s v="Web"/>
    <s v="Lavadora"/>
    <x v="1"/>
    <n v="700000"/>
    <n v="2"/>
    <n v="0"/>
    <n v="1400000"/>
    <n v="0"/>
    <n v="1400000"/>
  </r>
  <r>
    <n v="420"/>
    <x v="419"/>
    <x v="58"/>
    <n v="9"/>
    <x v="227"/>
    <x v="227"/>
    <s v="cliente203@mail.cl"/>
    <s v="Mujer"/>
    <s v="50"/>
    <s v="Valparaíso"/>
    <x v="3"/>
    <s v="Tienda"/>
    <s v="Notebook"/>
    <x v="2"/>
    <n v="750000"/>
    <n v="1"/>
    <n v="0"/>
    <n v="750000"/>
    <n v="0"/>
    <n v="750000"/>
  </r>
  <r>
    <n v="421"/>
    <x v="420"/>
    <x v="57"/>
    <n v="9"/>
    <x v="95"/>
    <x v="95"/>
    <s v="cliente109@mail.cl"/>
    <s v="Hombre"/>
    <s v="41"/>
    <s v="Antofagasta"/>
    <x v="4"/>
    <s v="Tienda"/>
    <s v="Zapatillas"/>
    <x v="4"/>
    <n v="55000"/>
    <n v="1"/>
    <n v="5"/>
    <n v="55000"/>
    <n v="2750"/>
    <n v="52250"/>
  </r>
  <r>
    <n v="422"/>
    <x v="421"/>
    <x v="18"/>
    <n v="0"/>
    <x v="102"/>
    <x v="102"/>
    <s v="cliente116@mail.cl"/>
    <s v="Mujer"/>
    <s v="41"/>
    <s v="Talcahuano"/>
    <x v="1"/>
    <s v="Tienda"/>
    <s v="Zapatillas"/>
    <x v="4"/>
    <n v="55000"/>
    <n v="1"/>
    <n v="5"/>
    <n v="55000"/>
    <n v="2750"/>
    <n v="52250"/>
  </r>
  <r>
    <n v="423"/>
    <x v="422"/>
    <x v="58"/>
    <n v="9"/>
    <x v="209"/>
    <x v="209"/>
    <s v="cliente265@mail.cl"/>
    <s v="Mujer"/>
    <s v="34"/>
    <s v="Valparaíso"/>
    <x v="3"/>
    <s v="App"/>
    <s v="Notebook"/>
    <x v="2"/>
    <n v="750000"/>
    <n v="2"/>
    <n v="0"/>
    <n v="1500000"/>
    <n v="0"/>
    <n v="1500000"/>
  </r>
  <r>
    <n v="424"/>
    <x v="423"/>
    <x v="67"/>
    <n v="1"/>
    <x v="188"/>
    <x v="188"/>
    <s v="cliente3@mail.cl"/>
    <s v="Hombre"/>
    <s v="45"/>
    <s v="Viña del Mar"/>
    <x v="3"/>
    <s v="Tienda"/>
    <s v="Refrigerador"/>
    <x v="1"/>
    <n v="800000"/>
    <n v="1"/>
    <n v="0"/>
    <n v="800000"/>
    <n v="0"/>
    <n v="800000"/>
  </r>
  <r>
    <n v="425"/>
    <x v="424"/>
    <x v="16"/>
    <n v="3"/>
    <x v="224"/>
    <x v="224"/>
    <s v="cliente126@mail.cl"/>
    <s v="Mujer"/>
    <s v="64"/>
    <s v="Concepción"/>
    <x v="1"/>
    <s v="Tienda"/>
    <s v="Smartphone"/>
    <x v="2"/>
    <n v="450000"/>
    <n v="3"/>
    <n v="5"/>
    <n v="1350000"/>
    <n v="67500"/>
    <n v="1282500"/>
  </r>
  <r>
    <n v="426"/>
    <x v="425"/>
    <x v="67"/>
    <n v="1"/>
    <x v="24"/>
    <x v="24"/>
    <s v="cliente132@mail.cl"/>
    <s v="Mujer"/>
    <s v="38"/>
    <s v="Viña del Mar"/>
    <x v="3"/>
    <s v="Tienda"/>
    <s v="Perfume"/>
    <x v="0"/>
    <n v="35000"/>
    <n v="1"/>
    <n v="0"/>
    <n v="35000"/>
    <n v="0"/>
    <n v="35000"/>
  </r>
  <r>
    <n v="427"/>
    <x v="426"/>
    <x v="59"/>
    <n v="1"/>
    <x v="62"/>
    <x v="62"/>
    <s v="cliente148@mail.cl"/>
    <s v="Hombre"/>
    <s v="22"/>
    <s v="Puerto Montt"/>
    <x v="5"/>
    <s v="Web"/>
    <s v="Maquillaje"/>
    <x v="0"/>
    <n v="15000"/>
    <n v="1"/>
    <n v="5"/>
    <n v="15000"/>
    <n v="750"/>
    <n v="14250"/>
  </r>
  <r>
    <n v="428"/>
    <x v="427"/>
    <x v="50"/>
    <n v="6"/>
    <x v="228"/>
    <x v="228"/>
    <s v="cliente143@mail.cl"/>
    <s v="Mujer"/>
    <s v="18"/>
    <s v="Antofagasta"/>
    <x v="4"/>
    <s v="Web"/>
    <s v="Pantalón"/>
    <x v="3"/>
    <n v="25000"/>
    <n v="3"/>
    <n v="0"/>
    <n v="75000"/>
    <n v="0"/>
    <n v="75000"/>
  </r>
  <r>
    <n v="429"/>
    <x v="428"/>
    <x v="50"/>
    <n v="6"/>
    <x v="23"/>
    <x v="23"/>
    <s v="cliente23@mail.cl"/>
    <s v="Mujer"/>
    <s v="38"/>
    <s v="Antofagasta"/>
    <x v="4"/>
    <s v="Tienda"/>
    <s v="Lavadora"/>
    <x v="1"/>
    <n v="700000"/>
    <n v="1"/>
    <n v="0"/>
    <n v="700000"/>
    <n v="0"/>
    <n v="700000"/>
  </r>
  <r>
    <n v="430"/>
    <x v="429"/>
    <x v="18"/>
    <n v="0"/>
    <x v="229"/>
    <x v="229"/>
    <s v="cliente31@mail.cl"/>
    <s v="Hombre"/>
    <s v="30"/>
    <s v="Talcahuano"/>
    <x v="1"/>
    <s v="Tienda"/>
    <s v="Perfume"/>
    <x v="0"/>
    <n v="35000"/>
    <n v="1"/>
    <n v="0"/>
    <n v="35000"/>
    <n v="0"/>
    <n v="35000"/>
  </r>
  <r>
    <n v="431"/>
    <x v="430"/>
    <x v="45"/>
    <n v="1"/>
    <x v="103"/>
    <x v="103"/>
    <s v="cliente206@mail.cl"/>
    <s v="Mujer"/>
    <s v="26"/>
    <s v="Talcahuano"/>
    <x v="1"/>
    <s v="App"/>
    <s v="Notebook"/>
    <x v="2"/>
    <n v="750000"/>
    <n v="1"/>
    <n v="5"/>
    <n v="750000"/>
    <n v="37500"/>
    <n v="712500"/>
  </r>
  <r>
    <n v="432"/>
    <x v="431"/>
    <x v="50"/>
    <n v="6"/>
    <x v="13"/>
    <x v="13"/>
    <s v="cliente189@mail.cl"/>
    <s v="Mujer"/>
    <s v="27"/>
    <s v="Antofagasta"/>
    <x v="4"/>
    <s v="Tienda"/>
    <s v="Lavadora"/>
    <x v="1"/>
    <n v="700000"/>
    <n v="2"/>
    <n v="0"/>
    <n v="1400000"/>
    <n v="0"/>
    <n v="1400000"/>
  </r>
  <r>
    <n v="433"/>
    <x v="432"/>
    <x v="53"/>
    <n v="0"/>
    <x v="98"/>
    <x v="98"/>
    <s v="cliente225@mail.cl"/>
    <s v="Hombre"/>
    <s v="32"/>
    <s v="Talcahuano"/>
    <x v="1"/>
    <s v="Tienda"/>
    <s v="Smartphone"/>
    <x v="2"/>
    <n v="450000"/>
    <n v="1"/>
    <n v="5"/>
    <n v="450000"/>
    <n v="22500"/>
    <n v="427500"/>
  </r>
  <r>
    <n v="434"/>
    <x v="433"/>
    <x v="39"/>
    <n v="3"/>
    <x v="47"/>
    <x v="47"/>
    <s v="cliente221@mail.cl"/>
    <s v="Mujer"/>
    <s v="65"/>
    <s v="Concepción"/>
    <x v="1"/>
    <s v="Web"/>
    <s v="Zapatillas"/>
    <x v="4"/>
    <n v="55000"/>
    <n v="1"/>
    <n v="5"/>
    <n v="55000"/>
    <n v="2750"/>
    <n v="52250"/>
  </r>
  <r>
    <n v="435"/>
    <x v="434"/>
    <x v="60"/>
    <n v="2"/>
    <x v="230"/>
    <x v="230"/>
    <s v="cliente208@mail.cl"/>
    <s v="Mujer"/>
    <s v="44"/>
    <s v="Talcahuano"/>
    <x v="1"/>
    <s v="App"/>
    <s v="Zapatillas"/>
    <x v="4"/>
    <n v="55000"/>
    <n v="2"/>
    <n v="0"/>
    <n v="110000"/>
    <n v="0"/>
    <n v="110000"/>
  </r>
  <r>
    <n v="436"/>
    <x v="435"/>
    <x v="60"/>
    <n v="2"/>
    <x v="231"/>
    <x v="231"/>
    <s v="cliente27@mail.cl"/>
    <s v="Mujer"/>
    <s v="24"/>
    <s v="Talcahuano"/>
    <x v="1"/>
    <s v="Tienda"/>
    <s v="Perfume"/>
    <x v="0"/>
    <n v="35000"/>
    <n v="1"/>
    <n v="5"/>
    <n v="35000"/>
    <n v="1750"/>
    <n v="33250"/>
  </r>
  <r>
    <n v="437"/>
    <x v="436"/>
    <x v="28"/>
    <n v="7"/>
    <x v="99"/>
    <x v="99"/>
    <s v="cliente37@mail.cl"/>
    <s v="Hombre"/>
    <s v="40"/>
    <s v="Valparaíso"/>
    <x v="3"/>
    <s v="Tienda"/>
    <s v="Refrigerador"/>
    <x v="1"/>
    <n v="800000"/>
    <n v="3"/>
    <n v="1"/>
    <n v="2400000"/>
    <n v="24000"/>
    <n v="2376000"/>
  </r>
  <r>
    <n v="438"/>
    <x v="437"/>
    <x v="61"/>
    <n v="4"/>
    <x v="117"/>
    <x v="117"/>
    <s v="cliente185@mail.cl"/>
    <s v="Hombre"/>
    <s v="35"/>
    <s v="Viña del Mar"/>
    <x v="3"/>
    <s v="Tienda"/>
    <s v="TV"/>
    <x v="1"/>
    <n v="650000"/>
    <n v="3"/>
    <n v="1"/>
    <n v="1950000"/>
    <n v="19500"/>
    <n v="1930500"/>
  </r>
  <r>
    <n v="439"/>
    <x v="438"/>
    <x v="28"/>
    <n v="7"/>
    <x v="232"/>
    <x v="232"/>
    <s v="cliente173@mail.cl"/>
    <s v="Hombre"/>
    <s v="37"/>
    <s v="Valparaíso"/>
    <x v="3"/>
    <s v="App"/>
    <s v="Smartphone"/>
    <x v="2"/>
    <n v="450000"/>
    <n v="3"/>
    <n v="5"/>
    <n v="1350000"/>
    <n v="67500"/>
    <n v="1282500"/>
  </r>
  <r>
    <n v="440"/>
    <x v="439"/>
    <x v="17"/>
    <n v="3"/>
    <x v="233"/>
    <x v="233"/>
    <s v="cliente175@mail.cl"/>
    <s v="Hombre"/>
    <s v="41"/>
    <s v="Temuco"/>
    <x v="0"/>
    <s v="Tienda"/>
    <s v="Maquillaje"/>
    <x v="0"/>
    <n v="15000"/>
    <n v="1"/>
    <n v="0"/>
    <n v="15000"/>
    <n v="0"/>
    <n v="15000"/>
  </r>
  <r>
    <n v="441"/>
    <x v="440"/>
    <x v="42"/>
    <n v="4"/>
    <x v="83"/>
    <x v="83"/>
    <s v="cliente1@mail.cl"/>
    <s v="Hombre"/>
    <s v="43"/>
    <s v="Antofagasta"/>
    <x v="4"/>
    <s v="App"/>
    <s v="Refrigerador"/>
    <x v="1"/>
    <n v="800000"/>
    <n v="1"/>
    <n v="5"/>
    <n v="800000"/>
    <n v="40000"/>
    <n v="760000"/>
  </r>
  <r>
    <n v="442"/>
    <x v="441"/>
    <x v="7"/>
    <n v="3"/>
    <x v="94"/>
    <x v="94"/>
    <s v="cliente75@mail.cl"/>
    <s v="Hombre"/>
    <s v="18"/>
    <s v="Concepción"/>
    <x v="1"/>
    <s v="Tienda"/>
    <s v="Perfume"/>
    <x v="0"/>
    <n v="35000"/>
    <n v="3"/>
    <n v="0"/>
    <n v="105000"/>
    <n v="0"/>
    <n v="105000"/>
  </r>
  <r>
    <n v="443"/>
    <x v="442"/>
    <x v="16"/>
    <n v="3"/>
    <x v="85"/>
    <x v="85"/>
    <s v="cliente61@mail.cl"/>
    <s v="Mujer"/>
    <s v="32"/>
    <s v="Concepción"/>
    <x v="1"/>
    <s v="Web"/>
    <s v="Pantalón"/>
    <x v="3"/>
    <n v="25000"/>
    <n v="2"/>
    <n v="1"/>
    <n v="50000"/>
    <n v="500"/>
    <n v="49500"/>
  </r>
  <r>
    <n v="444"/>
    <x v="443"/>
    <x v="7"/>
    <n v="3"/>
    <x v="75"/>
    <x v="75"/>
    <s v="cliente191@mail.cl"/>
    <s v="Mujer"/>
    <s v="32"/>
    <s v="Concepción"/>
    <x v="1"/>
    <s v="Web"/>
    <s v="Polera"/>
    <x v="3"/>
    <n v="12000"/>
    <n v="3"/>
    <n v="1"/>
    <n v="36000"/>
    <n v="360"/>
    <n v="35640"/>
  </r>
  <r>
    <n v="445"/>
    <x v="444"/>
    <x v="15"/>
    <n v="5"/>
    <x v="180"/>
    <x v="180"/>
    <s v="cliente139@mail.cl"/>
    <s v="Hombre"/>
    <s v="47"/>
    <s v="La Serena"/>
    <x v="6"/>
    <s v="Tienda"/>
    <s v="Lavadora"/>
    <x v="1"/>
    <n v="700000"/>
    <n v="3"/>
    <n v="5"/>
    <n v="2100000"/>
    <n v="105000"/>
    <n v="1995000"/>
  </r>
  <r>
    <n v="446"/>
    <x v="445"/>
    <x v="14"/>
    <n v="9"/>
    <x v="22"/>
    <x v="22"/>
    <s v="cliente232@mail.cl"/>
    <s v="Hombre"/>
    <s v="40"/>
    <s v="Talcahuano"/>
    <x v="1"/>
    <s v="App"/>
    <s v="Lavadora"/>
    <x v="1"/>
    <n v="700000"/>
    <n v="2"/>
    <n v="1"/>
    <n v="1400000"/>
    <n v="14000"/>
    <n v="1386000"/>
  </r>
  <r>
    <n v="447"/>
    <x v="446"/>
    <x v="61"/>
    <n v="4"/>
    <x v="234"/>
    <x v="234"/>
    <s v="cliente115@mail.cl"/>
    <s v="Mujer"/>
    <s v="35"/>
    <s v="Viña del Mar"/>
    <x v="3"/>
    <s v="Web"/>
    <s v="Polera"/>
    <x v="3"/>
    <n v="12000"/>
    <n v="1"/>
    <n v="5"/>
    <n v="12000"/>
    <n v="600"/>
    <n v="11400"/>
  </r>
  <r>
    <n v="448"/>
    <x v="447"/>
    <x v="32"/>
    <n v="4"/>
    <x v="159"/>
    <x v="159"/>
    <s v="cliente215@mail.cl"/>
    <s v="Hombre"/>
    <s v="34"/>
    <s v="Talcahuano"/>
    <x v="1"/>
    <s v="Tienda"/>
    <s v="Maquillaje"/>
    <x v="0"/>
    <n v="15000"/>
    <n v="3"/>
    <n v="5"/>
    <n v="45000"/>
    <n v="2250"/>
    <n v="42750"/>
  </r>
  <r>
    <n v="449"/>
    <x v="448"/>
    <x v="41"/>
    <n v="8"/>
    <x v="121"/>
    <x v="121"/>
    <s v="cliente201@mail.cl"/>
    <s v="Mujer"/>
    <s v="42"/>
    <s v="Concepción"/>
    <x v="1"/>
    <s v="Tienda"/>
    <s v="Polera"/>
    <x v="3"/>
    <n v="12000"/>
    <n v="2"/>
    <n v="0"/>
    <n v="24000"/>
    <n v="0"/>
    <n v="24000"/>
  </r>
  <r>
    <n v="450"/>
    <x v="449"/>
    <x v="19"/>
    <n v="4"/>
    <x v="194"/>
    <x v="194"/>
    <s v="cliente47@mail.cl"/>
    <s v="Hombre"/>
    <s v="32"/>
    <s v="Rancagua"/>
    <x v="7"/>
    <s v="Web"/>
    <s v="Maquillaje"/>
    <x v="0"/>
    <n v="15000"/>
    <n v="1"/>
    <n v="0"/>
    <n v="15000"/>
    <n v="0"/>
    <n v="15000"/>
  </r>
  <r>
    <n v="451"/>
    <x v="450"/>
    <x v="19"/>
    <n v="4"/>
    <x v="67"/>
    <x v="67"/>
    <s v="cliente26@mail.cl"/>
    <s v="Mujer"/>
    <s v="39"/>
    <s v="Rancagua"/>
    <x v="7"/>
    <s v="App"/>
    <s v="Refrigerador"/>
    <x v="1"/>
    <n v="800000"/>
    <n v="2"/>
    <n v="0"/>
    <n v="1600000"/>
    <n v="0"/>
    <n v="1600000"/>
  </r>
  <r>
    <n v="452"/>
    <x v="451"/>
    <x v="21"/>
    <n v="4"/>
    <x v="104"/>
    <x v="104"/>
    <s v="cliente18@mail.cl"/>
    <s v="Mujer"/>
    <s v="41"/>
    <s v="Puerto Montt"/>
    <x v="5"/>
    <s v="Web"/>
    <s v="Lavadora"/>
    <x v="1"/>
    <n v="700000"/>
    <n v="1"/>
    <n v="5"/>
    <n v="700000"/>
    <n v="35000"/>
    <n v="665000"/>
  </r>
  <r>
    <n v="453"/>
    <x v="452"/>
    <x v="53"/>
    <n v="0"/>
    <x v="86"/>
    <x v="86"/>
    <s v="cliente6@mail.cl"/>
    <s v="Mujer"/>
    <s v="35"/>
    <s v="Talcahuano"/>
    <x v="1"/>
    <s v="Web"/>
    <s v="Smartphone"/>
    <x v="2"/>
    <n v="450000"/>
    <n v="3"/>
    <n v="1"/>
    <n v="1350000"/>
    <n v="13500"/>
    <n v="1336500"/>
  </r>
  <r>
    <n v="454"/>
    <x v="453"/>
    <x v="27"/>
    <n v="0"/>
    <x v="150"/>
    <x v="150"/>
    <s v="cliente36@mail.cl"/>
    <s v="Mujer"/>
    <s v="23"/>
    <s v="Temuco"/>
    <x v="0"/>
    <s v="Web"/>
    <s v="Polera"/>
    <x v="3"/>
    <n v="12000"/>
    <n v="3"/>
    <n v="1"/>
    <n v="36000"/>
    <n v="360"/>
    <n v="35640"/>
  </r>
  <r>
    <n v="455"/>
    <x v="454"/>
    <x v="40"/>
    <n v="1"/>
    <x v="127"/>
    <x v="127"/>
    <s v="cliente60@mail.cl"/>
    <s v="Hombre"/>
    <s v="49"/>
    <s v="Viña del Mar"/>
    <x v="3"/>
    <s v="App"/>
    <s v="Pantalón"/>
    <x v="3"/>
    <n v="25000"/>
    <n v="2"/>
    <n v="1"/>
    <n v="50000"/>
    <n v="500"/>
    <n v="49500"/>
  </r>
  <r>
    <n v="456"/>
    <x v="455"/>
    <x v="25"/>
    <n v="0"/>
    <x v="235"/>
    <x v="235"/>
    <s v="cliente79@mail.cl"/>
    <s v="Mujer"/>
    <s v="39"/>
    <s v="Viña del Mar"/>
    <x v="3"/>
    <s v="Web"/>
    <s v="Zapatillas"/>
    <x v="4"/>
    <n v="55000"/>
    <n v="3"/>
    <n v="0"/>
    <n v="165000"/>
    <n v="0"/>
    <n v="165000"/>
  </r>
  <r>
    <n v="457"/>
    <x v="456"/>
    <x v="55"/>
    <n v="1"/>
    <x v="72"/>
    <x v="72"/>
    <s v="cliente145@mail.cl"/>
    <s v="Hombre"/>
    <s v="41"/>
    <s v="Concepción"/>
    <x v="1"/>
    <s v="Tienda"/>
    <s v="Lavadora"/>
    <x v="1"/>
    <n v="700000"/>
    <n v="3"/>
    <n v="5"/>
    <n v="2100000"/>
    <n v="105000"/>
    <n v="1995000"/>
  </r>
  <r>
    <n v="458"/>
    <x v="457"/>
    <x v="16"/>
    <n v="3"/>
    <x v="27"/>
    <x v="27"/>
    <s v="cliente220@mail.cl"/>
    <s v="Hombre"/>
    <s v="38"/>
    <s v="Concepción"/>
    <x v="1"/>
    <s v="Web"/>
    <s v="Lavadora"/>
    <x v="1"/>
    <n v="700000"/>
    <n v="2"/>
    <n v="0"/>
    <n v="1400000"/>
    <n v="0"/>
    <n v="1400000"/>
  </r>
  <r>
    <n v="459"/>
    <x v="458"/>
    <x v="26"/>
    <n v="3"/>
    <x v="13"/>
    <x v="13"/>
    <s v="cliente189@mail.cl"/>
    <s v="Mujer"/>
    <s v="27"/>
    <s v="La Serena"/>
    <x v="6"/>
    <s v="Web"/>
    <s v="Pantalón"/>
    <x v="3"/>
    <n v="25000"/>
    <n v="3"/>
    <n v="0"/>
    <n v="75000"/>
    <n v="0"/>
    <n v="75000"/>
  </r>
  <r>
    <n v="460"/>
    <x v="459"/>
    <x v="16"/>
    <n v="3"/>
    <x v="6"/>
    <x v="6"/>
    <s v="cliente160@mail.cl"/>
    <s v="Mujer"/>
    <s v="45"/>
    <s v="Concepción"/>
    <x v="1"/>
    <s v="Tienda"/>
    <s v="Notebook"/>
    <x v="2"/>
    <n v="750000"/>
    <n v="1"/>
    <n v="0"/>
    <n v="750000"/>
    <n v="0"/>
    <n v="750000"/>
  </r>
  <r>
    <n v="461"/>
    <x v="460"/>
    <x v="32"/>
    <n v="4"/>
    <x v="141"/>
    <x v="141"/>
    <s v="cliente177@mail.cl"/>
    <s v="Mujer"/>
    <s v="38"/>
    <s v="Talcahuano"/>
    <x v="1"/>
    <s v="App"/>
    <s v="Notebook"/>
    <x v="2"/>
    <n v="750000"/>
    <n v="1"/>
    <n v="0"/>
    <n v="750000"/>
    <n v="0"/>
    <n v="750000"/>
  </r>
  <r>
    <n v="462"/>
    <x v="461"/>
    <x v="45"/>
    <n v="1"/>
    <x v="47"/>
    <x v="47"/>
    <s v="cliente221@mail.cl"/>
    <s v="Mujer"/>
    <s v="65"/>
    <s v="Talcahuano"/>
    <x v="1"/>
    <s v="Tienda"/>
    <s v="Smartphone"/>
    <x v="2"/>
    <n v="450000"/>
    <n v="1"/>
    <n v="0"/>
    <n v="450000"/>
    <n v="0"/>
    <n v="450000"/>
  </r>
  <r>
    <n v="463"/>
    <x v="462"/>
    <x v="46"/>
    <n v="1"/>
    <x v="217"/>
    <x v="217"/>
    <s v="cliente83@mail.cl"/>
    <s v="Hombre"/>
    <s v="55"/>
    <s v="Antofagasta"/>
    <x v="4"/>
    <s v="Tienda"/>
    <s v="TV"/>
    <x v="1"/>
    <n v="650000"/>
    <n v="2"/>
    <n v="0"/>
    <n v="1300000"/>
    <n v="0"/>
    <n v="1300000"/>
  </r>
  <r>
    <n v="464"/>
    <x v="463"/>
    <x v="60"/>
    <n v="2"/>
    <x v="236"/>
    <x v="236"/>
    <s v="cliente89@mail.cl"/>
    <s v="Hombre"/>
    <s v="31"/>
    <s v="Talcahuano"/>
    <x v="1"/>
    <s v="Web"/>
    <s v="TV"/>
    <x v="1"/>
    <n v="650000"/>
    <n v="3"/>
    <n v="5"/>
    <n v="1950000"/>
    <n v="97500"/>
    <n v="1852500"/>
  </r>
  <r>
    <n v="465"/>
    <x v="464"/>
    <x v="31"/>
    <n v="5"/>
    <x v="195"/>
    <x v="195"/>
    <s v="cliente244@mail.cl"/>
    <s v="Hombre"/>
    <s v="48"/>
    <s v="Puerto Montt"/>
    <x v="5"/>
    <s v="Tienda"/>
    <s v="Polera"/>
    <x v="3"/>
    <n v="12000"/>
    <n v="1"/>
    <n v="1"/>
    <n v="12000"/>
    <n v="120"/>
    <n v="11880"/>
  </r>
  <r>
    <n v="466"/>
    <x v="465"/>
    <x v="3"/>
    <n v="1"/>
    <x v="45"/>
    <x v="45"/>
    <s v="cliente239@mail.cl"/>
    <s v="Mujer"/>
    <s v="30"/>
    <s v="Valparaíso"/>
    <x v="3"/>
    <s v="Web"/>
    <s v="Maquillaje"/>
    <x v="0"/>
    <n v="15000"/>
    <n v="1"/>
    <n v="1"/>
    <n v="15000"/>
    <n v="150"/>
    <n v="14850"/>
  </r>
  <r>
    <n v="467"/>
    <x v="466"/>
    <x v="4"/>
    <n v="0"/>
    <x v="77"/>
    <x v="77"/>
    <s v="cliente125@mail.cl"/>
    <s v="Mujer"/>
    <s v="45"/>
    <s v="Antofagasta"/>
    <x v="4"/>
    <s v="Tienda"/>
    <s v="Polera"/>
    <x v="3"/>
    <n v="12000"/>
    <n v="1"/>
    <n v="0"/>
    <n v="12000"/>
    <n v="0"/>
    <n v="12000"/>
  </r>
  <r>
    <n v="468"/>
    <x v="467"/>
    <x v="7"/>
    <n v="3"/>
    <x v="168"/>
    <x v="168"/>
    <s v="cliente259@mail.cl"/>
    <s v="Mujer"/>
    <s v="43"/>
    <s v="Concepción"/>
    <x v="1"/>
    <s v="Tienda"/>
    <s v="Notebook"/>
    <x v="2"/>
    <n v="750000"/>
    <n v="2"/>
    <n v="0"/>
    <n v="1500000"/>
    <n v="0"/>
    <n v="1500000"/>
  </r>
  <r>
    <n v="469"/>
    <x v="468"/>
    <x v="68"/>
    <n v="8"/>
    <x v="17"/>
    <x v="17"/>
    <s v="cliente234@mail.cl"/>
    <s v="Mujer"/>
    <s v="30"/>
    <s v="Valparaíso"/>
    <x v="3"/>
    <s v="App"/>
    <s v="Smartphone"/>
    <x v="2"/>
    <n v="450000"/>
    <n v="2"/>
    <n v="5"/>
    <n v="900000"/>
    <n v="45000"/>
    <n v="855000"/>
  </r>
  <r>
    <n v="470"/>
    <x v="469"/>
    <x v="56"/>
    <n v="5"/>
    <x v="210"/>
    <x v="210"/>
    <s v="cliente250@mail.cl"/>
    <s v="Mujer"/>
    <s v="42"/>
    <s v="Viña del Mar"/>
    <x v="3"/>
    <s v="Tienda"/>
    <s v="Maquillaje"/>
    <x v="0"/>
    <n v="15000"/>
    <n v="1"/>
    <n v="0"/>
    <n v="15000"/>
    <n v="0"/>
    <n v="15000"/>
  </r>
  <r>
    <n v="471"/>
    <x v="470"/>
    <x v="4"/>
    <n v="0"/>
    <x v="53"/>
    <x v="53"/>
    <s v="cliente123@mail.cl"/>
    <s v="Hombre"/>
    <s v="54"/>
    <s v="Antofagasta"/>
    <x v="4"/>
    <s v="App"/>
    <s v="Refrigerador"/>
    <x v="1"/>
    <n v="800000"/>
    <n v="2"/>
    <n v="1"/>
    <n v="1600000"/>
    <n v="16000"/>
    <n v="1584000"/>
  </r>
  <r>
    <n v="472"/>
    <x v="471"/>
    <x v="10"/>
    <n v="5"/>
    <x v="237"/>
    <x v="237"/>
    <s v="cliente11@mail.cl"/>
    <s v="Hombre"/>
    <s v="32"/>
    <s v="Temuco"/>
    <x v="0"/>
    <s v="Tienda"/>
    <s v="Zapatillas"/>
    <x v="4"/>
    <n v="55000"/>
    <n v="3"/>
    <n v="0"/>
    <n v="165000"/>
    <n v="0"/>
    <n v="165000"/>
  </r>
  <r>
    <n v="473"/>
    <x v="472"/>
    <x v="59"/>
    <n v="1"/>
    <x v="185"/>
    <x v="185"/>
    <s v="cliente135@mail.cl"/>
    <s v="Mujer"/>
    <s v="26"/>
    <s v="Puerto Montt"/>
    <x v="5"/>
    <s v="Tienda"/>
    <s v="Polera"/>
    <x v="3"/>
    <n v="12000"/>
    <n v="1"/>
    <n v="1"/>
    <n v="12000"/>
    <n v="120"/>
    <n v="11880"/>
  </r>
  <r>
    <n v="474"/>
    <x v="473"/>
    <x v="0"/>
    <n v="0"/>
    <x v="238"/>
    <x v="238"/>
    <s v="cliente15@mail.cl"/>
    <s v="Hombre"/>
    <s v="18"/>
    <s v="Temuco"/>
    <x v="0"/>
    <s v="App"/>
    <s v="Lavadora"/>
    <x v="1"/>
    <n v="700000"/>
    <n v="1"/>
    <n v="5"/>
    <n v="700000"/>
    <n v="35000"/>
    <n v="665000"/>
  </r>
  <r>
    <n v="475"/>
    <x v="474"/>
    <x v="61"/>
    <n v="4"/>
    <x v="192"/>
    <x v="192"/>
    <s v="cliente5@mail.cl"/>
    <s v="Hombre"/>
    <s v="35"/>
    <s v="Viña del Mar"/>
    <x v="3"/>
    <s v="Tienda"/>
    <s v="Zapatillas"/>
    <x v="4"/>
    <n v="55000"/>
    <n v="1"/>
    <n v="1"/>
    <n v="55000"/>
    <n v="550"/>
    <n v="54450"/>
  </r>
  <r>
    <n v="476"/>
    <x v="475"/>
    <x v="26"/>
    <n v="3"/>
    <x v="1"/>
    <x v="1"/>
    <s v="cliente102@mail.cl"/>
    <s v="Hombre"/>
    <s v="32"/>
    <s v="La Serena"/>
    <x v="6"/>
    <s v="Tienda"/>
    <s v="Smartphone"/>
    <x v="2"/>
    <n v="450000"/>
    <n v="2"/>
    <n v="0"/>
    <n v="900000"/>
    <n v="0"/>
    <n v="900000"/>
  </r>
  <r>
    <n v="477"/>
    <x v="476"/>
    <x v="22"/>
    <n v="5"/>
    <x v="193"/>
    <x v="193"/>
    <s v="cliente149@mail.cl"/>
    <s v="Mujer"/>
    <s v="44"/>
    <s v="Rancagua"/>
    <x v="7"/>
    <s v="Web"/>
    <s v="Refrigerador"/>
    <x v="1"/>
    <n v="800000"/>
    <n v="2"/>
    <n v="1"/>
    <n v="1600000"/>
    <n v="16000"/>
    <n v="1584000"/>
  </r>
  <r>
    <n v="478"/>
    <x v="477"/>
    <x v="10"/>
    <n v="5"/>
    <x v="65"/>
    <x v="65"/>
    <s v="cliente165@mail.cl"/>
    <s v="Mujer"/>
    <s v="49"/>
    <s v="Temuco"/>
    <x v="0"/>
    <s v="Web"/>
    <s v="Polera"/>
    <x v="3"/>
    <n v="12000"/>
    <n v="2"/>
    <n v="1"/>
    <n v="24000"/>
    <n v="240"/>
    <n v="23760"/>
  </r>
  <r>
    <n v="479"/>
    <x v="478"/>
    <x v="50"/>
    <n v="6"/>
    <x v="64"/>
    <x v="64"/>
    <s v="cliente44@mail.cl"/>
    <s v="Hombre"/>
    <s v="34"/>
    <s v="Antofagasta"/>
    <x v="4"/>
    <s v="App"/>
    <s v="Pantalón"/>
    <x v="3"/>
    <n v="25000"/>
    <n v="1"/>
    <n v="0"/>
    <n v="25000"/>
    <n v="0"/>
    <n v="25000"/>
  </r>
  <r>
    <n v="480"/>
    <x v="479"/>
    <x v="57"/>
    <n v="9"/>
    <x v="41"/>
    <x v="41"/>
    <s v="cliente118@mail.cl"/>
    <s v="Mujer"/>
    <s v="23"/>
    <s v="Antofagasta"/>
    <x v="4"/>
    <s v="Web"/>
    <s v="Perfume"/>
    <x v="0"/>
    <n v="35000"/>
    <n v="2"/>
    <n v="5"/>
    <n v="70000"/>
    <n v="3500"/>
    <n v="66500"/>
  </r>
  <r>
    <n v="481"/>
    <x v="480"/>
    <x v="2"/>
    <n v="2"/>
    <x v="218"/>
    <x v="218"/>
    <s v="cliente20@mail.cl"/>
    <s v="Hombre"/>
    <s v="21"/>
    <s v="Santiago"/>
    <x v="2"/>
    <s v="Tienda"/>
    <s v="Refrigerador"/>
    <x v="1"/>
    <n v="800000"/>
    <n v="3"/>
    <n v="0"/>
    <n v="2400000"/>
    <n v="0"/>
    <n v="2400000"/>
  </r>
  <r>
    <n v="482"/>
    <x v="481"/>
    <x v="62"/>
    <n v="1"/>
    <x v="176"/>
    <x v="176"/>
    <s v="cliente197@mail.cl"/>
    <s v="Mujer"/>
    <s v="27"/>
    <s v="Antofagasta"/>
    <x v="4"/>
    <s v="Web"/>
    <s v="Lavadora"/>
    <x v="1"/>
    <n v="700000"/>
    <n v="1"/>
    <n v="0"/>
    <n v="700000"/>
    <n v="0"/>
    <n v="700000"/>
  </r>
  <r>
    <n v="483"/>
    <x v="482"/>
    <x v="68"/>
    <n v="8"/>
    <x v="130"/>
    <x v="130"/>
    <s v="cliente71@mail.cl"/>
    <s v="Mujer"/>
    <s v="42"/>
    <s v="Valparaíso"/>
    <x v="3"/>
    <s v="Tienda"/>
    <s v="Maquillaje"/>
    <x v="0"/>
    <n v="15000"/>
    <n v="3"/>
    <n v="5"/>
    <n v="45000"/>
    <n v="2250"/>
    <n v="42750"/>
  </r>
  <r>
    <n v="484"/>
    <x v="483"/>
    <x v="32"/>
    <n v="4"/>
    <x v="9"/>
    <x v="9"/>
    <s v="cliente35@mail.cl"/>
    <s v="Mujer"/>
    <s v="47"/>
    <s v="Talcahuano"/>
    <x v="1"/>
    <s v="Tienda"/>
    <s v="Perfume"/>
    <x v="0"/>
    <n v="35000"/>
    <n v="1"/>
    <n v="5"/>
    <n v="35000"/>
    <n v="1750"/>
    <n v="33250"/>
  </r>
  <r>
    <n v="485"/>
    <x v="484"/>
    <x v="2"/>
    <n v="2"/>
    <x v="237"/>
    <x v="237"/>
    <s v="cliente11@mail.cl"/>
    <s v="Hombre"/>
    <s v="32"/>
    <s v="Santiago"/>
    <x v="2"/>
    <s v="Tienda"/>
    <s v="Pantalón"/>
    <x v="3"/>
    <n v="25000"/>
    <n v="1"/>
    <n v="5"/>
    <n v="25000"/>
    <n v="1250"/>
    <n v="23750"/>
  </r>
  <r>
    <n v="486"/>
    <x v="485"/>
    <x v="24"/>
    <n v="0"/>
    <x v="99"/>
    <x v="99"/>
    <s v="cliente37@mail.cl"/>
    <s v="Hombre"/>
    <s v="40"/>
    <s v="Rancagua"/>
    <x v="7"/>
    <s v="Tienda"/>
    <s v="Lavadora"/>
    <x v="1"/>
    <n v="700000"/>
    <n v="1"/>
    <n v="0"/>
    <n v="700000"/>
    <n v="0"/>
    <n v="700000"/>
  </r>
  <r>
    <n v="487"/>
    <x v="486"/>
    <x v="13"/>
    <n v="5"/>
    <x v="115"/>
    <x v="115"/>
    <s v="cliente247@mail.cl"/>
    <s v="Mujer"/>
    <s v="32"/>
    <s v="Puerto Montt"/>
    <x v="5"/>
    <s v="Tienda"/>
    <s v="Smartphone"/>
    <x v="2"/>
    <n v="450000"/>
    <n v="2"/>
    <n v="0"/>
    <n v="900000"/>
    <n v="0"/>
    <n v="900000"/>
  </r>
  <r>
    <n v="488"/>
    <x v="487"/>
    <x v="66"/>
    <n v="7"/>
    <x v="239"/>
    <x v="239"/>
    <s v="cliente170@mail.cl"/>
    <s v="Hombre"/>
    <s v="28"/>
    <s v="Antofagasta"/>
    <x v="4"/>
    <s v="Web"/>
    <s v="Maquillaje"/>
    <x v="0"/>
    <n v="15000"/>
    <n v="3"/>
    <n v="0"/>
    <n v="45000"/>
    <n v="0"/>
    <n v="45000"/>
  </r>
  <r>
    <n v="489"/>
    <x v="488"/>
    <x v="44"/>
    <n v="2"/>
    <x v="240"/>
    <x v="240"/>
    <s v="cliente276@mail.cl"/>
    <s v="Hombre"/>
    <s v="43"/>
    <s v="Talcahuano"/>
    <x v="1"/>
    <s v="Web"/>
    <s v="Perfume"/>
    <x v="0"/>
    <n v="35000"/>
    <n v="3"/>
    <n v="0"/>
    <n v="105000"/>
    <n v="0"/>
    <n v="105000"/>
  </r>
  <r>
    <n v="490"/>
    <x v="489"/>
    <x v="6"/>
    <n v="0"/>
    <x v="233"/>
    <x v="233"/>
    <s v="cliente175@mail.cl"/>
    <s v="Hombre"/>
    <s v="41"/>
    <s v="Santiago"/>
    <x v="2"/>
    <s v="Web"/>
    <s v="Perfume"/>
    <x v="0"/>
    <n v="35000"/>
    <n v="3"/>
    <n v="1"/>
    <n v="105000"/>
    <n v="1050"/>
    <n v="103950"/>
  </r>
  <r>
    <n v="491"/>
    <x v="490"/>
    <x v="42"/>
    <n v="4"/>
    <x v="160"/>
    <x v="160"/>
    <s v="cliente66@mail.cl"/>
    <s v="Hombre"/>
    <s v="54"/>
    <s v="Antofagasta"/>
    <x v="4"/>
    <s v="Tienda"/>
    <s v="Smartphone"/>
    <x v="2"/>
    <n v="450000"/>
    <n v="3"/>
    <n v="0"/>
    <n v="1350000"/>
    <n v="0"/>
    <n v="1350000"/>
  </r>
  <r>
    <n v="492"/>
    <x v="491"/>
    <x v="57"/>
    <n v="9"/>
    <x v="212"/>
    <x v="212"/>
    <s v="cliente94@mail.cl"/>
    <s v="Hombre"/>
    <s v="34"/>
    <s v="Antofagasta"/>
    <x v="4"/>
    <s v="Tienda"/>
    <s v="Maquillaje"/>
    <x v="0"/>
    <n v="15000"/>
    <n v="3"/>
    <n v="0"/>
    <n v="45000"/>
    <n v="0"/>
    <n v="45000"/>
  </r>
  <r>
    <n v="493"/>
    <x v="492"/>
    <x v="56"/>
    <n v="5"/>
    <x v="241"/>
    <x v="241"/>
    <s v="cliente181@mail.cl"/>
    <s v="Hombre"/>
    <s v="45"/>
    <s v="Viña del Mar"/>
    <x v="3"/>
    <s v="App"/>
    <s v="Maquillaje"/>
    <x v="0"/>
    <n v="15000"/>
    <n v="3"/>
    <n v="5"/>
    <n v="45000"/>
    <n v="2250"/>
    <n v="42750"/>
  </r>
  <r>
    <n v="494"/>
    <x v="493"/>
    <x v="23"/>
    <n v="2"/>
    <x v="148"/>
    <x v="148"/>
    <s v="cliente159@mail.cl"/>
    <s v="Mujer"/>
    <m/>
    <s v="Talcahuano"/>
    <x v="1"/>
    <s v="Web"/>
    <s v="Maquillaje"/>
    <x v="0"/>
    <n v="15000"/>
    <n v="2"/>
    <n v="0"/>
    <n v="30000"/>
    <n v="0"/>
    <n v="30000"/>
  </r>
  <r>
    <n v="495"/>
    <x v="494"/>
    <x v="25"/>
    <n v="0"/>
    <x v="17"/>
    <x v="17"/>
    <s v="cliente234@mail.cl"/>
    <s v="Mujer"/>
    <s v="30"/>
    <s v="Viña del Mar"/>
    <x v="3"/>
    <s v="Tienda"/>
    <s v="Notebook"/>
    <x v="2"/>
    <n v="750000"/>
    <n v="2"/>
    <n v="0"/>
    <n v="1500000"/>
    <n v="0"/>
    <n v="1500000"/>
  </r>
  <r>
    <n v="496"/>
    <x v="495"/>
    <x v="10"/>
    <n v="5"/>
    <x v="186"/>
    <x v="186"/>
    <s v="cliente128@mail.cl"/>
    <s v="Mujer"/>
    <s v="31"/>
    <s v="Temuco"/>
    <x v="0"/>
    <s v="Tienda"/>
    <s v="Perfume"/>
    <x v="0"/>
    <n v="35000"/>
    <n v="2"/>
    <n v="0"/>
    <n v="70000"/>
    <n v="0"/>
    <n v="70000"/>
  </r>
  <r>
    <n v="497"/>
    <x v="496"/>
    <x v="66"/>
    <n v="7"/>
    <x v="233"/>
    <x v="233"/>
    <s v="cliente175@mail.cl"/>
    <s v="Hombre"/>
    <s v="41"/>
    <s v="Antofagasta"/>
    <x v="4"/>
    <s v="Tienda"/>
    <s v="Notebook"/>
    <x v="2"/>
    <n v="750000"/>
    <n v="3"/>
    <n v="0"/>
    <n v="2250000"/>
    <n v="0"/>
    <n v="2250000"/>
  </r>
  <r>
    <n v="498"/>
    <x v="497"/>
    <x v="67"/>
    <n v="1"/>
    <x v="164"/>
    <x v="164"/>
    <s v="cliente279@mail.cl"/>
    <s v="Mujer"/>
    <s v="38"/>
    <s v="Viña del Mar"/>
    <x v="3"/>
    <s v="App"/>
    <s v="Pantalón"/>
    <x v="3"/>
    <n v="25000"/>
    <n v="2"/>
    <n v="0"/>
    <n v="50000"/>
    <n v="0"/>
    <n v="50000"/>
  </r>
  <r>
    <n v="499"/>
    <x v="498"/>
    <x v="44"/>
    <n v="2"/>
    <x v="224"/>
    <x v="224"/>
    <s v="cliente126@mail.cl"/>
    <s v="Mujer"/>
    <s v="64"/>
    <s v="Talcahuano"/>
    <x v="1"/>
    <s v="Tienda"/>
    <s v="Refrigerador"/>
    <x v="1"/>
    <n v="800000"/>
    <n v="3"/>
    <n v="5"/>
    <n v="2400000"/>
    <n v="120000"/>
    <n v="2280000"/>
  </r>
  <r>
    <n v="500"/>
    <x v="499"/>
    <x v="52"/>
    <n v="1"/>
    <x v="199"/>
    <x v="199"/>
    <s v="cliente106@mail.cl"/>
    <s v="Hombre"/>
    <s v="42"/>
    <s v="Viña del Mar"/>
    <x v="3"/>
    <s v="Tienda"/>
    <s v="Perfume"/>
    <x v="0"/>
    <n v="35000"/>
    <n v="1"/>
    <n v="0"/>
    <n v="35000"/>
    <n v="0"/>
    <n v="35000"/>
  </r>
  <r>
    <n v="501"/>
    <x v="500"/>
    <x v="24"/>
    <n v="0"/>
    <x v="232"/>
    <x v="232"/>
    <s v="cliente173@mail.cl"/>
    <s v="Hombre"/>
    <s v="37"/>
    <s v="Rancagua"/>
    <x v="7"/>
    <s v="Tienda"/>
    <s v="Polera"/>
    <x v="3"/>
    <n v="12000"/>
    <n v="1"/>
    <n v="5"/>
    <n v="12000"/>
    <n v="600"/>
    <n v="11400"/>
  </r>
  <r>
    <n v="502"/>
    <x v="501"/>
    <x v="1"/>
    <n v="0"/>
    <x v="44"/>
    <x v="44"/>
    <s v="cliente204@mail.cl"/>
    <s v="Hombre"/>
    <s v="50"/>
    <s v="Talcahuano"/>
    <x v="1"/>
    <s v="App"/>
    <s v="Maquillaje"/>
    <x v="0"/>
    <n v="15000"/>
    <n v="3"/>
    <n v="5"/>
    <n v="45000"/>
    <n v="2250"/>
    <n v="42750"/>
  </r>
  <r>
    <n v="503"/>
    <x v="502"/>
    <x v="4"/>
    <n v="0"/>
    <x v="152"/>
    <x v="152"/>
    <s v="cliente46@mail.cl"/>
    <s v="Mujer"/>
    <s v="29"/>
    <s v="Antofagasta"/>
    <x v="4"/>
    <s v="App"/>
    <s v="Zapatillas"/>
    <x v="4"/>
    <n v="55000"/>
    <n v="2"/>
    <n v="0"/>
    <n v="110000"/>
    <n v="0"/>
    <n v="110000"/>
  </r>
  <r>
    <n v="504"/>
    <x v="503"/>
    <x v="26"/>
    <n v="3"/>
    <x v="239"/>
    <x v="239"/>
    <s v="cliente170@mail.cl"/>
    <s v="Hombre"/>
    <s v="28"/>
    <s v="La Serena"/>
    <x v="6"/>
    <s v="Tienda"/>
    <s v="Maquillaje"/>
    <x v="0"/>
    <n v="15000"/>
    <n v="2"/>
    <n v="5"/>
    <n v="30000"/>
    <n v="1500"/>
    <n v="28500"/>
  </r>
  <r>
    <n v="505"/>
    <x v="504"/>
    <x v="15"/>
    <n v="5"/>
    <x v="242"/>
    <x v="242"/>
    <s v="cliente146@mail.cl"/>
    <s v="Mujer"/>
    <s v="47"/>
    <s v="La Serena"/>
    <x v="6"/>
    <s v="Tienda"/>
    <s v="TV"/>
    <x v="1"/>
    <n v="650000"/>
    <n v="1"/>
    <n v="1"/>
    <n v="650000"/>
    <n v="6500"/>
    <n v="643500"/>
  </r>
  <r>
    <n v="506"/>
    <x v="505"/>
    <x v="20"/>
    <n v="6"/>
    <x v="232"/>
    <x v="232"/>
    <s v="cliente173@mail.cl"/>
    <s v="Hombre"/>
    <s v="37"/>
    <s v="Talcahuano"/>
    <x v="1"/>
    <s v="Web"/>
    <s v="Perfume"/>
    <x v="0"/>
    <n v="35000"/>
    <n v="1"/>
    <n v="5"/>
    <n v="35000"/>
    <n v="1750"/>
    <n v="33250"/>
  </r>
  <r>
    <n v="507"/>
    <x v="506"/>
    <x v="48"/>
    <n v="1"/>
    <x v="189"/>
    <x v="189"/>
    <s v="cliente251@mail.cl"/>
    <s v="Hombre"/>
    <s v="22"/>
    <s v="Valparaíso"/>
    <x v="3"/>
    <s v="Tienda"/>
    <s v="Pantalón"/>
    <x v="3"/>
    <n v="25000"/>
    <n v="2"/>
    <n v="0"/>
    <n v="50000"/>
    <n v="0"/>
    <n v="50000"/>
  </r>
  <r>
    <n v="508"/>
    <x v="507"/>
    <x v="47"/>
    <n v="13"/>
    <x v="206"/>
    <x v="206"/>
    <s v="cliente210@mail.cl"/>
    <s v="Hombre"/>
    <s v="75"/>
    <s v="Rancagua"/>
    <x v="7"/>
    <s v="Tienda"/>
    <s v="Refrigerador"/>
    <x v="1"/>
    <n v="800000"/>
    <n v="3"/>
    <n v="0"/>
    <n v="2400000"/>
    <n v="0"/>
    <n v="2400000"/>
  </r>
  <r>
    <n v="509"/>
    <x v="508"/>
    <x v="47"/>
    <n v="13"/>
    <x v="8"/>
    <x v="8"/>
    <s v="cliente255@mail.cl"/>
    <s v="Hombre"/>
    <s v="19"/>
    <s v="Rancagua"/>
    <x v="7"/>
    <s v="Tienda"/>
    <s v="TV"/>
    <x v="1"/>
    <n v="650000"/>
    <n v="3"/>
    <n v="0"/>
    <n v="1950000"/>
    <n v="0"/>
    <n v="1950000"/>
  </r>
  <r>
    <n v="510"/>
    <x v="509"/>
    <x v="1"/>
    <n v="0"/>
    <x v="37"/>
    <x v="37"/>
    <s v="cliente178@mail.cl"/>
    <s v="Mujer"/>
    <s v="55"/>
    <s v="Talcahuano"/>
    <x v="1"/>
    <s v="Tienda"/>
    <s v="Pantalón"/>
    <x v="3"/>
    <n v="25000"/>
    <n v="2"/>
    <n v="1"/>
    <n v="50000"/>
    <n v="500"/>
    <n v="49500"/>
  </r>
  <r>
    <n v="511"/>
    <x v="510"/>
    <x v="49"/>
    <n v="0"/>
    <x v="154"/>
    <x v="154"/>
    <s v="cliente182@mail.cl"/>
    <s v="Hombre"/>
    <s v="27"/>
    <s v="Santiago"/>
    <x v="2"/>
    <s v="Tienda"/>
    <s v="Smartphone"/>
    <x v="2"/>
    <n v="450000"/>
    <n v="1"/>
    <n v="0"/>
    <n v="450000"/>
    <n v="0"/>
    <n v="450000"/>
  </r>
  <r>
    <n v="512"/>
    <x v="511"/>
    <x v="37"/>
    <n v="6"/>
    <x v="171"/>
    <x v="171"/>
    <s v="cliente8@mail.cl"/>
    <s v="Mujer"/>
    <s v="47"/>
    <s v="Valparaíso"/>
    <x v="3"/>
    <s v="Tienda"/>
    <s v="Zapatillas"/>
    <x v="4"/>
    <n v="55000"/>
    <n v="2"/>
    <n v="0"/>
    <n v="110000"/>
    <n v="0"/>
    <n v="110000"/>
  </r>
  <r>
    <n v="513"/>
    <x v="512"/>
    <x v="13"/>
    <n v="5"/>
    <x v="62"/>
    <x v="62"/>
    <s v="cliente148@mail.cl"/>
    <s v="Hombre"/>
    <s v="22"/>
    <s v="Puerto Montt"/>
    <x v="5"/>
    <s v="App"/>
    <s v="Maquillaje"/>
    <x v="0"/>
    <n v="15000"/>
    <n v="2"/>
    <n v="1"/>
    <n v="30000"/>
    <n v="300"/>
    <n v="29700"/>
  </r>
  <r>
    <n v="514"/>
    <x v="513"/>
    <x v="66"/>
    <n v="7"/>
    <x v="44"/>
    <x v="44"/>
    <s v="cliente204@mail.cl"/>
    <s v="Hombre"/>
    <s v="50"/>
    <s v="Antofagasta"/>
    <x v="4"/>
    <s v="Web"/>
    <s v="Zapatillas"/>
    <x v="4"/>
    <n v="55000"/>
    <n v="2"/>
    <n v="1"/>
    <n v="110000"/>
    <n v="1100"/>
    <n v="108900"/>
  </r>
  <r>
    <n v="515"/>
    <x v="514"/>
    <x v="68"/>
    <n v="8"/>
    <x v="141"/>
    <x v="141"/>
    <s v="cliente177@mail.cl"/>
    <s v="Mujer"/>
    <s v="38"/>
    <s v="Valparaíso"/>
    <x v="3"/>
    <s v="Web"/>
    <s v="Notebook"/>
    <x v="2"/>
    <n v="750000"/>
    <n v="3"/>
    <n v="1"/>
    <n v="2250000"/>
    <n v="22500"/>
    <n v="2227500"/>
  </r>
  <r>
    <n v="516"/>
    <x v="515"/>
    <x v="15"/>
    <n v="5"/>
    <x v="111"/>
    <x v="111"/>
    <s v="cliente248@mail.cl"/>
    <s v="Hombre"/>
    <s v="30"/>
    <s v="La Serena"/>
    <x v="6"/>
    <s v="Tienda"/>
    <s v="Pantalón"/>
    <x v="3"/>
    <n v="25000"/>
    <n v="1"/>
    <n v="0"/>
    <n v="25000"/>
    <n v="0"/>
    <n v="25000"/>
  </r>
  <r>
    <n v="517"/>
    <x v="516"/>
    <x v="8"/>
    <n v="2"/>
    <x v="243"/>
    <x v="243"/>
    <s v="cliente59@mail.cl"/>
    <s v="Hombre"/>
    <s v="41"/>
    <s v="Concepción"/>
    <x v="1"/>
    <s v="Tienda"/>
    <s v="Notebook"/>
    <x v="2"/>
    <n v="750000"/>
    <n v="3"/>
    <n v="0"/>
    <n v="2250000"/>
    <n v="0"/>
    <n v="2250000"/>
  </r>
  <r>
    <n v="518"/>
    <x v="517"/>
    <x v="38"/>
    <n v="2"/>
    <x v="175"/>
    <x v="175"/>
    <s v="cliente272@mail.cl"/>
    <s v="Hombre"/>
    <s v="20"/>
    <s v="Rancagua"/>
    <x v="7"/>
    <s v="Web"/>
    <s v="Zapatillas"/>
    <x v="4"/>
    <n v="55000"/>
    <n v="2"/>
    <n v="0"/>
    <n v="110000"/>
    <n v="0"/>
    <n v="110000"/>
  </r>
  <r>
    <n v="519"/>
    <x v="518"/>
    <x v="56"/>
    <n v="5"/>
    <x v="196"/>
    <x v="196"/>
    <s v="cliente168@mail.cl"/>
    <s v="Hombre"/>
    <s v="60"/>
    <s v="Viña del Mar"/>
    <x v="3"/>
    <s v="App"/>
    <s v="Lavadora"/>
    <x v="1"/>
    <n v="700000"/>
    <n v="1"/>
    <n v="1"/>
    <n v="700000"/>
    <n v="7000"/>
    <n v="693000"/>
  </r>
  <r>
    <n v="520"/>
    <x v="519"/>
    <x v="33"/>
    <n v="4"/>
    <x v="24"/>
    <x v="24"/>
    <s v="cliente132@mail.cl"/>
    <s v="Mujer"/>
    <s v="38"/>
    <s v="Temuco"/>
    <x v="0"/>
    <s v="Web"/>
    <s v="Pantalón"/>
    <x v="3"/>
    <n v="25000"/>
    <n v="2"/>
    <n v="1"/>
    <n v="50000"/>
    <n v="500"/>
    <n v="49500"/>
  </r>
  <r>
    <n v="521"/>
    <x v="520"/>
    <x v="68"/>
    <n v="8"/>
    <x v="244"/>
    <x v="244"/>
    <s v="cliente57@mail.cl"/>
    <s v="Mujer"/>
    <s v="27"/>
    <s v="Valparaíso"/>
    <x v="3"/>
    <s v="Tienda"/>
    <s v="Refrigerador"/>
    <x v="1"/>
    <n v="800000"/>
    <n v="3"/>
    <n v="5"/>
    <n v="2400000"/>
    <n v="120000"/>
    <n v="2280000"/>
  </r>
  <r>
    <n v="522"/>
    <x v="521"/>
    <x v="17"/>
    <n v="3"/>
    <x v="181"/>
    <x v="181"/>
    <s v="cliente74@mail.cl"/>
    <s v="Hombre"/>
    <s v="56"/>
    <s v="Temuco"/>
    <x v="0"/>
    <s v="App"/>
    <s v="Zapatillas"/>
    <x v="4"/>
    <n v="55000"/>
    <n v="2"/>
    <n v="5"/>
    <n v="110000"/>
    <n v="5500"/>
    <n v="104500"/>
  </r>
  <r>
    <n v="523"/>
    <x v="522"/>
    <x v="58"/>
    <n v="9"/>
    <x v="245"/>
    <x v="245"/>
    <s v="cliente152@mail.cl"/>
    <s v="Mujer"/>
    <s v="42"/>
    <s v="Valparaíso"/>
    <x v="3"/>
    <s v="Web"/>
    <s v="Notebook"/>
    <x v="2"/>
    <n v="750000"/>
    <n v="1"/>
    <n v="1"/>
    <n v="750000"/>
    <n v="7500"/>
    <n v="742500"/>
  </r>
  <r>
    <n v="524"/>
    <x v="523"/>
    <x v="7"/>
    <n v="3"/>
    <x v="197"/>
    <x v="197"/>
    <s v="cliente82@mail.cl"/>
    <s v="Hombre"/>
    <m/>
    <s v="Concepción"/>
    <x v="1"/>
    <s v="Web"/>
    <s v="Smartphone"/>
    <x v="2"/>
    <n v="450000"/>
    <n v="2"/>
    <n v="1"/>
    <n v="900000"/>
    <n v="9000"/>
    <n v="891000"/>
  </r>
  <r>
    <n v="525"/>
    <x v="524"/>
    <x v="32"/>
    <n v="4"/>
    <x v="213"/>
    <x v="213"/>
    <s v="cliente113@mail.cl"/>
    <s v="Mujer"/>
    <s v="38"/>
    <s v="Talcahuano"/>
    <x v="1"/>
    <s v="Tienda"/>
    <s v="TV"/>
    <x v="1"/>
    <n v="650000"/>
    <n v="3"/>
    <n v="0"/>
    <n v="1950000"/>
    <n v="0"/>
    <n v="1950000"/>
  </r>
  <r>
    <n v="526"/>
    <x v="525"/>
    <x v="45"/>
    <n v="1"/>
    <x v="164"/>
    <x v="164"/>
    <s v="cliente279@mail.cl"/>
    <s v="Mujer"/>
    <s v="38"/>
    <s v="Talcahuano"/>
    <x v="1"/>
    <s v="Tienda"/>
    <s v="TV"/>
    <x v="1"/>
    <n v="650000"/>
    <n v="3"/>
    <n v="0"/>
    <n v="1950000"/>
    <n v="0"/>
    <n v="1950000"/>
  </r>
  <r>
    <n v="527"/>
    <x v="526"/>
    <x v="61"/>
    <n v="4"/>
    <x v="25"/>
    <x v="25"/>
    <s v="cliente114@mail.cl"/>
    <s v="Mujer"/>
    <s v="67"/>
    <s v="Viña del Mar"/>
    <x v="3"/>
    <s v="Tienda"/>
    <s v="Refrigerador"/>
    <x v="1"/>
    <n v="800000"/>
    <n v="1"/>
    <n v="5"/>
    <n v="800000"/>
    <n v="40000"/>
    <n v="760000"/>
  </r>
  <r>
    <n v="528"/>
    <x v="527"/>
    <x v="7"/>
    <n v="3"/>
    <x v="81"/>
    <x v="81"/>
    <s v="cliente86@mail.cl"/>
    <s v="Hombre"/>
    <s v="31"/>
    <s v="Concepción"/>
    <x v="1"/>
    <s v="Web"/>
    <s v="Pantalón"/>
    <x v="3"/>
    <n v="25000"/>
    <n v="2"/>
    <n v="5"/>
    <n v="50000"/>
    <n v="2500"/>
    <n v="47500"/>
  </r>
  <r>
    <n v="529"/>
    <x v="528"/>
    <x v="34"/>
    <n v="1"/>
    <x v="132"/>
    <x v="132"/>
    <s v="cliente76@mail.cl"/>
    <s v="Hombre"/>
    <s v="47"/>
    <s v="Viña del Mar"/>
    <x v="3"/>
    <s v="App"/>
    <s v="Notebook"/>
    <x v="2"/>
    <n v="750000"/>
    <n v="1"/>
    <n v="0"/>
    <n v="750000"/>
    <n v="0"/>
    <n v="750000"/>
  </r>
  <r>
    <n v="530"/>
    <x v="529"/>
    <x v="47"/>
    <n v="13"/>
    <x v="216"/>
    <x v="216"/>
    <s v="cliente240@mail.cl"/>
    <s v="Hombre"/>
    <s v="48"/>
    <s v="Rancagua"/>
    <x v="7"/>
    <s v="App"/>
    <s v="Notebook"/>
    <x v="2"/>
    <n v="750000"/>
    <n v="3"/>
    <n v="0"/>
    <n v="2250000"/>
    <n v="0"/>
    <n v="2250000"/>
  </r>
  <r>
    <n v="531"/>
    <x v="530"/>
    <x v="68"/>
    <n v="8"/>
    <x v="50"/>
    <x v="50"/>
    <s v="cliente186@mail.cl"/>
    <s v="Mujer"/>
    <s v="46"/>
    <s v="Valparaíso"/>
    <x v="3"/>
    <s v="Tienda"/>
    <s v="Maquillaje"/>
    <x v="0"/>
    <n v="15000"/>
    <n v="1"/>
    <n v="5"/>
    <n v="15000"/>
    <n v="750"/>
    <n v="14250"/>
  </r>
  <r>
    <n v="532"/>
    <x v="531"/>
    <x v="64"/>
    <n v="8"/>
    <x v="206"/>
    <x v="206"/>
    <s v="cliente210@mail.cl"/>
    <s v="Hombre"/>
    <s v="75"/>
    <s v="Santiago"/>
    <x v="2"/>
    <s v="Tienda"/>
    <s v="TV"/>
    <x v="1"/>
    <n v="650000"/>
    <n v="2"/>
    <n v="0"/>
    <n v="1300000"/>
    <n v="0"/>
    <n v="1300000"/>
  </r>
  <r>
    <n v="533"/>
    <x v="532"/>
    <x v="66"/>
    <n v="7"/>
    <x v="85"/>
    <x v="85"/>
    <s v="cliente61@mail.cl"/>
    <s v="Mujer"/>
    <s v="32"/>
    <s v="Antofagasta"/>
    <x v="4"/>
    <s v="App"/>
    <s v="Smartphone"/>
    <x v="2"/>
    <n v="450000"/>
    <n v="1"/>
    <n v="0"/>
    <n v="450000"/>
    <n v="0"/>
    <n v="450000"/>
  </r>
  <r>
    <n v="534"/>
    <x v="533"/>
    <x v="37"/>
    <n v="6"/>
    <x v="57"/>
    <x v="57"/>
    <s v="cliente263@mail.cl"/>
    <s v="Mujer"/>
    <s v="18"/>
    <s v="Valparaíso"/>
    <x v="3"/>
    <s v="Web"/>
    <s v="Refrigerador"/>
    <x v="1"/>
    <n v="800000"/>
    <n v="1"/>
    <n v="1"/>
    <n v="800000"/>
    <n v="8000"/>
    <n v="792000"/>
  </r>
  <r>
    <n v="535"/>
    <x v="534"/>
    <x v="28"/>
    <n v="7"/>
    <x v="233"/>
    <x v="233"/>
    <s v="cliente175@mail.cl"/>
    <s v="Hombre"/>
    <s v="41"/>
    <s v="Valparaíso"/>
    <x v="3"/>
    <s v="Tienda"/>
    <s v="Refrigerador"/>
    <x v="1"/>
    <n v="800000"/>
    <n v="3"/>
    <n v="5"/>
    <n v="2400000"/>
    <n v="120000"/>
    <n v="2280000"/>
  </r>
  <r>
    <n v="536"/>
    <x v="535"/>
    <x v="61"/>
    <n v="4"/>
    <x v="246"/>
    <x v="246"/>
    <s v="cliente262@mail.cl"/>
    <s v="Mujer"/>
    <s v="37"/>
    <s v="Viña del Mar"/>
    <x v="3"/>
    <s v="Tienda"/>
    <s v="Pantalón"/>
    <x v="3"/>
    <n v="25000"/>
    <n v="1"/>
    <n v="0"/>
    <n v="25000"/>
    <n v="0"/>
    <n v="25000"/>
  </r>
  <r>
    <n v="537"/>
    <x v="536"/>
    <x v="4"/>
    <n v="0"/>
    <x v="2"/>
    <x v="2"/>
    <s v="cliente196@mail.cl"/>
    <s v="Hombre"/>
    <s v="42"/>
    <s v="Antofagasta"/>
    <x v="4"/>
    <s v="App"/>
    <s v="Smartphone"/>
    <x v="2"/>
    <n v="450000"/>
    <n v="1"/>
    <n v="0"/>
    <n v="450000"/>
    <n v="0"/>
    <n v="450000"/>
  </r>
  <r>
    <n v="538"/>
    <x v="537"/>
    <x v="43"/>
    <n v="0"/>
    <x v="71"/>
    <x v="71"/>
    <s v="cliente121@mail.cl"/>
    <s v="Hombre"/>
    <s v="47"/>
    <s v="Valparaíso"/>
    <x v="3"/>
    <s v="App"/>
    <s v="Zapatillas"/>
    <x v="4"/>
    <n v="55000"/>
    <n v="3"/>
    <n v="1"/>
    <n v="165000"/>
    <n v="1650"/>
    <n v="163350"/>
  </r>
  <r>
    <n v="539"/>
    <x v="538"/>
    <x v="60"/>
    <n v="2"/>
    <x v="145"/>
    <x v="145"/>
    <s v="cliente70@mail.cl"/>
    <s v="Mujer"/>
    <s v="30"/>
    <s v="Talcahuano"/>
    <x v="1"/>
    <s v="Web"/>
    <s v="Smartphone"/>
    <x v="2"/>
    <n v="450000"/>
    <n v="2"/>
    <n v="0"/>
    <n v="900000"/>
    <n v="0"/>
    <n v="900000"/>
  </r>
  <r>
    <n v="540"/>
    <x v="539"/>
    <x v="59"/>
    <n v="1"/>
    <x v="148"/>
    <x v="148"/>
    <s v="cliente159@mail.cl"/>
    <s v="Mujer"/>
    <m/>
    <s v="Puerto Montt"/>
    <x v="5"/>
    <s v="App"/>
    <s v="Notebook"/>
    <x v="2"/>
    <n v="750000"/>
    <n v="2"/>
    <n v="0"/>
    <n v="1500000"/>
    <n v="0"/>
    <n v="1500000"/>
  </r>
  <r>
    <n v="541"/>
    <x v="540"/>
    <x v="28"/>
    <n v="7"/>
    <x v="247"/>
    <x v="247"/>
    <s v="cliente29@mail.cl"/>
    <s v="Hombre"/>
    <s v="30"/>
    <s v="Valparaíso"/>
    <x v="3"/>
    <s v="Tienda"/>
    <s v="Pantalón"/>
    <x v="3"/>
    <n v="25000"/>
    <n v="1"/>
    <n v="0"/>
    <n v="25000"/>
    <n v="0"/>
    <n v="25000"/>
  </r>
  <r>
    <n v="542"/>
    <x v="541"/>
    <x v="19"/>
    <n v="4"/>
    <x v="207"/>
    <x v="207"/>
    <s v="cliente270@mail.cl"/>
    <s v="Hombre"/>
    <s v="39"/>
    <s v="Rancagua"/>
    <x v="7"/>
    <s v="Web"/>
    <s v="Lavadora"/>
    <x v="1"/>
    <n v="700000"/>
    <n v="3"/>
    <n v="0"/>
    <n v="2100000"/>
    <n v="0"/>
    <n v="2100000"/>
  </r>
  <r>
    <n v="543"/>
    <x v="542"/>
    <x v="42"/>
    <n v="4"/>
    <x v="199"/>
    <x v="199"/>
    <s v="cliente106@mail.cl"/>
    <s v="Hombre"/>
    <s v="42"/>
    <s v="Antofagasta"/>
    <x v="4"/>
    <s v="Web"/>
    <s v="Smartphone"/>
    <x v="2"/>
    <n v="450000"/>
    <n v="3"/>
    <n v="0"/>
    <n v="1350000"/>
    <n v="0"/>
    <n v="1350000"/>
  </r>
  <r>
    <n v="544"/>
    <x v="543"/>
    <x v="61"/>
    <n v="4"/>
    <x v="26"/>
    <x v="26"/>
    <s v="cliente252@mail.cl"/>
    <s v="Mujer"/>
    <s v="49"/>
    <s v="Viña del Mar"/>
    <x v="3"/>
    <s v="Web"/>
    <s v="Lavadora"/>
    <x v="1"/>
    <n v="700000"/>
    <n v="3"/>
    <n v="0"/>
    <n v="2100000"/>
    <n v="0"/>
    <n v="2100000"/>
  </r>
  <r>
    <n v="545"/>
    <x v="544"/>
    <x v="54"/>
    <n v="4"/>
    <x v="31"/>
    <x v="31"/>
    <s v="cliente43@mail.cl"/>
    <s v="Hombre"/>
    <s v="36"/>
    <s v="Rancagua"/>
    <x v="7"/>
    <s v="Tienda"/>
    <s v="Maquillaje"/>
    <x v="0"/>
    <n v="15000"/>
    <n v="2"/>
    <n v="0"/>
    <n v="30000"/>
    <n v="0"/>
    <n v="30000"/>
  </r>
  <r>
    <n v="546"/>
    <x v="545"/>
    <x v="63"/>
    <n v="1"/>
    <x v="30"/>
    <x v="30"/>
    <s v="cliente162@mail.cl"/>
    <s v="Mujer"/>
    <s v="47"/>
    <s v="Puerto Montt"/>
    <x v="5"/>
    <s v="Tienda"/>
    <s v="Refrigerador"/>
    <x v="1"/>
    <n v="800000"/>
    <n v="1"/>
    <n v="0"/>
    <n v="800000"/>
    <n v="0"/>
    <n v="800000"/>
  </r>
  <r>
    <n v="547"/>
    <x v="546"/>
    <x v="4"/>
    <n v="0"/>
    <x v="144"/>
    <x v="144"/>
    <s v="cliente51@mail.cl"/>
    <s v="Hombre"/>
    <m/>
    <s v="Antofagasta"/>
    <x v="4"/>
    <s v="App"/>
    <s v="Zapatillas"/>
    <x v="4"/>
    <n v="55000"/>
    <n v="3"/>
    <n v="1"/>
    <n v="165000"/>
    <n v="1650"/>
    <n v="163350"/>
  </r>
  <r>
    <n v="548"/>
    <x v="547"/>
    <x v="58"/>
    <n v="9"/>
    <x v="237"/>
    <x v="237"/>
    <s v="cliente11@mail.cl"/>
    <s v="Hombre"/>
    <s v="32"/>
    <s v="Valparaíso"/>
    <x v="3"/>
    <s v="Tienda"/>
    <s v="Lavadora"/>
    <x v="1"/>
    <n v="700000"/>
    <n v="1"/>
    <n v="0"/>
    <n v="700000"/>
    <n v="0"/>
    <n v="700000"/>
  </r>
  <r>
    <n v="549"/>
    <x v="548"/>
    <x v="12"/>
    <n v="1"/>
    <x v="230"/>
    <x v="230"/>
    <s v="cliente208@mail.cl"/>
    <s v="Mujer"/>
    <s v="44"/>
    <s v="Talcahuano"/>
    <x v="1"/>
    <s v="App"/>
    <s v="Zapatillas"/>
    <x v="4"/>
    <n v="55000"/>
    <n v="1"/>
    <n v="5"/>
    <n v="55000"/>
    <n v="2750"/>
    <n v="52250"/>
  </r>
  <r>
    <n v="550"/>
    <x v="549"/>
    <x v="10"/>
    <n v="5"/>
    <x v="248"/>
    <x v="248"/>
    <s v="cliente161@mail.cl"/>
    <s v="Hombre"/>
    <s v="26"/>
    <s v="Temuco"/>
    <x v="0"/>
    <s v="Web"/>
    <s v="Zapatillas"/>
    <x v="4"/>
    <n v="55000"/>
    <n v="2"/>
    <n v="0"/>
    <n v="110000"/>
    <n v="0"/>
    <n v="110000"/>
  </r>
  <r>
    <n v="551"/>
    <x v="550"/>
    <x v="44"/>
    <n v="2"/>
    <x v="146"/>
    <x v="146"/>
    <s v="cliente166@mail.cl"/>
    <s v="Mujer"/>
    <s v="42"/>
    <s v="Talcahuano"/>
    <x v="1"/>
    <s v="Tienda"/>
    <s v="Zapatillas"/>
    <x v="4"/>
    <n v="55000"/>
    <n v="1"/>
    <n v="0"/>
    <n v="55000"/>
    <n v="0"/>
    <n v="55000"/>
  </r>
  <r>
    <n v="552"/>
    <x v="551"/>
    <x v="50"/>
    <n v="6"/>
    <x v="92"/>
    <x v="92"/>
    <s v="cliente228@mail.cl"/>
    <s v="Mujer"/>
    <s v="25"/>
    <s v="Antofagasta"/>
    <x v="4"/>
    <s v="Tienda"/>
    <s v="Notebook"/>
    <x v="2"/>
    <n v="750000"/>
    <n v="1"/>
    <n v="0"/>
    <n v="750000"/>
    <n v="0"/>
    <n v="750000"/>
  </r>
  <r>
    <n v="553"/>
    <x v="552"/>
    <x v="5"/>
    <n v="0"/>
    <x v="14"/>
    <x v="14"/>
    <s v="cliente67@mail.cl"/>
    <s v="Hombre"/>
    <s v="37"/>
    <s v="Santiago"/>
    <x v="2"/>
    <s v="Tienda"/>
    <s v="Lavadora"/>
    <x v="1"/>
    <n v="700000"/>
    <n v="3"/>
    <n v="0"/>
    <n v="2100000"/>
    <n v="0"/>
    <n v="2100000"/>
  </r>
  <r>
    <n v="554"/>
    <x v="553"/>
    <x v="67"/>
    <n v="1"/>
    <x v="184"/>
    <x v="184"/>
    <s v="cliente138@mail.cl"/>
    <s v="Mujer"/>
    <s v="34"/>
    <s v="Viña del Mar"/>
    <x v="3"/>
    <s v="Tienda"/>
    <s v="Perfume"/>
    <x v="0"/>
    <n v="35000"/>
    <n v="2"/>
    <n v="1"/>
    <n v="70000"/>
    <n v="700"/>
    <n v="69300"/>
  </r>
  <r>
    <n v="555"/>
    <x v="554"/>
    <x v="62"/>
    <n v="1"/>
    <x v="225"/>
    <x v="225"/>
    <s v="cliente19@mail.cl"/>
    <s v="Hombre"/>
    <s v="27"/>
    <s v="Antofagasta"/>
    <x v="4"/>
    <s v="Web"/>
    <s v="Zapatillas"/>
    <x v="4"/>
    <n v="55000"/>
    <n v="1"/>
    <n v="0"/>
    <n v="55000"/>
    <n v="0"/>
    <n v="55000"/>
  </r>
  <r>
    <n v="556"/>
    <x v="555"/>
    <x v="69"/>
    <n v="1"/>
    <x v="15"/>
    <x v="15"/>
    <s v="cliente269@mail.cl"/>
    <s v="Mujer"/>
    <s v="32"/>
    <s v="Puerto Montt"/>
    <x v="5"/>
    <s v="Tienda"/>
    <s v="Zapatillas"/>
    <x v="4"/>
    <n v="55000"/>
    <n v="2"/>
    <n v="0"/>
    <n v="110000"/>
    <n v="0"/>
    <n v="110000"/>
  </r>
  <r>
    <n v="557"/>
    <x v="556"/>
    <x v="31"/>
    <n v="5"/>
    <x v="87"/>
    <x v="87"/>
    <s v="cliente274@mail.cl"/>
    <s v="Mujer"/>
    <s v="38"/>
    <s v="Puerto Montt"/>
    <x v="5"/>
    <s v="Web"/>
    <s v="Perfume"/>
    <x v="0"/>
    <n v="35000"/>
    <n v="1"/>
    <n v="5"/>
    <n v="35000"/>
    <n v="1750"/>
    <n v="33250"/>
  </r>
  <r>
    <n v="558"/>
    <x v="557"/>
    <x v="31"/>
    <n v="5"/>
    <x v="231"/>
    <x v="231"/>
    <s v="cliente27@mail.cl"/>
    <s v="Mujer"/>
    <s v="24"/>
    <s v="Puerto Montt"/>
    <x v="5"/>
    <s v="Web"/>
    <s v="Polera"/>
    <x v="3"/>
    <n v="12000"/>
    <n v="3"/>
    <n v="1"/>
    <n v="36000"/>
    <n v="360"/>
    <n v="35640"/>
  </r>
  <r>
    <n v="559"/>
    <x v="558"/>
    <x v="28"/>
    <n v="7"/>
    <x v="62"/>
    <x v="62"/>
    <s v="cliente148@mail.cl"/>
    <s v="Hombre"/>
    <s v="22"/>
    <s v="Valparaíso"/>
    <x v="3"/>
    <s v="Web"/>
    <s v="Perfume"/>
    <x v="0"/>
    <n v="35000"/>
    <n v="1"/>
    <n v="0"/>
    <n v="35000"/>
    <n v="0"/>
    <n v="35000"/>
  </r>
  <r>
    <n v="560"/>
    <x v="559"/>
    <x v="0"/>
    <n v="0"/>
    <x v="1"/>
    <x v="1"/>
    <s v="cliente102@mail.cl"/>
    <s v="Hombre"/>
    <s v="32"/>
    <s v="Temuco"/>
    <x v="0"/>
    <s v="Tienda"/>
    <s v="Smartphone"/>
    <x v="2"/>
    <n v="450000"/>
    <n v="2"/>
    <n v="0"/>
    <n v="900000"/>
    <n v="0"/>
    <n v="900000"/>
  </r>
  <r>
    <n v="561"/>
    <x v="560"/>
    <x v="8"/>
    <n v="2"/>
    <x v="47"/>
    <x v="47"/>
    <s v="cliente221@mail.cl"/>
    <s v="Mujer"/>
    <s v="65"/>
    <s v="Concepción"/>
    <x v="1"/>
    <s v="App"/>
    <s v="Smartphone"/>
    <x v="2"/>
    <n v="450000"/>
    <n v="1"/>
    <n v="5"/>
    <n v="450000"/>
    <n v="22500"/>
    <n v="427500"/>
  </r>
  <r>
    <n v="562"/>
    <x v="561"/>
    <x v="20"/>
    <n v="6"/>
    <x v="227"/>
    <x v="227"/>
    <s v="cliente203@mail.cl"/>
    <s v="Mujer"/>
    <s v="50"/>
    <s v="Talcahuano"/>
    <x v="1"/>
    <s v="App"/>
    <s v="Maquillaje"/>
    <x v="0"/>
    <n v="15000"/>
    <n v="1"/>
    <n v="0"/>
    <n v="15000"/>
    <n v="0"/>
    <n v="15000"/>
  </r>
  <r>
    <n v="563"/>
    <x v="562"/>
    <x v="3"/>
    <n v="1"/>
    <x v="216"/>
    <x v="216"/>
    <s v="cliente240@mail.cl"/>
    <s v="Hombre"/>
    <s v="48"/>
    <s v="Valparaíso"/>
    <x v="3"/>
    <s v="Tienda"/>
    <s v="Lavadora"/>
    <x v="1"/>
    <n v="700000"/>
    <n v="2"/>
    <n v="5"/>
    <n v="1400000"/>
    <n v="70000"/>
    <n v="1330000"/>
  </r>
  <r>
    <n v="564"/>
    <x v="563"/>
    <x v="24"/>
    <n v="0"/>
    <x v="249"/>
    <x v="249"/>
    <s v="cliente236@mail.cl"/>
    <s v="Mujer"/>
    <s v="45"/>
    <s v="Rancagua"/>
    <x v="7"/>
    <s v="Tienda"/>
    <s v="Lavadora"/>
    <x v="1"/>
    <n v="700000"/>
    <n v="1"/>
    <n v="5"/>
    <n v="700000"/>
    <n v="35000"/>
    <n v="665000"/>
  </r>
  <r>
    <n v="565"/>
    <x v="564"/>
    <x v="66"/>
    <n v="7"/>
    <x v="167"/>
    <x v="167"/>
    <s v="cliente209@mail.cl"/>
    <s v="Hombre"/>
    <s v="44"/>
    <s v="Antofagasta"/>
    <x v="4"/>
    <s v="Tienda"/>
    <s v="TV"/>
    <x v="1"/>
    <n v="650000"/>
    <n v="2"/>
    <n v="0"/>
    <n v="1300000"/>
    <n v="0"/>
    <n v="1300000"/>
  </r>
  <r>
    <n v="566"/>
    <x v="565"/>
    <x v="48"/>
    <n v="1"/>
    <x v="48"/>
    <x v="48"/>
    <s v="cliente99@mail.cl"/>
    <s v="Hombre"/>
    <s v="38"/>
    <s v="Valparaíso"/>
    <x v="3"/>
    <s v="Web"/>
    <s v="Maquillaje"/>
    <x v="0"/>
    <n v="15000"/>
    <n v="1"/>
    <n v="5"/>
    <n v="15000"/>
    <n v="750"/>
    <n v="14250"/>
  </r>
  <r>
    <n v="567"/>
    <x v="566"/>
    <x v="44"/>
    <n v="2"/>
    <x v="82"/>
    <x v="82"/>
    <s v="cliente95@mail.cl"/>
    <s v="Mujer"/>
    <s v="33"/>
    <s v="Talcahuano"/>
    <x v="1"/>
    <s v="Tienda"/>
    <s v="Notebook"/>
    <x v="2"/>
    <n v="750000"/>
    <n v="3"/>
    <n v="0"/>
    <n v="2250000"/>
    <n v="0"/>
    <n v="2250000"/>
  </r>
  <r>
    <n v="568"/>
    <x v="567"/>
    <x v="69"/>
    <n v="1"/>
    <x v="27"/>
    <x v="27"/>
    <s v="cliente220@mail.cl"/>
    <s v="Hombre"/>
    <s v="38"/>
    <s v="Puerto Montt"/>
    <x v="5"/>
    <s v="App"/>
    <s v="Smartphone"/>
    <x v="2"/>
    <n v="450000"/>
    <n v="2"/>
    <n v="0"/>
    <n v="900000"/>
    <n v="0"/>
    <n v="900000"/>
  </r>
  <r>
    <n v="569"/>
    <x v="568"/>
    <x v="58"/>
    <n v="9"/>
    <x v="147"/>
    <x v="147"/>
    <s v="cliente231@mail.cl"/>
    <s v="Hombre"/>
    <s v="29"/>
    <s v="Valparaíso"/>
    <x v="3"/>
    <s v="Tienda"/>
    <s v="Polera"/>
    <x v="3"/>
    <n v="12000"/>
    <n v="3"/>
    <n v="0"/>
    <n v="36000"/>
    <n v="0"/>
    <n v="36000"/>
  </r>
  <r>
    <n v="570"/>
    <x v="569"/>
    <x v="45"/>
    <n v="1"/>
    <x v="141"/>
    <x v="141"/>
    <s v="cliente177@mail.cl"/>
    <s v="Mujer"/>
    <s v="38"/>
    <s v="Talcahuano"/>
    <x v="1"/>
    <s v="Tienda"/>
    <s v="Maquillaje"/>
    <x v="0"/>
    <n v="15000"/>
    <n v="2"/>
    <n v="0"/>
    <n v="30000"/>
    <n v="0"/>
    <n v="30000"/>
  </r>
  <r>
    <n v="571"/>
    <x v="570"/>
    <x v="32"/>
    <n v="4"/>
    <x v="10"/>
    <x v="10"/>
    <s v="cliente136@mail.cl"/>
    <s v="Mujer"/>
    <s v="56"/>
    <s v="Talcahuano"/>
    <x v="1"/>
    <s v="Web"/>
    <s v="Polera"/>
    <x v="3"/>
    <n v="12000"/>
    <n v="1"/>
    <n v="1"/>
    <n v="12000"/>
    <n v="120"/>
    <n v="11880"/>
  </r>
  <r>
    <n v="572"/>
    <x v="571"/>
    <x v="54"/>
    <n v="4"/>
    <x v="212"/>
    <x v="212"/>
    <s v="cliente94@mail.cl"/>
    <s v="Hombre"/>
    <s v="34"/>
    <s v="Rancagua"/>
    <x v="7"/>
    <s v="App"/>
    <s v="Zapatillas"/>
    <x v="4"/>
    <n v="55000"/>
    <n v="3"/>
    <n v="0"/>
    <n v="165000"/>
    <n v="0"/>
    <n v="165000"/>
  </r>
  <r>
    <n v="573"/>
    <x v="572"/>
    <x v="3"/>
    <n v="1"/>
    <x v="161"/>
    <x v="161"/>
    <s v="cliente151@mail.cl"/>
    <s v="Hombre"/>
    <s v="41"/>
    <s v="Valparaíso"/>
    <x v="3"/>
    <s v="App"/>
    <s v="Smartphone"/>
    <x v="2"/>
    <n v="450000"/>
    <n v="2"/>
    <n v="0"/>
    <n v="900000"/>
    <n v="0"/>
    <n v="900000"/>
  </r>
  <r>
    <n v="574"/>
    <x v="573"/>
    <x v="36"/>
    <n v="1"/>
    <x v="250"/>
    <x v="250"/>
    <s v="cliente194@mail.cl"/>
    <s v="Mujer"/>
    <s v="23"/>
    <s v="Talcahuano"/>
    <x v="1"/>
    <s v="Web"/>
    <s v="Perfume"/>
    <x v="0"/>
    <n v="35000"/>
    <n v="1"/>
    <n v="0"/>
    <n v="35000"/>
    <n v="0"/>
    <n v="35000"/>
  </r>
  <r>
    <n v="575"/>
    <x v="574"/>
    <x v="60"/>
    <n v="2"/>
    <x v="229"/>
    <x v="229"/>
    <s v="cliente31@mail.cl"/>
    <s v="Hombre"/>
    <s v="30"/>
    <s v="Talcahuano"/>
    <x v="1"/>
    <s v="Web"/>
    <s v="Maquillaje"/>
    <x v="0"/>
    <n v="15000"/>
    <n v="3"/>
    <n v="0"/>
    <n v="45000"/>
    <n v="0"/>
    <n v="45000"/>
  </r>
  <r>
    <n v="576"/>
    <x v="575"/>
    <x v="50"/>
    <n v="6"/>
    <x v="244"/>
    <x v="244"/>
    <s v="cliente57@mail.cl"/>
    <s v="Mujer"/>
    <s v="27"/>
    <s v="Antofagasta"/>
    <x v="4"/>
    <s v="Web"/>
    <s v="Perfume"/>
    <x v="0"/>
    <n v="35000"/>
    <n v="3"/>
    <n v="1"/>
    <n v="105000"/>
    <n v="1050"/>
    <n v="103950"/>
  </r>
  <r>
    <n v="577"/>
    <x v="576"/>
    <x v="51"/>
    <n v="6"/>
    <x v="246"/>
    <x v="246"/>
    <s v="cliente262@mail.cl"/>
    <s v="Mujer"/>
    <s v="37"/>
    <s v="Rancagua"/>
    <x v="7"/>
    <s v="Web"/>
    <s v="Refrigerador"/>
    <x v="1"/>
    <n v="800000"/>
    <n v="2"/>
    <n v="1"/>
    <n v="1600000"/>
    <n v="16000"/>
    <n v="1584000"/>
  </r>
  <r>
    <n v="578"/>
    <x v="577"/>
    <x v="16"/>
    <n v="3"/>
    <x v="14"/>
    <x v="14"/>
    <s v="cliente67@mail.cl"/>
    <s v="Hombre"/>
    <s v="37"/>
    <s v="Concepción"/>
    <x v="1"/>
    <s v="Web"/>
    <s v="Notebook"/>
    <x v="2"/>
    <n v="750000"/>
    <n v="2"/>
    <n v="1"/>
    <n v="1500000"/>
    <n v="15000"/>
    <n v="1485000"/>
  </r>
  <r>
    <n v="579"/>
    <x v="578"/>
    <x v="68"/>
    <n v="8"/>
    <x v="251"/>
    <x v="251"/>
    <s v="cliente245@mail.cl"/>
    <s v="Mujer"/>
    <s v="23"/>
    <s v="Valparaíso"/>
    <x v="3"/>
    <s v="Web"/>
    <s v="Refrigerador"/>
    <x v="1"/>
    <n v="800000"/>
    <n v="3"/>
    <n v="1"/>
    <n v="2400000"/>
    <n v="24000"/>
    <n v="2376000"/>
  </r>
  <r>
    <n v="580"/>
    <x v="579"/>
    <x v="43"/>
    <n v="0"/>
    <x v="208"/>
    <x v="208"/>
    <s v="cliente158@mail.cl"/>
    <s v="Hombre"/>
    <s v="43"/>
    <s v="Valparaíso"/>
    <x v="3"/>
    <s v="Tienda"/>
    <s v="TV"/>
    <x v="1"/>
    <n v="650000"/>
    <n v="1"/>
    <n v="0"/>
    <n v="650000"/>
    <n v="0"/>
    <n v="650000"/>
  </r>
  <r>
    <n v="581"/>
    <x v="580"/>
    <x v="52"/>
    <n v="1"/>
    <x v="37"/>
    <x v="37"/>
    <s v="cliente178@mail.cl"/>
    <s v="Mujer"/>
    <s v="55"/>
    <s v="Viña del Mar"/>
    <x v="3"/>
    <s v="Tienda"/>
    <s v="Notebook"/>
    <x v="2"/>
    <n v="750000"/>
    <n v="2"/>
    <n v="1"/>
    <n v="1500000"/>
    <n v="15000"/>
    <n v="1485000"/>
  </r>
  <r>
    <n v="582"/>
    <x v="581"/>
    <x v="49"/>
    <n v="0"/>
    <x v="172"/>
    <x v="172"/>
    <s v="cliente7@mail.cl"/>
    <s v="Hombre"/>
    <s v="56"/>
    <s v="Santiago"/>
    <x v="2"/>
    <s v="Web"/>
    <s v="Perfume"/>
    <x v="0"/>
    <n v="35000"/>
    <n v="3"/>
    <n v="0"/>
    <n v="105000"/>
    <n v="0"/>
    <n v="105000"/>
  </r>
  <r>
    <n v="583"/>
    <x v="582"/>
    <x v="48"/>
    <n v="1"/>
    <x v="252"/>
    <x v="252"/>
    <s v="cliente77@mail.cl"/>
    <s v="Hombre"/>
    <s v="39"/>
    <s v="Valparaíso"/>
    <x v="3"/>
    <s v="App"/>
    <s v="Perfume"/>
    <x v="0"/>
    <n v="35000"/>
    <n v="1"/>
    <n v="0"/>
    <n v="35000"/>
    <n v="0"/>
    <n v="35000"/>
  </r>
  <r>
    <n v="584"/>
    <x v="583"/>
    <x v="47"/>
    <n v="13"/>
    <x v="74"/>
    <x v="74"/>
    <s v="cliente38@mail.cl"/>
    <s v="Hombre"/>
    <s v="18"/>
    <s v="Rancagua"/>
    <x v="7"/>
    <s v="Tienda"/>
    <s v="Pantalón"/>
    <x v="3"/>
    <n v="25000"/>
    <n v="3"/>
    <n v="1"/>
    <n v="75000"/>
    <n v="750"/>
    <n v="74250"/>
  </r>
  <r>
    <n v="585"/>
    <x v="584"/>
    <x v="59"/>
    <n v="1"/>
    <x v="221"/>
    <x v="221"/>
    <s v="cliente230@mail.cl"/>
    <s v="Hombre"/>
    <s v="46"/>
    <s v="Puerto Montt"/>
    <x v="5"/>
    <s v="App"/>
    <s v="Perfume"/>
    <x v="0"/>
    <n v="35000"/>
    <n v="3"/>
    <n v="0"/>
    <n v="105000"/>
    <n v="0"/>
    <n v="105000"/>
  </r>
  <r>
    <n v="586"/>
    <x v="585"/>
    <x v="28"/>
    <n v="7"/>
    <x v="99"/>
    <x v="99"/>
    <s v="cliente37@mail.cl"/>
    <s v="Hombre"/>
    <s v="40"/>
    <s v="Valparaíso"/>
    <x v="3"/>
    <s v="App"/>
    <s v="TV"/>
    <x v="1"/>
    <n v="650000"/>
    <n v="3"/>
    <n v="5"/>
    <n v="1950000"/>
    <n v="97500"/>
    <n v="1852500"/>
  </r>
  <r>
    <n v="587"/>
    <x v="586"/>
    <x v="18"/>
    <n v="0"/>
    <x v="149"/>
    <x v="149"/>
    <s v="cliente253@mail.cl"/>
    <s v="Hombre"/>
    <m/>
    <s v="Talcahuano"/>
    <x v="1"/>
    <s v="App"/>
    <s v="TV"/>
    <x v="1"/>
    <n v="650000"/>
    <n v="3"/>
    <n v="0"/>
    <n v="1950000"/>
    <n v="0"/>
    <n v="1950000"/>
  </r>
  <r>
    <n v="588"/>
    <x v="587"/>
    <x v="14"/>
    <n v="9"/>
    <x v="11"/>
    <x v="11"/>
    <s v="cliente50@mail.cl"/>
    <s v="Hombre"/>
    <s v="18"/>
    <s v="Talcahuano"/>
    <x v="1"/>
    <s v="Tienda"/>
    <s v="Lavadora"/>
    <x v="1"/>
    <n v="700000"/>
    <n v="1"/>
    <n v="5"/>
    <n v="700000"/>
    <n v="35000"/>
    <n v="665000"/>
  </r>
  <r>
    <n v="589"/>
    <x v="588"/>
    <x v="60"/>
    <n v="2"/>
    <x v="25"/>
    <x v="25"/>
    <s v="cliente114@mail.cl"/>
    <s v="Mujer"/>
    <s v="67"/>
    <s v="Talcahuano"/>
    <x v="1"/>
    <s v="Web"/>
    <s v="Polera"/>
    <x v="3"/>
    <n v="12000"/>
    <n v="3"/>
    <n v="1"/>
    <n v="36000"/>
    <n v="360"/>
    <n v="35640"/>
  </r>
  <r>
    <n v="590"/>
    <x v="589"/>
    <x v="53"/>
    <n v="0"/>
    <x v="253"/>
    <x v="253"/>
    <s v="cliente42@mail.cl"/>
    <s v="Hombre"/>
    <s v="40"/>
    <s v="Talcahuano"/>
    <x v="1"/>
    <s v="Tienda"/>
    <s v="Refrigerador"/>
    <x v="1"/>
    <n v="800000"/>
    <n v="3"/>
    <n v="5"/>
    <n v="2400000"/>
    <n v="120000"/>
    <n v="2280000"/>
  </r>
  <r>
    <n v="591"/>
    <x v="590"/>
    <x v="67"/>
    <n v="1"/>
    <x v="53"/>
    <x v="53"/>
    <s v="cliente123@mail.cl"/>
    <s v="Hombre"/>
    <s v="54"/>
    <s v="Viña del Mar"/>
    <x v="3"/>
    <s v="Web"/>
    <s v="Zapatillas"/>
    <x v="4"/>
    <n v="55000"/>
    <n v="2"/>
    <n v="0"/>
    <n v="110000"/>
    <n v="0"/>
    <n v="110000"/>
  </r>
  <r>
    <n v="592"/>
    <x v="591"/>
    <x v="17"/>
    <n v="3"/>
    <x v="177"/>
    <x v="177"/>
    <s v="cliente91@mail.cl"/>
    <s v="Hombre"/>
    <s v="39"/>
    <s v="Temuco"/>
    <x v="0"/>
    <s v="App"/>
    <s v="Polera"/>
    <x v="3"/>
    <n v="12000"/>
    <n v="3"/>
    <n v="1"/>
    <n v="36000"/>
    <n v="360"/>
    <n v="35640"/>
  </r>
  <r>
    <n v="593"/>
    <x v="592"/>
    <x v="14"/>
    <n v="9"/>
    <x v="184"/>
    <x v="184"/>
    <s v="cliente138@mail.cl"/>
    <s v="Mujer"/>
    <s v="34"/>
    <s v="Talcahuano"/>
    <x v="1"/>
    <s v="Tienda"/>
    <s v="Refrigerador"/>
    <x v="1"/>
    <n v="800000"/>
    <n v="3"/>
    <n v="5"/>
    <n v="2400000"/>
    <n v="120000"/>
    <n v="2280000"/>
  </r>
  <r>
    <n v="594"/>
    <x v="593"/>
    <x v="37"/>
    <n v="6"/>
    <x v="175"/>
    <x v="175"/>
    <s v="cliente272@mail.cl"/>
    <s v="Hombre"/>
    <s v="20"/>
    <s v="Valparaíso"/>
    <x v="3"/>
    <s v="Tienda"/>
    <s v="Pantalón"/>
    <x v="3"/>
    <n v="25000"/>
    <n v="3"/>
    <n v="1"/>
    <n v="75000"/>
    <n v="750"/>
    <n v="74250"/>
  </r>
  <r>
    <n v="595"/>
    <x v="594"/>
    <x v="50"/>
    <n v="6"/>
    <x v="39"/>
    <x v="39"/>
    <s v="cliente238@mail.cl"/>
    <s v="Hombre"/>
    <s v="40"/>
    <s v="Antofagasta"/>
    <x v="4"/>
    <s v="Tienda"/>
    <s v="Polera"/>
    <x v="3"/>
    <n v="12000"/>
    <n v="1"/>
    <n v="1"/>
    <n v="12000"/>
    <n v="120"/>
    <n v="11880"/>
  </r>
  <r>
    <n v="596"/>
    <x v="595"/>
    <x v="69"/>
    <n v="1"/>
    <x v="0"/>
    <x v="0"/>
    <s v="cliente254@mail.cl"/>
    <s v="Hombre"/>
    <s v="50"/>
    <s v="Puerto Montt"/>
    <x v="5"/>
    <s v="App"/>
    <s v="Perfume"/>
    <x v="0"/>
    <n v="35000"/>
    <n v="3"/>
    <n v="0"/>
    <n v="105000"/>
    <n v="0"/>
    <n v="105000"/>
  </r>
  <r>
    <n v="597"/>
    <x v="596"/>
    <x v="9"/>
    <n v="0"/>
    <x v="184"/>
    <x v="184"/>
    <s v="cliente138@mail.cl"/>
    <s v="Mujer"/>
    <s v="34"/>
    <s v="Santiago"/>
    <x v="2"/>
    <s v="Tienda"/>
    <s v="Refrigerador"/>
    <x v="1"/>
    <n v="800000"/>
    <n v="1"/>
    <n v="0"/>
    <n v="800000"/>
    <n v="0"/>
    <n v="800000"/>
  </r>
  <r>
    <n v="598"/>
    <x v="597"/>
    <x v="10"/>
    <n v="5"/>
    <x v="16"/>
    <x v="16"/>
    <s v="cliente207@mail.cl"/>
    <s v="Mujer"/>
    <s v="44"/>
    <s v="Temuco"/>
    <x v="0"/>
    <s v="Web"/>
    <s v="Polera"/>
    <x v="3"/>
    <n v="12000"/>
    <n v="2"/>
    <n v="5"/>
    <n v="24000"/>
    <n v="1200"/>
    <n v="22800"/>
  </r>
  <r>
    <n v="599"/>
    <x v="598"/>
    <x v="17"/>
    <n v="3"/>
    <x v="246"/>
    <x v="246"/>
    <s v="cliente262@mail.cl"/>
    <s v="Mujer"/>
    <s v="37"/>
    <s v="Temuco"/>
    <x v="0"/>
    <s v="App"/>
    <s v="Zapatillas"/>
    <x v="4"/>
    <n v="55000"/>
    <n v="1"/>
    <n v="1"/>
    <n v="55000"/>
    <n v="550"/>
    <n v="54450"/>
  </r>
  <r>
    <n v="600"/>
    <x v="599"/>
    <x v="65"/>
    <n v="1"/>
    <x v="29"/>
    <x v="29"/>
    <s v="cliente122@mail.cl"/>
    <s v="Mujer"/>
    <s v="27"/>
    <s v="Puerto Montt"/>
    <x v="5"/>
    <s v="Web"/>
    <s v="Pantalón"/>
    <x v="3"/>
    <n v="25000"/>
    <n v="2"/>
    <n v="0"/>
    <n v="50000"/>
    <n v="0"/>
    <n v="50000"/>
  </r>
  <r>
    <n v="601"/>
    <x v="600"/>
    <x v="62"/>
    <n v="1"/>
    <x v="62"/>
    <x v="62"/>
    <s v="cliente148@mail.cl"/>
    <s v="Hombre"/>
    <s v="22"/>
    <s v="Antofagasta"/>
    <x v="4"/>
    <s v="App"/>
    <s v="Lavadora"/>
    <x v="1"/>
    <n v="700000"/>
    <n v="1"/>
    <n v="0"/>
    <n v="700000"/>
    <n v="0"/>
    <n v="700000"/>
  </r>
  <r>
    <n v="602"/>
    <x v="601"/>
    <x v="3"/>
    <n v="1"/>
    <x v="73"/>
    <x v="73"/>
    <s v="cliente80@mail.cl"/>
    <s v="Mujer"/>
    <s v="18"/>
    <s v="Valparaíso"/>
    <x v="3"/>
    <s v="Tienda"/>
    <s v="Pantalón"/>
    <x v="3"/>
    <n v="25000"/>
    <n v="3"/>
    <n v="1"/>
    <n v="75000"/>
    <n v="750"/>
    <n v="74250"/>
  </r>
  <r>
    <n v="603"/>
    <x v="602"/>
    <x v="7"/>
    <n v="3"/>
    <x v="90"/>
    <x v="90"/>
    <s v="cliente64@mail.cl"/>
    <s v="Hombre"/>
    <s v="23"/>
    <s v="Concepción"/>
    <x v="1"/>
    <s v="Tienda"/>
    <s v="Maquillaje"/>
    <x v="0"/>
    <n v="15000"/>
    <n v="3"/>
    <n v="1"/>
    <n v="45000"/>
    <n v="450"/>
    <n v="44550"/>
  </r>
  <r>
    <n v="604"/>
    <x v="603"/>
    <x v="63"/>
    <n v="1"/>
    <x v="12"/>
    <x v="12"/>
    <s v="cliente81@mail.cl"/>
    <s v="Mujer"/>
    <s v="35"/>
    <s v="Puerto Montt"/>
    <x v="5"/>
    <s v="App"/>
    <s v="Refrigerador"/>
    <x v="1"/>
    <n v="800000"/>
    <n v="1"/>
    <n v="0"/>
    <n v="800000"/>
    <n v="0"/>
    <n v="800000"/>
  </r>
  <r>
    <n v="605"/>
    <x v="604"/>
    <x v="1"/>
    <n v="0"/>
    <x v="234"/>
    <x v="234"/>
    <s v="cliente115@mail.cl"/>
    <s v="Mujer"/>
    <s v="35"/>
    <s v="Talcahuano"/>
    <x v="1"/>
    <s v="Web"/>
    <s v="Pantalón"/>
    <x v="3"/>
    <n v="25000"/>
    <n v="3"/>
    <n v="1"/>
    <n v="75000"/>
    <n v="750"/>
    <n v="74250"/>
  </r>
  <r>
    <n v="606"/>
    <x v="605"/>
    <x v="5"/>
    <n v="0"/>
    <x v="75"/>
    <x v="75"/>
    <s v="cliente191@mail.cl"/>
    <s v="Mujer"/>
    <s v="32"/>
    <s v="Santiago"/>
    <x v="2"/>
    <s v="Tienda"/>
    <s v="Lavadora"/>
    <x v="1"/>
    <n v="700000"/>
    <n v="1"/>
    <n v="1"/>
    <n v="700000"/>
    <n v="7000"/>
    <n v="693000"/>
  </r>
  <r>
    <n v="607"/>
    <x v="606"/>
    <x v="35"/>
    <n v="7"/>
    <x v="134"/>
    <x v="134"/>
    <s v="cliente93@mail.cl"/>
    <s v="Mujer"/>
    <s v="29"/>
    <s v="Rancagua"/>
    <x v="7"/>
    <s v="App"/>
    <s v="TV"/>
    <x v="1"/>
    <n v="650000"/>
    <n v="1"/>
    <n v="5"/>
    <n v="650000"/>
    <n v="32500"/>
    <n v="617500"/>
  </r>
  <r>
    <n v="608"/>
    <x v="607"/>
    <x v="46"/>
    <n v="1"/>
    <x v="198"/>
    <x v="198"/>
    <s v="cliente180@mail.cl"/>
    <s v="Hombre"/>
    <s v="70"/>
    <s v="Antofagasta"/>
    <x v="4"/>
    <s v="App"/>
    <s v="Refrigerador"/>
    <x v="1"/>
    <n v="800000"/>
    <n v="2"/>
    <n v="1"/>
    <n v="1600000"/>
    <n v="16000"/>
    <n v="1584000"/>
  </r>
  <r>
    <n v="609"/>
    <x v="608"/>
    <x v="28"/>
    <n v="7"/>
    <x v="32"/>
    <x v="32"/>
    <s v="cliente2@mail.cl"/>
    <s v="Hombre"/>
    <s v="36"/>
    <s v="Valparaíso"/>
    <x v="3"/>
    <s v="Web"/>
    <s v="Polera"/>
    <x v="3"/>
    <n v="12000"/>
    <n v="1"/>
    <n v="1"/>
    <n v="12000"/>
    <n v="120"/>
    <n v="11880"/>
  </r>
  <r>
    <n v="610"/>
    <x v="609"/>
    <x v="7"/>
    <n v="3"/>
    <x v="22"/>
    <x v="22"/>
    <s v="cliente232@mail.cl"/>
    <s v="Hombre"/>
    <s v="40"/>
    <s v="Concepción"/>
    <x v="1"/>
    <s v="Web"/>
    <s v="TV"/>
    <x v="1"/>
    <n v="650000"/>
    <n v="1"/>
    <n v="1"/>
    <n v="650000"/>
    <n v="6500"/>
    <n v="643500"/>
  </r>
  <r>
    <n v="611"/>
    <x v="610"/>
    <x v="34"/>
    <n v="1"/>
    <x v="153"/>
    <x v="153"/>
    <s v="cliente129@mail.cl"/>
    <s v="Mujer"/>
    <s v="39"/>
    <s v="Viña del Mar"/>
    <x v="3"/>
    <s v="Tienda"/>
    <s v="Lavadora"/>
    <x v="1"/>
    <n v="700000"/>
    <n v="3"/>
    <n v="1"/>
    <n v="2100000"/>
    <n v="21000"/>
    <n v="2079000"/>
  </r>
  <r>
    <n v="612"/>
    <x v="611"/>
    <x v="14"/>
    <n v="9"/>
    <x v="158"/>
    <x v="158"/>
    <s v="cliente164@mail.cl"/>
    <s v="Mujer"/>
    <s v="28"/>
    <s v="Talcahuano"/>
    <x v="1"/>
    <s v="Web"/>
    <s v="TV"/>
    <x v="1"/>
    <n v="650000"/>
    <n v="1"/>
    <n v="1"/>
    <n v="650000"/>
    <n v="6500"/>
    <n v="643500"/>
  </r>
  <r>
    <n v="613"/>
    <x v="612"/>
    <x v="55"/>
    <n v="1"/>
    <x v="228"/>
    <x v="228"/>
    <s v="cliente143@mail.cl"/>
    <s v="Mujer"/>
    <s v="18"/>
    <s v="Concepción"/>
    <x v="1"/>
    <s v="App"/>
    <s v="Refrigerador"/>
    <x v="1"/>
    <n v="800000"/>
    <n v="1"/>
    <n v="5"/>
    <n v="800000"/>
    <n v="40000"/>
    <n v="760000"/>
  </r>
  <r>
    <n v="614"/>
    <x v="613"/>
    <x v="58"/>
    <n v="9"/>
    <x v="185"/>
    <x v="185"/>
    <s v="cliente135@mail.cl"/>
    <s v="Mujer"/>
    <s v="26"/>
    <s v="Valparaíso"/>
    <x v="3"/>
    <s v="Web"/>
    <s v="Smartphone"/>
    <x v="2"/>
    <n v="450000"/>
    <n v="2"/>
    <n v="5"/>
    <n v="900000"/>
    <n v="45000"/>
    <n v="855000"/>
  </r>
  <r>
    <n v="615"/>
    <x v="614"/>
    <x v="3"/>
    <n v="1"/>
    <x v="10"/>
    <x v="10"/>
    <s v="cliente136@mail.cl"/>
    <s v="Mujer"/>
    <s v="56"/>
    <s v="Valparaíso"/>
    <x v="3"/>
    <s v="Tienda"/>
    <s v="Pantalón"/>
    <x v="3"/>
    <n v="25000"/>
    <n v="2"/>
    <n v="5"/>
    <n v="50000"/>
    <n v="2500"/>
    <n v="47500"/>
  </r>
  <r>
    <n v="616"/>
    <x v="615"/>
    <x v="22"/>
    <n v="5"/>
    <x v="50"/>
    <x v="50"/>
    <s v="cliente186@mail.cl"/>
    <s v="Mujer"/>
    <s v="46"/>
    <s v="Rancagua"/>
    <x v="7"/>
    <s v="App"/>
    <s v="Lavadora"/>
    <x v="1"/>
    <n v="700000"/>
    <n v="3"/>
    <n v="0"/>
    <n v="2100000"/>
    <n v="0"/>
    <n v="2100000"/>
  </r>
  <r>
    <n v="617"/>
    <x v="616"/>
    <x v="35"/>
    <n v="7"/>
    <x v="157"/>
    <x v="157"/>
    <s v="cliente25@mail.cl"/>
    <s v="Mujer"/>
    <s v="31"/>
    <s v="Rancagua"/>
    <x v="7"/>
    <s v="Web"/>
    <s v="Perfume"/>
    <x v="0"/>
    <n v="35000"/>
    <n v="3"/>
    <n v="5"/>
    <n v="105000"/>
    <n v="5250"/>
    <n v="99750"/>
  </r>
  <r>
    <n v="618"/>
    <x v="617"/>
    <x v="22"/>
    <n v="5"/>
    <x v="147"/>
    <x v="147"/>
    <s v="cliente231@mail.cl"/>
    <s v="Hombre"/>
    <s v="29"/>
    <s v="Rancagua"/>
    <x v="7"/>
    <s v="Web"/>
    <s v="Maquillaje"/>
    <x v="0"/>
    <n v="15000"/>
    <n v="1"/>
    <n v="0"/>
    <n v="15000"/>
    <n v="0"/>
    <n v="15000"/>
  </r>
  <r>
    <n v="619"/>
    <x v="618"/>
    <x v="63"/>
    <n v="1"/>
    <x v="146"/>
    <x v="146"/>
    <s v="cliente166@mail.cl"/>
    <s v="Mujer"/>
    <s v="42"/>
    <s v="Puerto Montt"/>
    <x v="5"/>
    <s v="Web"/>
    <s v="Zapatillas"/>
    <x v="4"/>
    <n v="55000"/>
    <n v="3"/>
    <n v="1"/>
    <n v="165000"/>
    <n v="1650"/>
    <n v="163350"/>
  </r>
  <r>
    <n v="620"/>
    <x v="619"/>
    <x v="22"/>
    <n v="5"/>
    <x v="218"/>
    <x v="218"/>
    <s v="cliente20@mail.cl"/>
    <s v="Hombre"/>
    <s v="21"/>
    <s v="Rancagua"/>
    <x v="7"/>
    <s v="App"/>
    <s v="Refrigerador"/>
    <x v="1"/>
    <n v="800000"/>
    <n v="1"/>
    <n v="1"/>
    <n v="800000"/>
    <n v="8000"/>
    <n v="792000"/>
  </r>
  <r>
    <n v="621"/>
    <x v="620"/>
    <x v="52"/>
    <n v="1"/>
    <x v="20"/>
    <x v="20"/>
    <s v="cliente172@mail.cl"/>
    <s v="Hombre"/>
    <s v="28"/>
    <s v="Viña del Mar"/>
    <x v="3"/>
    <s v="App"/>
    <s v="Pantalón"/>
    <x v="3"/>
    <n v="25000"/>
    <n v="1"/>
    <n v="5"/>
    <n v="25000"/>
    <n v="1250"/>
    <n v="23750"/>
  </r>
  <r>
    <n v="622"/>
    <x v="621"/>
    <x v="16"/>
    <n v="3"/>
    <x v="234"/>
    <x v="234"/>
    <s v="cliente115@mail.cl"/>
    <s v="Mujer"/>
    <s v="35"/>
    <s v="Concepción"/>
    <x v="1"/>
    <s v="Tienda"/>
    <s v="Refrigerador"/>
    <x v="1"/>
    <n v="800000"/>
    <n v="1"/>
    <n v="5"/>
    <n v="800000"/>
    <n v="40000"/>
    <n v="760000"/>
  </r>
  <r>
    <n v="623"/>
    <x v="622"/>
    <x v="13"/>
    <n v="5"/>
    <x v="28"/>
    <x v="28"/>
    <s v="cliente110@mail.cl"/>
    <s v="Mujer"/>
    <s v="37"/>
    <s v="Puerto Montt"/>
    <x v="5"/>
    <s v="Tienda"/>
    <s v="Smartphone"/>
    <x v="2"/>
    <n v="450000"/>
    <n v="3"/>
    <n v="0"/>
    <n v="1350000"/>
    <n v="0"/>
    <n v="1350000"/>
  </r>
  <r>
    <n v="624"/>
    <x v="623"/>
    <x v="9"/>
    <n v="0"/>
    <x v="157"/>
    <x v="157"/>
    <s v="cliente25@mail.cl"/>
    <s v="Mujer"/>
    <s v="31"/>
    <s v="Santiago"/>
    <x v="2"/>
    <s v="Tienda"/>
    <s v="Perfume"/>
    <x v="0"/>
    <n v="35000"/>
    <n v="2"/>
    <n v="0"/>
    <n v="70000"/>
    <n v="0"/>
    <n v="70000"/>
  </r>
  <r>
    <n v="625"/>
    <x v="624"/>
    <x v="11"/>
    <n v="1"/>
    <x v="29"/>
    <x v="29"/>
    <s v="cliente122@mail.cl"/>
    <s v="Mujer"/>
    <s v="27"/>
    <s v="Antofagasta"/>
    <x v="4"/>
    <s v="Tienda"/>
    <s v="Perfume"/>
    <x v="0"/>
    <n v="35000"/>
    <n v="2"/>
    <n v="0"/>
    <n v="70000"/>
    <n v="0"/>
    <n v="70000"/>
  </r>
  <r>
    <n v="626"/>
    <x v="625"/>
    <x v="23"/>
    <n v="2"/>
    <x v="245"/>
    <x v="245"/>
    <s v="cliente152@mail.cl"/>
    <s v="Mujer"/>
    <s v="42"/>
    <s v="Talcahuano"/>
    <x v="1"/>
    <s v="Web"/>
    <s v="Lavadora"/>
    <x v="1"/>
    <n v="700000"/>
    <n v="2"/>
    <n v="0"/>
    <n v="1400000"/>
    <n v="0"/>
    <n v="1400000"/>
  </r>
  <r>
    <n v="627"/>
    <x v="626"/>
    <x v="24"/>
    <n v="0"/>
    <x v="130"/>
    <x v="130"/>
    <s v="cliente71@mail.cl"/>
    <s v="Mujer"/>
    <s v="42"/>
    <s v="Rancagua"/>
    <x v="7"/>
    <s v="App"/>
    <s v="TV"/>
    <x v="1"/>
    <n v="650000"/>
    <n v="1"/>
    <n v="0"/>
    <n v="650000"/>
    <n v="0"/>
    <n v="650000"/>
  </r>
  <r>
    <n v="628"/>
    <x v="627"/>
    <x v="5"/>
    <n v="0"/>
    <x v="254"/>
    <x v="254"/>
    <s v="cliente134@mail.cl"/>
    <s v="Hombre"/>
    <s v="43"/>
    <s v="Santiago"/>
    <x v="2"/>
    <s v="Web"/>
    <s v="Perfume"/>
    <x v="0"/>
    <n v="35000"/>
    <n v="3"/>
    <n v="0"/>
    <n v="105000"/>
    <n v="0"/>
    <n v="105000"/>
  </r>
  <r>
    <n v="629"/>
    <x v="628"/>
    <x v="63"/>
    <n v="1"/>
    <x v="77"/>
    <x v="77"/>
    <s v="cliente125@mail.cl"/>
    <s v="Mujer"/>
    <s v="45"/>
    <s v="Puerto Montt"/>
    <x v="5"/>
    <s v="App"/>
    <s v="Perfume"/>
    <x v="0"/>
    <n v="35000"/>
    <n v="2"/>
    <n v="1"/>
    <n v="70000"/>
    <n v="700"/>
    <n v="69300"/>
  </r>
  <r>
    <n v="630"/>
    <x v="629"/>
    <x v="42"/>
    <n v="4"/>
    <x v="16"/>
    <x v="16"/>
    <s v="cliente207@mail.cl"/>
    <s v="Mujer"/>
    <s v="44"/>
    <s v="Antofagasta"/>
    <x v="4"/>
    <s v="Web"/>
    <s v="Lavadora"/>
    <x v="1"/>
    <n v="700000"/>
    <n v="2"/>
    <n v="0"/>
    <n v="1400000"/>
    <n v="0"/>
    <n v="1400000"/>
  </r>
  <r>
    <n v="631"/>
    <x v="630"/>
    <x v="16"/>
    <n v="3"/>
    <x v="70"/>
    <x v="70"/>
    <s v="cliente226@mail.cl"/>
    <s v="Hombre"/>
    <s v="51"/>
    <s v="Concepción"/>
    <x v="1"/>
    <s v="Tienda"/>
    <s v="Smartphone"/>
    <x v="2"/>
    <n v="450000"/>
    <n v="1"/>
    <n v="5"/>
    <n v="450000"/>
    <n v="22500"/>
    <n v="427500"/>
  </r>
  <r>
    <n v="632"/>
    <x v="631"/>
    <x v="59"/>
    <n v="1"/>
    <x v="96"/>
    <x v="96"/>
    <s v="cliente216@mail.cl"/>
    <s v="Hombre"/>
    <s v="47"/>
    <s v="Puerto Montt"/>
    <x v="5"/>
    <s v="Web"/>
    <s v="Polera"/>
    <x v="3"/>
    <n v="12000"/>
    <n v="3"/>
    <n v="1"/>
    <n v="36000"/>
    <n v="360"/>
    <n v="35640"/>
  </r>
  <r>
    <n v="633"/>
    <x v="632"/>
    <x v="19"/>
    <n v="4"/>
    <x v="130"/>
    <x v="130"/>
    <s v="cliente71@mail.cl"/>
    <s v="Mujer"/>
    <s v="42"/>
    <s v="Rancagua"/>
    <x v="7"/>
    <s v="Web"/>
    <s v="Polera"/>
    <x v="3"/>
    <n v="12000"/>
    <n v="3"/>
    <n v="1"/>
    <n v="36000"/>
    <n v="360"/>
    <n v="35640"/>
  </r>
  <r>
    <n v="634"/>
    <x v="633"/>
    <x v="13"/>
    <n v="5"/>
    <x v="102"/>
    <x v="102"/>
    <s v="cliente116@mail.cl"/>
    <s v="Mujer"/>
    <s v="41"/>
    <s v="Puerto Montt"/>
    <x v="5"/>
    <s v="Web"/>
    <s v="Maquillaje"/>
    <x v="0"/>
    <n v="15000"/>
    <n v="1"/>
    <n v="0"/>
    <n v="15000"/>
    <n v="0"/>
    <n v="15000"/>
  </r>
  <r>
    <n v="635"/>
    <x v="634"/>
    <x v="58"/>
    <n v="9"/>
    <x v="104"/>
    <x v="104"/>
    <s v="cliente18@mail.cl"/>
    <s v="Mujer"/>
    <s v="41"/>
    <s v="Valparaíso"/>
    <x v="3"/>
    <s v="Tienda"/>
    <s v="Maquillaje"/>
    <x v="0"/>
    <n v="15000"/>
    <n v="3"/>
    <n v="0"/>
    <n v="45000"/>
    <n v="0"/>
    <n v="45000"/>
  </r>
  <r>
    <n v="636"/>
    <x v="635"/>
    <x v="36"/>
    <n v="1"/>
    <x v="241"/>
    <x v="241"/>
    <s v="cliente181@mail.cl"/>
    <s v="Hombre"/>
    <s v="45"/>
    <s v="Talcahuano"/>
    <x v="1"/>
    <s v="App"/>
    <s v="Zapatillas"/>
    <x v="4"/>
    <n v="55000"/>
    <n v="3"/>
    <n v="1"/>
    <n v="165000"/>
    <n v="1650"/>
    <n v="163350"/>
  </r>
  <r>
    <n v="637"/>
    <x v="636"/>
    <x v="14"/>
    <n v="9"/>
    <x v="233"/>
    <x v="233"/>
    <s v="cliente175@mail.cl"/>
    <s v="Hombre"/>
    <s v="41"/>
    <s v="Talcahuano"/>
    <x v="1"/>
    <s v="App"/>
    <s v="Pantalón"/>
    <x v="3"/>
    <n v="25000"/>
    <n v="3"/>
    <n v="5"/>
    <n v="75000"/>
    <n v="3750"/>
    <n v="71250"/>
  </r>
  <r>
    <n v="638"/>
    <x v="637"/>
    <x v="52"/>
    <n v="1"/>
    <x v="99"/>
    <x v="99"/>
    <s v="cliente37@mail.cl"/>
    <s v="Hombre"/>
    <s v="40"/>
    <s v="Viña del Mar"/>
    <x v="3"/>
    <s v="Web"/>
    <s v="Polera"/>
    <x v="3"/>
    <n v="12000"/>
    <n v="2"/>
    <n v="5"/>
    <n v="24000"/>
    <n v="1200"/>
    <n v="22800"/>
  </r>
  <r>
    <n v="639"/>
    <x v="638"/>
    <x v="54"/>
    <n v="4"/>
    <x v="190"/>
    <x v="190"/>
    <s v="cliente214@mail.cl"/>
    <s v="Hombre"/>
    <s v="45"/>
    <s v="Rancagua"/>
    <x v="7"/>
    <s v="Tienda"/>
    <s v="Perfume"/>
    <x v="0"/>
    <n v="35000"/>
    <n v="1"/>
    <n v="0"/>
    <n v="35000"/>
    <n v="0"/>
    <n v="35000"/>
  </r>
  <r>
    <n v="640"/>
    <x v="639"/>
    <x v="14"/>
    <n v="9"/>
    <x v="146"/>
    <x v="146"/>
    <s v="cliente166@mail.cl"/>
    <s v="Mujer"/>
    <s v="42"/>
    <s v="Talcahuano"/>
    <x v="1"/>
    <s v="Web"/>
    <s v="Refrigerador"/>
    <x v="1"/>
    <n v="800000"/>
    <n v="2"/>
    <n v="0"/>
    <n v="1600000"/>
    <n v="0"/>
    <n v="1600000"/>
  </r>
  <r>
    <n v="641"/>
    <x v="640"/>
    <x v="5"/>
    <n v="0"/>
    <x v="255"/>
    <x v="255"/>
    <s v="cliente190@mail.cl"/>
    <s v="Hombre"/>
    <s v="19"/>
    <s v="Santiago"/>
    <x v="2"/>
    <s v="Tienda"/>
    <s v="Pantalón"/>
    <x v="3"/>
    <n v="25000"/>
    <n v="1"/>
    <n v="5"/>
    <n v="25000"/>
    <n v="1250"/>
    <n v="23750"/>
  </r>
  <r>
    <n v="642"/>
    <x v="641"/>
    <x v="62"/>
    <n v="1"/>
    <x v="190"/>
    <x v="190"/>
    <s v="cliente214@mail.cl"/>
    <s v="Hombre"/>
    <s v="45"/>
    <s v="Antofagasta"/>
    <x v="4"/>
    <s v="Web"/>
    <s v="Perfume"/>
    <x v="0"/>
    <n v="35000"/>
    <n v="1"/>
    <n v="1"/>
    <n v="35000"/>
    <n v="350"/>
    <n v="34650"/>
  </r>
  <r>
    <n v="643"/>
    <x v="642"/>
    <x v="28"/>
    <n v="7"/>
    <x v="128"/>
    <x v="128"/>
    <s v="cliente227@mail.cl"/>
    <s v="Mujer"/>
    <s v="38"/>
    <s v="Valparaíso"/>
    <x v="3"/>
    <s v="Tienda"/>
    <s v="TV"/>
    <x v="1"/>
    <n v="650000"/>
    <n v="2"/>
    <n v="5"/>
    <n v="1300000"/>
    <n v="65000"/>
    <n v="1235000"/>
  </r>
  <r>
    <n v="644"/>
    <x v="643"/>
    <x v="2"/>
    <n v="2"/>
    <x v="104"/>
    <x v="104"/>
    <s v="cliente18@mail.cl"/>
    <s v="Mujer"/>
    <s v="41"/>
    <s v="Santiago"/>
    <x v="2"/>
    <s v="App"/>
    <s v="Lavadora"/>
    <x v="1"/>
    <n v="700000"/>
    <n v="1"/>
    <n v="0"/>
    <n v="700000"/>
    <n v="0"/>
    <n v="700000"/>
  </r>
  <r>
    <n v="645"/>
    <x v="644"/>
    <x v="1"/>
    <n v="0"/>
    <x v="220"/>
    <x v="220"/>
    <s v="cliente96@mail.cl"/>
    <s v="Hombre"/>
    <s v="20"/>
    <s v="Talcahuano"/>
    <x v="1"/>
    <s v="Web"/>
    <s v="Notebook"/>
    <x v="2"/>
    <n v="750000"/>
    <n v="3"/>
    <n v="0"/>
    <n v="2250000"/>
    <n v="0"/>
    <n v="2250000"/>
  </r>
  <r>
    <n v="646"/>
    <x v="645"/>
    <x v="0"/>
    <n v="0"/>
    <x v="240"/>
    <x v="240"/>
    <s v="cliente276@mail.cl"/>
    <s v="Hombre"/>
    <s v="43"/>
    <s v="Temuco"/>
    <x v="0"/>
    <s v="App"/>
    <s v="Zapatillas"/>
    <x v="4"/>
    <n v="55000"/>
    <n v="3"/>
    <n v="1"/>
    <n v="165000"/>
    <n v="1650"/>
    <n v="163350"/>
  </r>
  <r>
    <n v="647"/>
    <x v="646"/>
    <x v="20"/>
    <n v="6"/>
    <x v="68"/>
    <x v="68"/>
    <s v="cliente69@mail.cl"/>
    <s v="Mujer"/>
    <s v="42"/>
    <s v="Talcahuano"/>
    <x v="1"/>
    <s v="Web"/>
    <s v="TV"/>
    <x v="1"/>
    <n v="650000"/>
    <n v="2"/>
    <n v="0"/>
    <n v="1300000"/>
    <n v="0"/>
    <n v="1300000"/>
  </r>
  <r>
    <n v="648"/>
    <x v="647"/>
    <x v="43"/>
    <n v="0"/>
    <x v="256"/>
    <x v="256"/>
    <s v="cliente133@mail.cl"/>
    <s v="Hombre"/>
    <s v="25"/>
    <s v="Valparaíso"/>
    <x v="3"/>
    <s v="Web"/>
    <s v="Refrigerador"/>
    <x v="1"/>
    <n v="800000"/>
    <n v="1"/>
    <n v="1"/>
    <n v="800000"/>
    <n v="8000"/>
    <n v="792000"/>
  </r>
  <r>
    <n v="649"/>
    <x v="648"/>
    <x v="26"/>
    <n v="3"/>
    <x v="55"/>
    <x v="55"/>
    <s v="cliente249@mail.cl"/>
    <s v="Mujer"/>
    <s v="59"/>
    <s v="La Serena"/>
    <x v="6"/>
    <s v="Web"/>
    <s v="Polera"/>
    <x v="3"/>
    <n v="12000"/>
    <n v="3"/>
    <n v="0"/>
    <n v="36000"/>
    <n v="0"/>
    <n v="36000"/>
  </r>
  <r>
    <n v="650"/>
    <x v="649"/>
    <x v="59"/>
    <n v="1"/>
    <x v="247"/>
    <x v="247"/>
    <s v="cliente29@mail.cl"/>
    <s v="Hombre"/>
    <s v="30"/>
    <s v="Puerto Montt"/>
    <x v="5"/>
    <s v="App"/>
    <s v="Perfume"/>
    <x v="0"/>
    <n v="35000"/>
    <n v="3"/>
    <n v="0"/>
    <n v="105000"/>
    <n v="0"/>
    <n v="105000"/>
  </r>
  <r>
    <n v="651"/>
    <x v="650"/>
    <x v="15"/>
    <n v="5"/>
    <x v="189"/>
    <x v="189"/>
    <s v="cliente251@mail.cl"/>
    <s v="Hombre"/>
    <s v="22"/>
    <s v="La Serena"/>
    <x v="6"/>
    <s v="Tienda"/>
    <s v="Lavadora"/>
    <x v="1"/>
    <n v="700000"/>
    <n v="1"/>
    <n v="0"/>
    <n v="700000"/>
    <n v="0"/>
    <n v="700000"/>
  </r>
  <r>
    <n v="652"/>
    <x v="651"/>
    <x v="37"/>
    <n v="6"/>
    <x v="223"/>
    <x v="223"/>
    <s v="cliente141@mail.cl"/>
    <s v="Mujer"/>
    <s v="40"/>
    <s v="Valparaíso"/>
    <x v="3"/>
    <s v="App"/>
    <s v="Refrigerador"/>
    <x v="1"/>
    <n v="800000"/>
    <n v="3"/>
    <n v="0"/>
    <n v="2400000"/>
    <n v="0"/>
    <n v="2400000"/>
  </r>
  <r>
    <n v="653"/>
    <x v="652"/>
    <x v="30"/>
    <n v="0"/>
    <x v="138"/>
    <x v="138"/>
    <s v="cliente62@mail.cl"/>
    <s v="Mujer"/>
    <s v="35"/>
    <s v="Concepción"/>
    <x v="1"/>
    <s v="Web"/>
    <s v="Polera"/>
    <x v="3"/>
    <n v="12000"/>
    <n v="3"/>
    <n v="1"/>
    <n v="36000"/>
    <n v="360"/>
    <n v="35640"/>
  </r>
  <r>
    <n v="654"/>
    <x v="653"/>
    <x v="13"/>
    <n v="5"/>
    <x v="28"/>
    <x v="28"/>
    <s v="cliente110@mail.cl"/>
    <s v="Mujer"/>
    <s v="37"/>
    <s v="Puerto Montt"/>
    <x v="5"/>
    <s v="Web"/>
    <s v="Polera"/>
    <x v="3"/>
    <n v="12000"/>
    <n v="2"/>
    <n v="1"/>
    <n v="24000"/>
    <n v="240"/>
    <n v="23760"/>
  </r>
  <r>
    <n v="655"/>
    <x v="654"/>
    <x v="2"/>
    <n v="2"/>
    <x v="239"/>
    <x v="239"/>
    <s v="cliente170@mail.cl"/>
    <s v="Hombre"/>
    <s v="28"/>
    <s v="Santiago"/>
    <x v="2"/>
    <s v="Web"/>
    <s v="Refrigerador"/>
    <x v="1"/>
    <n v="800000"/>
    <n v="3"/>
    <n v="5"/>
    <n v="2400000"/>
    <n v="120000"/>
    <n v="2280000"/>
  </r>
  <r>
    <n v="656"/>
    <x v="655"/>
    <x v="32"/>
    <n v="4"/>
    <x v="220"/>
    <x v="220"/>
    <s v="cliente96@mail.cl"/>
    <s v="Hombre"/>
    <s v="20"/>
    <s v="Talcahuano"/>
    <x v="1"/>
    <s v="Tienda"/>
    <s v="Refrigerador"/>
    <x v="1"/>
    <n v="800000"/>
    <n v="3"/>
    <n v="5"/>
    <n v="2400000"/>
    <n v="120000"/>
    <n v="2280000"/>
  </r>
  <r>
    <n v="657"/>
    <x v="656"/>
    <x v="0"/>
    <n v="0"/>
    <x v="163"/>
    <x v="163"/>
    <s v="cliente155@mail.cl"/>
    <s v="Mujer"/>
    <s v="41"/>
    <s v="Temuco"/>
    <x v="0"/>
    <s v="Web"/>
    <s v="TV"/>
    <x v="1"/>
    <n v="650000"/>
    <n v="2"/>
    <n v="5"/>
    <n v="1300000"/>
    <n v="65000"/>
    <n v="1235000"/>
  </r>
  <r>
    <n v="658"/>
    <x v="657"/>
    <x v="38"/>
    <n v="2"/>
    <x v="91"/>
    <x v="91"/>
    <s v="cliente53@mail.cl"/>
    <s v="Mujer"/>
    <s v="29"/>
    <s v="Rancagua"/>
    <x v="7"/>
    <s v="Tienda"/>
    <s v="Perfume"/>
    <x v="0"/>
    <n v="35000"/>
    <n v="3"/>
    <n v="5"/>
    <n v="105000"/>
    <n v="5250"/>
    <n v="99750"/>
  </r>
  <r>
    <n v="659"/>
    <x v="658"/>
    <x v="19"/>
    <n v="4"/>
    <x v="217"/>
    <x v="217"/>
    <s v="cliente83@mail.cl"/>
    <s v="Hombre"/>
    <s v="55"/>
    <s v="Rancagua"/>
    <x v="7"/>
    <s v="Tienda"/>
    <s v="Refrigerador"/>
    <x v="1"/>
    <n v="800000"/>
    <n v="2"/>
    <n v="0"/>
    <n v="1600000"/>
    <n v="0"/>
    <n v="1600000"/>
  </r>
  <r>
    <n v="660"/>
    <x v="659"/>
    <x v="11"/>
    <n v="1"/>
    <x v="58"/>
    <x v="58"/>
    <s v="cliente193@mail.cl"/>
    <s v="Hombre"/>
    <s v="40"/>
    <s v="Antofagasta"/>
    <x v="4"/>
    <s v="App"/>
    <s v="Maquillaje"/>
    <x v="0"/>
    <n v="15000"/>
    <n v="1"/>
    <n v="1"/>
    <n v="15000"/>
    <n v="150"/>
    <n v="14850"/>
  </r>
  <r>
    <n v="661"/>
    <x v="660"/>
    <x v="53"/>
    <n v="0"/>
    <x v="178"/>
    <x v="178"/>
    <s v="cliente108@mail.cl"/>
    <s v="Hombre"/>
    <s v="40"/>
    <s v="Talcahuano"/>
    <x v="1"/>
    <s v="Web"/>
    <s v="Zapatillas"/>
    <x v="4"/>
    <n v="55000"/>
    <n v="2"/>
    <n v="0"/>
    <n v="110000"/>
    <n v="0"/>
    <n v="110000"/>
  </r>
  <r>
    <n v="662"/>
    <x v="661"/>
    <x v="17"/>
    <n v="3"/>
    <x v="249"/>
    <x v="249"/>
    <s v="cliente236@mail.cl"/>
    <s v="Mujer"/>
    <s v="45"/>
    <s v="Temuco"/>
    <x v="0"/>
    <s v="Web"/>
    <s v="Notebook"/>
    <x v="2"/>
    <n v="750000"/>
    <n v="1"/>
    <n v="1"/>
    <n v="750000"/>
    <n v="7500"/>
    <n v="742500"/>
  </r>
  <r>
    <n v="663"/>
    <x v="662"/>
    <x v="9"/>
    <n v="0"/>
    <x v="23"/>
    <x v="23"/>
    <s v="cliente23@mail.cl"/>
    <s v="Mujer"/>
    <s v="38"/>
    <s v="Santiago"/>
    <x v="2"/>
    <s v="Tienda"/>
    <s v="Smartphone"/>
    <x v="2"/>
    <n v="450000"/>
    <n v="2"/>
    <n v="0"/>
    <n v="900000"/>
    <n v="0"/>
    <n v="900000"/>
  </r>
  <r>
    <n v="664"/>
    <x v="663"/>
    <x v="68"/>
    <n v="8"/>
    <x v="3"/>
    <x v="3"/>
    <s v="cliente65@mail.cl"/>
    <s v="Hombre"/>
    <s v="47"/>
    <s v="Valparaíso"/>
    <x v="3"/>
    <s v="App"/>
    <s v="TV"/>
    <x v="1"/>
    <n v="650000"/>
    <n v="1"/>
    <n v="0"/>
    <n v="650000"/>
    <n v="0"/>
    <n v="650000"/>
  </r>
  <r>
    <n v="665"/>
    <x v="664"/>
    <x v="18"/>
    <n v="0"/>
    <x v="257"/>
    <x v="257"/>
    <s v="cliente183@mail.cl"/>
    <s v="Mujer"/>
    <s v="25"/>
    <s v="Talcahuano"/>
    <x v="1"/>
    <s v="Tienda"/>
    <s v="Polera"/>
    <x v="3"/>
    <n v="12000"/>
    <n v="2"/>
    <n v="5"/>
    <n v="24000"/>
    <n v="1200"/>
    <n v="22800"/>
  </r>
  <r>
    <n v="666"/>
    <x v="665"/>
    <x v="31"/>
    <n v="5"/>
    <x v="121"/>
    <x v="121"/>
    <s v="cliente201@mail.cl"/>
    <s v="Mujer"/>
    <s v="42"/>
    <s v="Puerto Montt"/>
    <x v="5"/>
    <s v="Tienda"/>
    <s v="Polera"/>
    <x v="3"/>
    <n v="12000"/>
    <n v="3"/>
    <n v="0"/>
    <n v="36000"/>
    <n v="0"/>
    <n v="36000"/>
  </r>
  <r>
    <n v="667"/>
    <x v="666"/>
    <x v="35"/>
    <n v="7"/>
    <x v="216"/>
    <x v="216"/>
    <s v="cliente240@mail.cl"/>
    <s v="Hombre"/>
    <s v="48"/>
    <s v="Rancagua"/>
    <x v="7"/>
    <s v="Tienda"/>
    <s v="Pantalón"/>
    <x v="3"/>
    <n v="25000"/>
    <n v="1"/>
    <n v="0"/>
    <n v="25000"/>
    <n v="0"/>
    <n v="25000"/>
  </r>
  <r>
    <n v="668"/>
    <x v="667"/>
    <x v="63"/>
    <n v="1"/>
    <x v="185"/>
    <x v="185"/>
    <s v="cliente135@mail.cl"/>
    <s v="Mujer"/>
    <s v="26"/>
    <s v="Puerto Montt"/>
    <x v="5"/>
    <s v="Web"/>
    <s v="TV"/>
    <x v="1"/>
    <n v="650000"/>
    <n v="3"/>
    <n v="0"/>
    <n v="1950000"/>
    <n v="0"/>
    <n v="1950000"/>
  </r>
  <r>
    <n v="669"/>
    <x v="668"/>
    <x v="24"/>
    <n v="0"/>
    <x v="61"/>
    <x v="61"/>
    <s v="cliente260@mail.cl"/>
    <s v="Mujer"/>
    <s v="47"/>
    <s v="Rancagua"/>
    <x v="7"/>
    <s v="Tienda"/>
    <s v="Maquillaje"/>
    <x v="0"/>
    <n v="15000"/>
    <n v="3"/>
    <n v="5"/>
    <n v="45000"/>
    <n v="2250"/>
    <n v="42750"/>
  </r>
  <r>
    <n v="670"/>
    <x v="669"/>
    <x v="30"/>
    <n v="0"/>
    <x v="238"/>
    <x v="238"/>
    <s v="cliente15@mail.cl"/>
    <s v="Hombre"/>
    <s v="18"/>
    <s v="Concepción"/>
    <x v="1"/>
    <s v="Tienda"/>
    <s v="Polera"/>
    <x v="3"/>
    <n v="12000"/>
    <n v="3"/>
    <n v="5"/>
    <n v="36000"/>
    <n v="1800"/>
    <n v="34200"/>
  </r>
  <r>
    <n v="671"/>
    <x v="670"/>
    <x v="1"/>
    <n v="0"/>
    <x v="10"/>
    <x v="10"/>
    <s v="cliente136@mail.cl"/>
    <s v="Mujer"/>
    <s v="56"/>
    <s v="Talcahuano"/>
    <x v="1"/>
    <s v="Tienda"/>
    <s v="Maquillaje"/>
    <x v="0"/>
    <n v="15000"/>
    <n v="3"/>
    <n v="0"/>
    <n v="45000"/>
    <n v="0"/>
    <n v="45000"/>
  </r>
  <r>
    <n v="672"/>
    <x v="671"/>
    <x v="3"/>
    <n v="1"/>
    <x v="203"/>
    <x v="203"/>
    <s v="cliente179@mail.cl"/>
    <s v="Hombre"/>
    <s v="34"/>
    <s v="Valparaíso"/>
    <x v="3"/>
    <s v="Tienda"/>
    <s v="Lavadora"/>
    <x v="1"/>
    <n v="700000"/>
    <n v="3"/>
    <n v="1"/>
    <n v="2100000"/>
    <n v="21000"/>
    <n v="2079000"/>
  </r>
  <r>
    <n v="673"/>
    <x v="672"/>
    <x v="26"/>
    <n v="3"/>
    <x v="97"/>
    <x v="97"/>
    <s v="cliente97@mail.cl"/>
    <s v="Mujer"/>
    <s v="41"/>
    <s v="La Serena"/>
    <x v="6"/>
    <s v="Tienda"/>
    <s v="Perfume"/>
    <x v="0"/>
    <n v="35000"/>
    <n v="2"/>
    <n v="0"/>
    <n v="70000"/>
    <n v="0"/>
    <n v="70000"/>
  </r>
  <r>
    <n v="674"/>
    <x v="673"/>
    <x v="52"/>
    <n v="1"/>
    <x v="81"/>
    <x v="81"/>
    <s v="cliente86@mail.cl"/>
    <s v="Hombre"/>
    <s v="31"/>
    <s v="Viña del Mar"/>
    <x v="3"/>
    <s v="Web"/>
    <s v="Polera"/>
    <x v="3"/>
    <n v="12000"/>
    <n v="1"/>
    <n v="5"/>
    <n v="12000"/>
    <n v="600"/>
    <n v="11400"/>
  </r>
  <r>
    <n v="675"/>
    <x v="674"/>
    <x v="34"/>
    <n v="1"/>
    <x v="20"/>
    <x v="20"/>
    <s v="cliente172@mail.cl"/>
    <s v="Hombre"/>
    <s v="28"/>
    <s v="Viña del Mar"/>
    <x v="3"/>
    <s v="Tienda"/>
    <s v="Lavadora"/>
    <x v="1"/>
    <n v="700000"/>
    <n v="3"/>
    <n v="1"/>
    <n v="2100000"/>
    <n v="21000"/>
    <n v="2079000"/>
  </r>
  <r>
    <n v="676"/>
    <x v="675"/>
    <x v="55"/>
    <n v="1"/>
    <x v="84"/>
    <x v="84"/>
    <s v="cliente4@mail.cl"/>
    <s v="Hombre"/>
    <s v="56"/>
    <s v="Concepción"/>
    <x v="1"/>
    <s v="App"/>
    <s v="TV"/>
    <x v="1"/>
    <n v="650000"/>
    <n v="2"/>
    <n v="0"/>
    <n v="1300000"/>
    <n v="0"/>
    <n v="1300000"/>
  </r>
  <r>
    <n v="677"/>
    <x v="676"/>
    <x v="17"/>
    <n v="3"/>
    <x v="208"/>
    <x v="208"/>
    <s v="cliente158@mail.cl"/>
    <s v="Hombre"/>
    <s v="43"/>
    <s v="Temuco"/>
    <x v="0"/>
    <s v="Tienda"/>
    <s v="Polera"/>
    <x v="3"/>
    <n v="12000"/>
    <n v="3"/>
    <n v="0"/>
    <n v="36000"/>
    <n v="0"/>
    <n v="36000"/>
  </r>
  <r>
    <n v="678"/>
    <x v="677"/>
    <x v="64"/>
    <n v="8"/>
    <x v="56"/>
    <x v="56"/>
    <s v="cliente184@mail.cl"/>
    <s v="Hombre"/>
    <s v="43"/>
    <s v="Santiago"/>
    <x v="2"/>
    <s v="Tienda"/>
    <s v="Polera"/>
    <x v="3"/>
    <n v="12000"/>
    <n v="3"/>
    <n v="0"/>
    <n v="36000"/>
    <n v="0"/>
    <n v="36000"/>
  </r>
  <r>
    <n v="679"/>
    <x v="678"/>
    <x v="68"/>
    <n v="8"/>
    <x v="56"/>
    <x v="56"/>
    <s v="cliente184@mail.cl"/>
    <s v="Hombre"/>
    <s v="43"/>
    <s v="Valparaíso"/>
    <x v="3"/>
    <s v="Tienda"/>
    <s v="Refrigerador"/>
    <x v="1"/>
    <n v="800000"/>
    <n v="2"/>
    <n v="5"/>
    <n v="1600000"/>
    <n v="80000"/>
    <n v="1520000"/>
  </r>
  <r>
    <n v="680"/>
    <x v="679"/>
    <x v="16"/>
    <n v="3"/>
    <x v="192"/>
    <x v="192"/>
    <s v="cliente5@mail.cl"/>
    <s v="Hombre"/>
    <s v="35"/>
    <s v="Concepción"/>
    <x v="1"/>
    <s v="Web"/>
    <s v="Lavadora"/>
    <x v="1"/>
    <n v="700000"/>
    <n v="3"/>
    <n v="0"/>
    <n v="2100000"/>
    <n v="0"/>
    <n v="2100000"/>
  </r>
  <r>
    <n v="681"/>
    <x v="680"/>
    <x v="30"/>
    <n v="0"/>
    <x v="173"/>
    <x v="173"/>
    <s v="cliente258@mail.cl"/>
    <s v="Mujer"/>
    <s v="29"/>
    <s v="Concepción"/>
    <x v="1"/>
    <s v="Tienda"/>
    <s v="Refrigerador"/>
    <x v="1"/>
    <n v="800000"/>
    <n v="3"/>
    <n v="0"/>
    <n v="2400000"/>
    <n v="0"/>
    <n v="2400000"/>
  </r>
  <r>
    <n v="682"/>
    <x v="681"/>
    <x v="35"/>
    <n v="7"/>
    <x v="101"/>
    <x v="101"/>
    <s v="cliente278@mail.cl"/>
    <s v="Hombre"/>
    <s v="30"/>
    <s v="Rancagua"/>
    <x v="7"/>
    <s v="Web"/>
    <s v="Pantalón"/>
    <x v="3"/>
    <n v="25000"/>
    <n v="2"/>
    <n v="1"/>
    <n v="50000"/>
    <n v="500"/>
    <n v="49500"/>
  </r>
  <r>
    <n v="683"/>
    <x v="682"/>
    <x v="63"/>
    <n v="1"/>
    <x v="3"/>
    <x v="3"/>
    <s v="cliente65@mail.cl"/>
    <s v="Hombre"/>
    <s v="47"/>
    <s v="Puerto Montt"/>
    <x v="5"/>
    <s v="Web"/>
    <s v="Lavadora"/>
    <x v="1"/>
    <n v="700000"/>
    <n v="3"/>
    <n v="0"/>
    <n v="2100000"/>
    <n v="0"/>
    <n v="2100000"/>
  </r>
  <r>
    <n v="684"/>
    <x v="683"/>
    <x v="6"/>
    <n v="0"/>
    <x v="214"/>
    <x v="214"/>
    <s v="cliente277@mail.cl"/>
    <s v="Mujer"/>
    <s v="40"/>
    <s v="Santiago"/>
    <x v="2"/>
    <s v="Tienda"/>
    <s v="Smartphone"/>
    <x v="2"/>
    <n v="450000"/>
    <n v="1"/>
    <n v="1"/>
    <n v="450000"/>
    <n v="4500"/>
    <n v="445500"/>
  </r>
  <r>
    <n v="685"/>
    <x v="684"/>
    <x v="3"/>
    <n v="1"/>
    <x v="258"/>
    <x v="258"/>
    <s v="cliente233@mail.cl"/>
    <s v="Mujer"/>
    <s v="38"/>
    <s v="Valparaíso"/>
    <x v="3"/>
    <s v="App"/>
    <s v="Lavadora"/>
    <x v="1"/>
    <n v="700000"/>
    <n v="1"/>
    <n v="0"/>
    <n v="700000"/>
    <n v="0"/>
    <n v="700000"/>
  </r>
  <r>
    <n v="686"/>
    <x v="685"/>
    <x v="43"/>
    <n v="0"/>
    <x v="171"/>
    <x v="171"/>
    <s v="cliente8@mail.cl"/>
    <s v="Mujer"/>
    <s v="47"/>
    <s v="Valparaíso"/>
    <x v="3"/>
    <s v="Web"/>
    <s v="Maquillaje"/>
    <x v="0"/>
    <n v="15000"/>
    <n v="1"/>
    <n v="0"/>
    <n v="15000"/>
    <n v="0"/>
    <n v="15000"/>
  </r>
  <r>
    <n v="687"/>
    <x v="686"/>
    <x v="29"/>
    <n v="3"/>
    <x v="8"/>
    <x v="8"/>
    <s v="cliente255@mail.cl"/>
    <s v="Hombre"/>
    <s v="19"/>
    <s v="Puerto Montt"/>
    <x v="5"/>
    <s v="Tienda"/>
    <s v="Pantalón"/>
    <x v="3"/>
    <n v="25000"/>
    <n v="2"/>
    <n v="0"/>
    <n v="50000"/>
    <n v="0"/>
    <n v="50000"/>
  </r>
  <r>
    <n v="688"/>
    <x v="687"/>
    <x v="44"/>
    <n v="2"/>
    <x v="259"/>
    <x v="259"/>
    <s v="cliente150@mail.cl"/>
    <s v="Hombre"/>
    <s v="41"/>
    <s v="Talcahuano"/>
    <x v="1"/>
    <s v="Web"/>
    <s v="Polera"/>
    <x v="3"/>
    <n v="12000"/>
    <n v="2"/>
    <n v="0"/>
    <n v="24000"/>
    <n v="0"/>
    <n v="24000"/>
  </r>
  <r>
    <n v="689"/>
    <x v="688"/>
    <x v="19"/>
    <n v="4"/>
    <x v="235"/>
    <x v="235"/>
    <s v="cliente79@mail.cl"/>
    <s v="Mujer"/>
    <s v="39"/>
    <s v="Rancagua"/>
    <x v="7"/>
    <s v="App"/>
    <s v="Lavadora"/>
    <x v="1"/>
    <n v="700000"/>
    <n v="3"/>
    <n v="0"/>
    <n v="2100000"/>
    <n v="0"/>
    <n v="2100000"/>
  </r>
  <r>
    <n v="690"/>
    <x v="689"/>
    <x v="31"/>
    <n v="5"/>
    <x v="90"/>
    <x v="90"/>
    <s v="cliente64@mail.cl"/>
    <s v="Hombre"/>
    <s v="23"/>
    <s v="Puerto Montt"/>
    <x v="5"/>
    <s v="Tienda"/>
    <s v="Pantalón"/>
    <x v="3"/>
    <n v="25000"/>
    <n v="2"/>
    <n v="5"/>
    <n v="50000"/>
    <n v="2500"/>
    <n v="47500"/>
  </r>
  <r>
    <n v="691"/>
    <x v="690"/>
    <x v="49"/>
    <n v="0"/>
    <x v="218"/>
    <x v="218"/>
    <s v="cliente20@mail.cl"/>
    <s v="Hombre"/>
    <s v="21"/>
    <s v="Santiago"/>
    <x v="2"/>
    <s v="App"/>
    <s v="Notebook"/>
    <x v="2"/>
    <n v="750000"/>
    <n v="3"/>
    <n v="1"/>
    <n v="2250000"/>
    <n v="22500"/>
    <n v="2227500"/>
  </r>
  <r>
    <n v="692"/>
    <x v="691"/>
    <x v="21"/>
    <n v="4"/>
    <x v="99"/>
    <x v="99"/>
    <s v="cliente37@mail.cl"/>
    <s v="Hombre"/>
    <s v="40"/>
    <s v="Puerto Montt"/>
    <x v="5"/>
    <s v="Tienda"/>
    <s v="Smartphone"/>
    <x v="2"/>
    <n v="450000"/>
    <n v="3"/>
    <n v="0"/>
    <n v="1350000"/>
    <n v="0"/>
    <n v="1350000"/>
  </r>
  <r>
    <n v="693"/>
    <x v="692"/>
    <x v="16"/>
    <n v="3"/>
    <x v="71"/>
    <x v="71"/>
    <s v="cliente121@mail.cl"/>
    <s v="Hombre"/>
    <s v="47"/>
    <s v="Concepción"/>
    <x v="1"/>
    <s v="App"/>
    <s v="Pantalón"/>
    <x v="3"/>
    <n v="25000"/>
    <n v="1"/>
    <n v="0"/>
    <n v="25000"/>
    <n v="0"/>
    <n v="25000"/>
  </r>
  <r>
    <n v="694"/>
    <x v="693"/>
    <x v="26"/>
    <n v="3"/>
    <x v="61"/>
    <x v="61"/>
    <s v="cliente260@mail.cl"/>
    <s v="Mujer"/>
    <s v="47"/>
    <s v="La Serena"/>
    <x v="6"/>
    <s v="Tienda"/>
    <s v="Pantalón"/>
    <x v="3"/>
    <n v="25000"/>
    <n v="3"/>
    <n v="0"/>
    <n v="75000"/>
    <n v="0"/>
    <n v="75000"/>
  </r>
  <r>
    <n v="695"/>
    <x v="694"/>
    <x v="51"/>
    <n v="6"/>
    <x v="181"/>
    <x v="181"/>
    <s v="cliente74@mail.cl"/>
    <s v="Hombre"/>
    <s v="56"/>
    <s v="Rancagua"/>
    <x v="7"/>
    <s v="App"/>
    <s v="Polera"/>
    <x v="3"/>
    <n v="12000"/>
    <n v="1"/>
    <n v="5"/>
    <n v="12000"/>
    <n v="600"/>
    <n v="11400"/>
  </r>
  <r>
    <n v="696"/>
    <x v="695"/>
    <x v="52"/>
    <n v="1"/>
    <x v="29"/>
    <x v="29"/>
    <s v="cliente122@mail.cl"/>
    <s v="Mujer"/>
    <s v="27"/>
    <s v="Viña del Mar"/>
    <x v="3"/>
    <s v="Tienda"/>
    <s v="TV"/>
    <x v="1"/>
    <n v="650000"/>
    <n v="1"/>
    <n v="1"/>
    <n v="650000"/>
    <n v="6500"/>
    <n v="643500"/>
  </r>
  <r>
    <n v="697"/>
    <x v="696"/>
    <x v="3"/>
    <n v="1"/>
    <x v="204"/>
    <x v="204"/>
    <s v="cliente49@mail.cl"/>
    <s v="Hombre"/>
    <s v="42"/>
    <s v="Valparaíso"/>
    <x v="3"/>
    <s v="Tienda"/>
    <s v="Pantalón"/>
    <x v="3"/>
    <n v="25000"/>
    <n v="3"/>
    <n v="0"/>
    <n v="75000"/>
    <n v="0"/>
    <n v="75000"/>
  </r>
  <r>
    <n v="698"/>
    <x v="697"/>
    <x v="65"/>
    <n v="1"/>
    <x v="105"/>
    <x v="105"/>
    <s v="cliente72@mail.cl"/>
    <s v="Hombre"/>
    <s v="56"/>
    <s v="Puerto Montt"/>
    <x v="5"/>
    <s v="App"/>
    <s v="Smartphone"/>
    <x v="2"/>
    <n v="450000"/>
    <n v="3"/>
    <n v="0"/>
    <n v="1350000"/>
    <n v="0"/>
    <n v="1350000"/>
  </r>
  <r>
    <n v="699"/>
    <x v="698"/>
    <x v="58"/>
    <n v="9"/>
    <x v="157"/>
    <x v="157"/>
    <s v="cliente25@mail.cl"/>
    <s v="Mujer"/>
    <s v="31"/>
    <s v="Valparaíso"/>
    <x v="3"/>
    <s v="Tienda"/>
    <s v="Polera"/>
    <x v="3"/>
    <n v="12000"/>
    <n v="1"/>
    <n v="1"/>
    <n v="12000"/>
    <n v="120"/>
    <n v="11880"/>
  </r>
  <r>
    <n v="700"/>
    <x v="699"/>
    <x v="6"/>
    <n v="0"/>
    <x v="242"/>
    <x v="242"/>
    <s v="cliente146@mail.cl"/>
    <s v="Mujer"/>
    <s v="47"/>
    <s v="Santiago"/>
    <x v="2"/>
    <s v="App"/>
    <s v="Pantalón"/>
    <x v="3"/>
    <n v="25000"/>
    <n v="3"/>
    <n v="5"/>
    <n v="75000"/>
    <n v="3750"/>
    <n v="71250"/>
  </r>
  <r>
    <n v="701"/>
    <x v="700"/>
    <x v="57"/>
    <n v="9"/>
    <x v="221"/>
    <x v="221"/>
    <s v="cliente230@mail.cl"/>
    <s v="Hombre"/>
    <s v="46"/>
    <s v="Antofagasta"/>
    <x v="4"/>
    <s v="Tienda"/>
    <s v="Maquillaje"/>
    <x v="0"/>
    <n v="15000"/>
    <n v="1"/>
    <n v="0"/>
    <n v="15000"/>
    <n v="0"/>
    <n v="15000"/>
  </r>
  <r>
    <n v="702"/>
    <x v="701"/>
    <x v="43"/>
    <n v="0"/>
    <x v="260"/>
    <x v="260"/>
    <s v="cliente199@mail.cl"/>
    <s v="Hombre"/>
    <s v="38"/>
    <s v="Valparaíso"/>
    <x v="3"/>
    <s v="Web"/>
    <s v="Zapatillas"/>
    <x v="4"/>
    <n v="55000"/>
    <n v="2"/>
    <n v="0"/>
    <n v="110000"/>
    <n v="0"/>
    <n v="110000"/>
  </r>
  <r>
    <n v="703"/>
    <x v="702"/>
    <x v="59"/>
    <n v="1"/>
    <x v="183"/>
    <x v="183"/>
    <s v="cliente264@mail.cl"/>
    <s v="Mujer"/>
    <s v="25"/>
    <s v="Puerto Montt"/>
    <x v="5"/>
    <s v="Web"/>
    <s v="Lavadora"/>
    <x v="1"/>
    <n v="700000"/>
    <n v="3"/>
    <n v="0"/>
    <n v="2100000"/>
    <n v="0"/>
    <n v="2100000"/>
  </r>
  <r>
    <n v="704"/>
    <x v="703"/>
    <x v="10"/>
    <n v="5"/>
    <x v="9"/>
    <x v="9"/>
    <s v="cliente35@mail.cl"/>
    <s v="Mujer"/>
    <s v="47"/>
    <s v="Temuco"/>
    <x v="0"/>
    <s v="Web"/>
    <s v="Perfume"/>
    <x v="0"/>
    <n v="35000"/>
    <n v="3"/>
    <n v="1"/>
    <n v="105000"/>
    <n v="1050"/>
    <n v="103950"/>
  </r>
  <r>
    <n v="705"/>
    <x v="704"/>
    <x v="22"/>
    <n v="5"/>
    <x v="165"/>
    <x v="165"/>
    <s v="cliente52@mail.cl"/>
    <s v="Hombre"/>
    <s v="33"/>
    <s v="Rancagua"/>
    <x v="7"/>
    <s v="Tienda"/>
    <s v="Notebook"/>
    <x v="2"/>
    <n v="750000"/>
    <n v="3"/>
    <n v="5"/>
    <n v="2250000"/>
    <n v="112500"/>
    <n v="2137500"/>
  </r>
  <r>
    <n v="706"/>
    <x v="705"/>
    <x v="63"/>
    <n v="1"/>
    <x v="26"/>
    <x v="26"/>
    <s v="cliente252@mail.cl"/>
    <s v="Mujer"/>
    <s v="49"/>
    <s v="Puerto Montt"/>
    <x v="5"/>
    <s v="Web"/>
    <s v="TV"/>
    <x v="1"/>
    <n v="650000"/>
    <n v="2"/>
    <n v="5"/>
    <n v="1300000"/>
    <n v="65000"/>
    <n v="1235000"/>
  </r>
  <r>
    <n v="707"/>
    <x v="706"/>
    <x v="65"/>
    <n v="1"/>
    <x v="35"/>
    <x v="35"/>
    <s v="cliente45@mail.cl"/>
    <s v="Hombre"/>
    <s v="20"/>
    <s v="Puerto Montt"/>
    <x v="5"/>
    <s v="Web"/>
    <s v="Smartphone"/>
    <x v="2"/>
    <n v="450000"/>
    <n v="3"/>
    <n v="1"/>
    <n v="1350000"/>
    <n v="13500"/>
    <n v="1336500"/>
  </r>
  <r>
    <n v="708"/>
    <x v="707"/>
    <x v="22"/>
    <n v="5"/>
    <x v="33"/>
    <x v="33"/>
    <s v="cliente127@mail.cl"/>
    <s v="Mujer"/>
    <s v="26"/>
    <s v="Rancagua"/>
    <x v="7"/>
    <s v="Tienda"/>
    <s v="Notebook"/>
    <x v="2"/>
    <n v="750000"/>
    <n v="2"/>
    <n v="1"/>
    <n v="1500000"/>
    <n v="15000"/>
    <n v="1485000"/>
  </r>
  <r>
    <n v="709"/>
    <x v="708"/>
    <x v="34"/>
    <n v="1"/>
    <x v="173"/>
    <x v="173"/>
    <s v="cliente258@mail.cl"/>
    <s v="Mujer"/>
    <s v="29"/>
    <s v="Viña del Mar"/>
    <x v="3"/>
    <s v="Web"/>
    <s v="TV"/>
    <x v="1"/>
    <n v="650000"/>
    <n v="1"/>
    <n v="1"/>
    <n v="650000"/>
    <n v="6500"/>
    <n v="643500"/>
  </r>
  <r>
    <n v="710"/>
    <x v="709"/>
    <x v="54"/>
    <n v="4"/>
    <x v="141"/>
    <x v="141"/>
    <s v="cliente177@mail.cl"/>
    <s v="Mujer"/>
    <s v="38"/>
    <s v="Rancagua"/>
    <x v="7"/>
    <s v="Tienda"/>
    <s v="TV"/>
    <x v="1"/>
    <n v="650000"/>
    <n v="1"/>
    <n v="0"/>
    <n v="650000"/>
    <n v="0"/>
    <n v="650000"/>
  </r>
  <r>
    <n v="711"/>
    <x v="710"/>
    <x v="19"/>
    <n v="4"/>
    <x v="82"/>
    <x v="82"/>
    <s v="cliente95@mail.cl"/>
    <s v="Mujer"/>
    <s v="33"/>
    <s v="Rancagua"/>
    <x v="7"/>
    <s v="Web"/>
    <s v="Perfume"/>
    <x v="0"/>
    <n v="35000"/>
    <n v="1"/>
    <n v="5"/>
    <n v="35000"/>
    <n v="1750"/>
    <n v="33250"/>
  </r>
  <r>
    <n v="712"/>
    <x v="711"/>
    <x v="50"/>
    <n v="6"/>
    <x v="86"/>
    <x v="86"/>
    <s v="cliente6@mail.cl"/>
    <s v="Mujer"/>
    <s v="35"/>
    <s v="Antofagasta"/>
    <x v="4"/>
    <s v="Web"/>
    <s v="Notebook"/>
    <x v="2"/>
    <n v="750000"/>
    <n v="3"/>
    <n v="0"/>
    <n v="2250000"/>
    <n v="0"/>
    <n v="2250000"/>
  </r>
  <r>
    <n v="713"/>
    <x v="712"/>
    <x v="0"/>
    <n v="0"/>
    <x v="44"/>
    <x v="44"/>
    <s v="cliente204@mail.cl"/>
    <s v="Hombre"/>
    <s v="50"/>
    <s v="Temuco"/>
    <x v="0"/>
    <s v="Web"/>
    <s v="Zapatillas"/>
    <x v="4"/>
    <n v="55000"/>
    <n v="3"/>
    <n v="1"/>
    <n v="165000"/>
    <n v="1650"/>
    <n v="163350"/>
  </r>
  <r>
    <n v="714"/>
    <x v="713"/>
    <x v="11"/>
    <n v="1"/>
    <x v="220"/>
    <x v="220"/>
    <s v="cliente96@mail.cl"/>
    <s v="Hombre"/>
    <s v="20"/>
    <s v="Antofagasta"/>
    <x v="4"/>
    <s v="Web"/>
    <s v="Perfume"/>
    <x v="0"/>
    <n v="35000"/>
    <n v="2"/>
    <n v="1"/>
    <n v="70000"/>
    <n v="700"/>
    <n v="69300"/>
  </r>
  <r>
    <n v="715"/>
    <x v="714"/>
    <x v="23"/>
    <n v="2"/>
    <x v="237"/>
    <x v="237"/>
    <s v="cliente11@mail.cl"/>
    <s v="Hombre"/>
    <s v="32"/>
    <s v="Talcahuano"/>
    <x v="1"/>
    <s v="Web"/>
    <s v="Pantalón"/>
    <x v="3"/>
    <n v="25000"/>
    <n v="3"/>
    <n v="5"/>
    <n v="75000"/>
    <n v="3750"/>
    <n v="71250"/>
  </r>
  <r>
    <n v="716"/>
    <x v="715"/>
    <x v="11"/>
    <n v="1"/>
    <x v="150"/>
    <x v="150"/>
    <s v="cliente36@mail.cl"/>
    <s v="Mujer"/>
    <s v="23"/>
    <s v="Antofagasta"/>
    <x v="4"/>
    <s v="Web"/>
    <s v="TV"/>
    <x v="1"/>
    <n v="650000"/>
    <n v="1"/>
    <n v="1"/>
    <n v="650000"/>
    <n v="6500"/>
    <n v="643500"/>
  </r>
  <r>
    <n v="717"/>
    <x v="716"/>
    <x v="1"/>
    <n v="0"/>
    <x v="129"/>
    <x v="129"/>
    <s v="cliente211@mail.cl"/>
    <s v="Hombre"/>
    <s v="44"/>
    <s v="Talcahuano"/>
    <x v="1"/>
    <s v="Tienda"/>
    <s v="Pantalón"/>
    <x v="3"/>
    <n v="25000"/>
    <n v="3"/>
    <n v="1"/>
    <n v="75000"/>
    <n v="750"/>
    <n v="74250"/>
  </r>
  <r>
    <n v="718"/>
    <x v="717"/>
    <x v="64"/>
    <n v="8"/>
    <x v="220"/>
    <x v="220"/>
    <s v="cliente96@mail.cl"/>
    <s v="Hombre"/>
    <s v="20"/>
    <s v="Santiago"/>
    <x v="2"/>
    <s v="Web"/>
    <s v="Polera"/>
    <x v="3"/>
    <n v="12000"/>
    <n v="3"/>
    <n v="0"/>
    <n v="36000"/>
    <n v="0"/>
    <n v="36000"/>
  </r>
  <r>
    <n v="719"/>
    <x v="718"/>
    <x v="6"/>
    <n v="0"/>
    <x v="223"/>
    <x v="223"/>
    <s v="cliente141@mail.cl"/>
    <s v="Mujer"/>
    <s v="40"/>
    <s v="Santiago"/>
    <x v="2"/>
    <s v="Web"/>
    <s v="Lavadora"/>
    <x v="1"/>
    <n v="700000"/>
    <n v="2"/>
    <n v="1"/>
    <n v="1400000"/>
    <n v="14000"/>
    <n v="1386000"/>
  </r>
  <r>
    <n v="720"/>
    <x v="719"/>
    <x v="10"/>
    <n v="5"/>
    <x v="21"/>
    <x v="21"/>
    <s v="cliente40@mail.cl"/>
    <s v="Hombre"/>
    <s v="40"/>
    <s v="Temuco"/>
    <x v="0"/>
    <s v="Tienda"/>
    <s v="TV"/>
    <x v="1"/>
    <n v="650000"/>
    <n v="3"/>
    <n v="1"/>
    <n v="1950000"/>
    <n v="19500"/>
    <n v="1930500"/>
  </r>
  <r>
    <n v="721"/>
    <x v="720"/>
    <x v="0"/>
    <n v="0"/>
    <x v="261"/>
    <x v="261"/>
    <s v="cliente200@mail.cl"/>
    <s v="Hombre"/>
    <s v="24"/>
    <s v="Temuco"/>
    <x v="0"/>
    <s v="Tienda"/>
    <s v="TV"/>
    <x v="1"/>
    <n v="650000"/>
    <n v="3"/>
    <n v="1"/>
    <n v="1950000"/>
    <n v="19500"/>
    <n v="1930500"/>
  </r>
  <r>
    <n v="722"/>
    <x v="721"/>
    <x v="18"/>
    <n v="0"/>
    <x v="222"/>
    <x v="222"/>
    <s v="cliente112@mail.cl"/>
    <s v="Hombre"/>
    <s v="37"/>
    <s v="Talcahuano"/>
    <x v="1"/>
    <s v="Tienda"/>
    <s v="Smartphone"/>
    <x v="2"/>
    <n v="450000"/>
    <n v="1"/>
    <n v="0"/>
    <n v="450000"/>
    <n v="0"/>
    <n v="450000"/>
  </r>
  <r>
    <n v="723"/>
    <x v="722"/>
    <x v="58"/>
    <n v="9"/>
    <x v="130"/>
    <x v="130"/>
    <s v="cliente71@mail.cl"/>
    <s v="Mujer"/>
    <s v="42"/>
    <s v="Valparaíso"/>
    <x v="3"/>
    <s v="Tienda"/>
    <s v="TV"/>
    <x v="1"/>
    <n v="650000"/>
    <n v="2"/>
    <n v="0"/>
    <n v="1300000"/>
    <n v="0"/>
    <n v="1300000"/>
  </r>
  <r>
    <n v="724"/>
    <x v="723"/>
    <x v="68"/>
    <n v="8"/>
    <x v="88"/>
    <x v="88"/>
    <s v="cliente105@mail.cl"/>
    <s v="Hombre"/>
    <s v="36"/>
    <s v="Valparaíso"/>
    <x v="3"/>
    <s v="App"/>
    <s v="Polera"/>
    <x v="3"/>
    <n v="12000"/>
    <n v="3"/>
    <n v="0"/>
    <n v="36000"/>
    <n v="0"/>
    <n v="36000"/>
  </r>
  <r>
    <n v="725"/>
    <x v="724"/>
    <x v="43"/>
    <n v="0"/>
    <x v="182"/>
    <x v="182"/>
    <s v="cliente119@mail.cl"/>
    <s v="Hombre"/>
    <s v="51"/>
    <s v="Valparaíso"/>
    <x v="3"/>
    <s v="Tienda"/>
    <s v="Notebook"/>
    <x v="2"/>
    <n v="750000"/>
    <n v="1"/>
    <n v="0"/>
    <n v="750000"/>
    <n v="0"/>
    <n v="750000"/>
  </r>
  <r>
    <n v="726"/>
    <x v="725"/>
    <x v="27"/>
    <n v="0"/>
    <x v="43"/>
    <x v="43"/>
    <s v="cliente268@mail.cl"/>
    <s v="Hombre"/>
    <s v="20"/>
    <s v="Temuco"/>
    <x v="0"/>
    <s v="Tienda"/>
    <s v="Lavadora"/>
    <x v="1"/>
    <n v="700000"/>
    <n v="2"/>
    <n v="5"/>
    <n v="1400000"/>
    <n v="70000"/>
    <n v="1330000"/>
  </r>
  <r>
    <n v="727"/>
    <x v="726"/>
    <x v="43"/>
    <n v="0"/>
    <x v="134"/>
    <x v="134"/>
    <s v="cliente93@mail.cl"/>
    <s v="Mujer"/>
    <s v="29"/>
    <s v="Valparaíso"/>
    <x v="3"/>
    <s v="Tienda"/>
    <s v="Refrigerador"/>
    <x v="1"/>
    <n v="800000"/>
    <n v="3"/>
    <n v="1"/>
    <n v="2400000"/>
    <n v="24000"/>
    <n v="2376000"/>
  </r>
  <r>
    <n v="728"/>
    <x v="727"/>
    <x v="1"/>
    <n v="0"/>
    <x v="94"/>
    <x v="94"/>
    <s v="cliente75@mail.cl"/>
    <s v="Hombre"/>
    <s v="18"/>
    <s v="Talcahuano"/>
    <x v="1"/>
    <s v="Tienda"/>
    <s v="Notebook"/>
    <x v="2"/>
    <n v="750000"/>
    <n v="2"/>
    <n v="1"/>
    <n v="1500000"/>
    <n v="15000"/>
    <n v="1485000"/>
  </r>
  <r>
    <n v="729"/>
    <x v="728"/>
    <x v="48"/>
    <n v="1"/>
    <x v="14"/>
    <x v="14"/>
    <s v="cliente67@mail.cl"/>
    <s v="Hombre"/>
    <s v="37"/>
    <s v="Valparaíso"/>
    <x v="3"/>
    <s v="Web"/>
    <s v="Notebook"/>
    <x v="2"/>
    <n v="750000"/>
    <n v="1"/>
    <n v="5"/>
    <n v="750000"/>
    <n v="37500"/>
    <n v="712500"/>
  </r>
  <r>
    <n v="730"/>
    <x v="729"/>
    <x v="34"/>
    <n v="1"/>
    <x v="117"/>
    <x v="117"/>
    <s v="cliente185@mail.cl"/>
    <s v="Hombre"/>
    <s v="35"/>
    <s v="Viña del Mar"/>
    <x v="3"/>
    <s v="Tienda"/>
    <s v="Lavadora"/>
    <x v="1"/>
    <n v="700000"/>
    <n v="3"/>
    <n v="1"/>
    <n v="2100000"/>
    <n v="21000"/>
    <n v="2079000"/>
  </r>
  <r>
    <n v="731"/>
    <x v="730"/>
    <x v="39"/>
    <n v="3"/>
    <x v="41"/>
    <x v="41"/>
    <s v="cliente118@mail.cl"/>
    <s v="Mujer"/>
    <s v="23"/>
    <s v="Concepción"/>
    <x v="1"/>
    <s v="Tienda"/>
    <s v="Pantalón"/>
    <x v="3"/>
    <n v="25000"/>
    <n v="1"/>
    <n v="5"/>
    <n v="25000"/>
    <n v="1250"/>
    <n v="23750"/>
  </r>
  <r>
    <n v="732"/>
    <x v="731"/>
    <x v="19"/>
    <n v="4"/>
    <x v="150"/>
    <x v="150"/>
    <s v="cliente36@mail.cl"/>
    <s v="Mujer"/>
    <s v="23"/>
    <s v="Rancagua"/>
    <x v="7"/>
    <s v="App"/>
    <s v="Polera"/>
    <x v="3"/>
    <n v="12000"/>
    <n v="2"/>
    <n v="0"/>
    <n v="24000"/>
    <n v="0"/>
    <n v="24000"/>
  </r>
  <r>
    <n v="733"/>
    <x v="732"/>
    <x v="46"/>
    <n v="1"/>
    <x v="121"/>
    <x v="121"/>
    <s v="cliente201@mail.cl"/>
    <s v="Mujer"/>
    <s v="42"/>
    <s v="Antofagasta"/>
    <x v="4"/>
    <s v="Web"/>
    <s v="Polera"/>
    <x v="3"/>
    <n v="12000"/>
    <n v="3"/>
    <n v="1"/>
    <n v="36000"/>
    <n v="360"/>
    <n v="35640"/>
  </r>
  <r>
    <n v="734"/>
    <x v="733"/>
    <x v="40"/>
    <n v="1"/>
    <x v="262"/>
    <x v="262"/>
    <s v="cliente257@mail.cl"/>
    <s v="Hombre"/>
    <s v="53"/>
    <s v="Viña del Mar"/>
    <x v="3"/>
    <s v="Web"/>
    <s v="TV"/>
    <x v="1"/>
    <n v="650000"/>
    <n v="3"/>
    <n v="0"/>
    <n v="1950000"/>
    <n v="0"/>
    <n v="1950000"/>
  </r>
  <r>
    <n v="735"/>
    <x v="734"/>
    <x v="44"/>
    <n v="2"/>
    <x v="181"/>
    <x v="181"/>
    <s v="cliente74@mail.cl"/>
    <s v="Hombre"/>
    <s v="56"/>
    <s v="Talcahuano"/>
    <x v="1"/>
    <s v="Web"/>
    <s v="Smartphone"/>
    <x v="2"/>
    <n v="450000"/>
    <n v="1"/>
    <n v="1"/>
    <n v="450000"/>
    <n v="4500"/>
    <n v="445500"/>
  </r>
  <r>
    <n v="736"/>
    <x v="735"/>
    <x v="65"/>
    <n v="1"/>
    <x v="2"/>
    <x v="2"/>
    <s v="cliente196@mail.cl"/>
    <s v="Hombre"/>
    <s v="42"/>
    <s v="Puerto Montt"/>
    <x v="5"/>
    <s v="Web"/>
    <s v="TV"/>
    <x v="1"/>
    <n v="650000"/>
    <n v="3"/>
    <n v="1"/>
    <n v="1950000"/>
    <n v="19500"/>
    <n v="1930500"/>
  </r>
  <r>
    <n v="737"/>
    <x v="736"/>
    <x v="19"/>
    <n v="4"/>
    <x v="128"/>
    <x v="128"/>
    <s v="cliente227@mail.cl"/>
    <s v="Mujer"/>
    <s v="38"/>
    <s v="Rancagua"/>
    <x v="7"/>
    <s v="Web"/>
    <s v="Zapatillas"/>
    <x v="4"/>
    <n v="55000"/>
    <n v="2"/>
    <n v="1"/>
    <n v="110000"/>
    <n v="1100"/>
    <n v="108900"/>
  </r>
  <r>
    <n v="738"/>
    <x v="737"/>
    <x v="68"/>
    <n v="8"/>
    <x v="67"/>
    <x v="67"/>
    <s v="cliente26@mail.cl"/>
    <s v="Mujer"/>
    <s v="39"/>
    <s v="Valparaíso"/>
    <x v="3"/>
    <s v="Tienda"/>
    <s v="Maquillaje"/>
    <x v="0"/>
    <n v="15000"/>
    <n v="3"/>
    <n v="5"/>
    <n v="45000"/>
    <n v="2250"/>
    <n v="42750"/>
  </r>
  <r>
    <n v="739"/>
    <x v="738"/>
    <x v="19"/>
    <n v="4"/>
    <x v="57"/>
    <x v="57"/>
    <s v="cliente263@mail.cl"/>
    <s v="Mujer"/>
    <s v="18"/>
    <s v="Rancagua"/>
    <x v="7"/>
    <s v="Tienda"/>
    <s v="Lavadora"/>
    <x v="1"/>
    <n v="700000"/>
    <n v="1"/>
    <n v="1"/>
    <n v="700000"/>
    <n v="7000"/>
    <n v="693000"/>
  </r>
  <r>
    <n v="740"/>
    <x v="739"/>
    <x v="10"/>
    <n v="5"/>
    <x v="225"/>
    <x v="225"/>
    <s v="cliente19@mail.cl"/>
    <s v="Hombre"/>
    <s v="27"/>
    <s v="Temuco"/>
    <x v="0"/>
    <s v="Tienda"/>
    <s v="Notebook"/>
    <x v="2"/>
    <n v="750000"/>
    <n v="3"/>
    <n v="0"/>
    <n v="2250000"/>
    <n v="0"/>
    <n v="2250000"/>
  </r>
  <r>
    <n v="741"/>
    <x v="740"/>
    <x v="55"/>
    <n v="1"/>
    <x v="239"/>
    <x v="239"/>
    <s v="cliente170@mail.cl"/>
    <s v="Hombre"/>
    <s v="28"/>
    <s v="Concepción"/>
    <x v="1"/>
    <s v="App"/>
    <s v="Perfume"/>
    <x v="0"/>
    <n v="35000"/>
    <n v="3"/>
    <n v="5"/>
    <n v="105000"/>
    <n v="5250"/>
    <n v="99750"/>
  </r>
  <r>
    <n v="742"/>
    <x v="741"/>
    <x v="18"/>
    <n v="0"/>
    <x v="180"/>
    <x v="180"/>
    <s v="cliente139@mail.cl"/>
    <s v="Hombre"/>
    <s v="47"/>
    <s v="Talcahuano"/>
    <x v="1"/>
    <s v="Web"/>
    <s v="Polera"/>
    <x v="3"/>
    <n v="12000"/>
    <n v="2"/>
    <n v="0"/>
    <n v="24000"/>
    <n v="0"/>
    <n v="24000"/>
  </r>
  <r>
    <n v="743"/>
    <x v="742"/>
    <x v="32"/>
    <n v="4"/>
    <x v="136"/>
    <x v="136"/>
    <s v="cliente171@mail.cl"/>
    <s v="Hombre"/>
    <s v="27"/>
    <s v="Talcahuano"/>
    <x v="1"/>
    <s v="Web"/>
    <s v="Perfume"/>
    <x v="0"/>
    <n v="35000"/>
    <n v="2"/>
    <n v="1"/>
    <n v="70000"/>
    <n v="700"/>
    <n v="69300"/>
  </r>
  <r>
    <n v="744"/>
    <x v="743"/>
    <x v="42"/>
    <n v="4"/>
    <x v="137"/>
    <x v="137"/>
    <s v="cliente243@mail.cl"/>
    <s v="Mujer"/>
    <s v="44"/>
    <s v="Antofagasta"/>
    <x v="4"/>
    <s v="App"/>
    <s v="Zapatillas"/>
    <x v="4"/>
    <n v="55000"/>
    <n v="2"/>
    <n v="1"/>
    <n v="110000"/>
    <n v="1100"/>
    <n v="108900"/>
  </r>
  <r>
    <n v="745"/>
    <x v="744"/>
    <x v="61"/>
    <n v="4"/>
    <x v="166"/>
    <x v="166"/>
    <s v="cliente131@mail.cl"/>
    <s v="Hombre"/>
    <s v="19"/>
    <s v="Viña del Mar"/>
    <x v="3"/>
    <s v="Tienda"/>
    <s v="TV"/>
    <x v="1"/>
    <n v="650000"/>
    <n v="3"/>
    <n v="0"/>
    <n v="1950000"/>
    <n v="0"/>
    <n v="1950000"/>
  </r>
  <r>
    <n v="746"/>
    <x v="745"/>
    <x v="19"/>
    <n v="4"/>
    <x v="202"/>
    <x v="202"/>
    <s v="cliente54@mail.cl"/>
    <s v="Mujer"/>
    <s v="45"/>
    <s v="Rancagua"/>
    <x v="7"/>
    <s v="Tienda"/>
    <s v="Smartphone"/>
    <x v="2"/>
    <n v="450000"/>
    <n v="1"/>
    <n v="5"/>
    <n v="450000"/>
    <n v="22500"/>
    <n v="427500"/>
  </r>
  <r>
    <n v="747"/>
    <x v="746"/>
    <x v="2"/>
    <n v="2"/>
    <x v="208"/>
    <x v="208"/>
    <s v="cliente158@mail.cl"/>
    <s v="Hombre"/>
    <s v="43"/>
    <s v="Santiago"/>
    <x v="2"/>
    <s v="App"/>
    <s v="Zapatillas"/>
    <x v="4"/>
    <n v="55000"/>
    <n v="1"/>
    <n v="0"/>
    <n v="55000"/>
    <n v="0"/>
    <n v="55000"/>
  </r>
  <r>
    <n v="748"/>
    <x v="747"/>
    <x v="18"/>
    <n v="0"/>
    <x v="39"/>
    <x v="39"/>
    <s v="cliente238@mail.cl"/>
    <s v="Hombre"/>
    <s v="40"/>
    <s v="Talcahuano"/>
    <x v="1"/>
    <s v="App"/>
    <s v="Perfume"/>
    <x v="0"/>
    <n v="35000"/>
    <n v="2"/>
    <n v="0"/>
    <n v="70000"/>
    <n v="0"/>
    <n v="70000"/>
  </r>
  <r>
    <n v="749"/>
    <x v="748"/>
    <x v="25"/>
    <n v="0"/>
    <x v="194"/>
    <x v="194"/>
    <s v="cliente47@mail.cl"/>
    <s v="Hombre"/>
    <s v="32"/>
    <s v="Viña del Mar"/>
    <x v="3"/>
    <s v="Tienda"/>
    <s v="Maquillaje"/>
    <x v="0"/>
    <n v="15000"/>
    <n v="1"/>
    <n v="0"/>
    <n v="15000"/>
    <n v="0"/>
    <n v="15000"/>
  </r>
  <r>
    <n v="750"/>
    <x v="749"/>
    <x v="60"/>
    <n v="2"/>
    <x v="179"/>
    <x v="179"/>
    <s v="cliente192@mail.cl"/>
    <s v="Mujer"/>
    <m/>
    <s v="Talcahuano"/>
    <x v="1"/>
    <s v="Web"/>
    <s v="Zapatillas"/>
    <x v="4"/>
    <n v="55000"/>
    <n v="2"/>
    <n v="1"/>
    <n v="110000"/>
    <n v="1100"/>
    <n v="108900"/>
  </r>
  <r>
    <n v="751"/>
    <x v="750"/>
    <x v="10"/>
    <n v="5"/>
    <x v="263"/>
    <x v="263"/>
    <s v="cliente24@mail.cl"/>
    <s v="Mujer"/>
    <s v="20"/>
    <s v="Temuco"/>
    <x v="0"/>
    <s v="Tienda"/>
    <s v="Pantalón"/>
    <x v="3"/>
    <n v="25000"/>
    <n v="3"/>
    <n v="5"/>
    <n v="75000"/>
    <n v="3750"/>
    <n v="71250"/>
  </r>
  <r>
    <n v="752"/>
    <x v="751"/>
    <x v="3"/>
    <n v="1"/>
    <x v="112"/>
    <x v="112"/>
    <s v="cliente142@mail.cl"/>
    <s v="Hombre"/>
    <s v="53"/>
    <s v="Valparaíso"/>
    <x v="3"/>
    <s v="Web"/>
    <s v="Polera"/>
    <x v="3"/>
    <n v="12000"/>
    <n v="1"/>
    <n v="1"/>
    <n v="12000"/>
    <n v="120"/>
    <n v="11880"/>
  </r>
  <r>
    <n v="753"/>
    <x v="752"/>
    <x v="24"/>
    <n v="0"/>
    <x v="118"/>
    <x v="118"/>
    <s v="cliente157@mail.cl"/>
    <s v="Mujer"/>
    <s v="60"/>
    <s v="Rancagua"/>
    <x v="7"/>
    <s v="Tienda"/>
    <s v="Notebook"/>
    <x v="2"/>
    <n v="750000"/>
    <n v="3"/>
    <n v="1"/>
    <n v="2250000"/>
    <n v="22500"/>
    <n v="2227500"/>
  </r>
  <r>
    <n v="754"/>
    <x v="753"/>
    <x v="52"/>
    <n v="1"/>
    <x v="56"/>
    <x v="56"/>
    <s v="cliente184@mail.cl"/>
    <s v="Hombre"/>
    <s v="43"/>
    <s v="Viña del Mar"/>
    <x v="3"/>
    <s v="App"/>
    <s v="Refrigerador"/>
    <x v="1"/>
    <n v="800000"/>
    <n v="3"/>
    <n v="5"/>
    <n v="2400000"/>
    <n v="120000"/>
    <n v="2280000"/>
  </r>
  <r>
    <n v="755"/>
    <x v="754"/>
    <x v="54"/>
    <n v="4"/>
    <x v="264"/>
    <x v="264"/>
    <s v="cliente78@mail.cl"/>
    <s v="Hombre"/>
    <s v="34"/>
    <s v="Rancagua"/>
    <x v="7"/>
    <s v="Web"/>
    <s v="Lavadora"/>
    <x v="1"/>
    <n v="700000"/>
    <n v="3"/>
    <n v="0"/>
    <n v="2100000"/>
    <n v="0"/>
    <n v="2100000"/>
  </r>
  <r>
    <n v="756"/>
    <x v="755"/>
    <x v="37"/>
    <n v="6"/>
    <x v="207"/>
    <x v="207"/>
    <s v="cliente270@mail.cl"/>
    <s v="Hombre"/>
    <s v="39"/>
    <s v="Valparaíso"/>
    <x v="3"/>
    <s v="Web"/>
    <s v="Refrigerador"/>
    <x v="1"/>
    <n v="800000"/>
    <n v="2"/>
    <n v="0"/>
    <n v="1600000"/>
    <n v="0"/>
    <n v="1600000"/>
  </r>
  <r>
    <n v="757"/>
    <x v="756"/>
    <x v="28"/>
    <n v="7"/>
    <x v="208"/>
    <x v="208"/>
    <s v="cliente158@mail.cl"/>
    <s v="Hombre"/>
    <s v="43"/>
    <s v="Valparaíso"/>
    <x v="3"/>
    <s v="Tienda"/>
    <s v="Refrigerador"/>
    <x v="1"/>
    <n v="800000"/>
    <n v="2"/>
    <n v="1"/>
    <n v="1600000"/>
    <n v="16000"/>
    <n v="1584000"/>
  </r>
  <r>
    <n v="758"/>
    <x v="757"/>
    <x v="68"/>
    <n v="8"/>
    <x v="258"/>
    <x v="258"/>
    <s v="cliente233@mail.cl"/>
    <s v="Mujer"/>
    <s v="38"/>
    <s v="Valparaíso"/>
    <x v="3"/>
    <s v="Web"/>
    <s v="Smartphone"/>
    <x v="2"/>
    <n v="450000"/>
    <n v="1"/>
    <n v="5"/>
    <n v="450000"/>
    <n v="22500"/>
    <n v="427500"/>
  </r>
  <r>
    <n v="759"/>
    <x v="758"/>
    <x v="50"/>
    <n v="6"/>
    <x v="265"/>
    <x v="265"/>
    <s v="cliente156@mail.cl"/>
    <s v="Mujer"/>
    <s v="29"/>
    <s v="Antofagasta"/>
    <x v="4"/>
    <s v="Tienda"/>
    <s v="Notebook"/>
    <x v="2"/>
    <n v="750000"/>
    <n v="3"/>
    <n v="0"/>
    <n v="2250000"/>
    <n v="0"/>
    <n v="2250000"/>
  </r>
  <r>
    <n v="760"/>
    <x v="759"/>
    <x v="28"/>
    <n v="7"/>
    <x v="71"/>
    <x v="71"/>
    <s v="cliente121@mail.cl"/>
    <s v="Hombre"/>
    <s v="47"/>
    <s v="Valparaíso"/>
    <x v="3"/>
    <s v="Tienda"/>
    <s v="TV"/>
    <x v="1"/>
    <n v="650000"/>
    <n v="2"/>
    <n v="5"/>
    <n v="1300000"/>
    <n v="65000"/>
    <n v="1235000"/>
  </r>
  <r>
    <n v="761"/>
    <x v="760"/>
    <x v="17"/>
    <n v="3"/>
    <x v="163"/>
    <x v="163"/>
    <s v="cliente155@mail.cl"/>
    <s v="Mujer"/>
    <s v="41"/>
    <s v="Temuco"/>
    <x v="0"/>
    <s v="Tienda"/>
    <s v="Maquillaje"/>
    <x v="0"/>
    <n v="15000"/>
    <n v="3"/>
    <n v="0"/>
    <n v="45000"/>
    <n v="0"/>
    <n v="45000"/>
  </r>
  <r>
    <n v="762"/>
    <x v="761"/>
    <x v="57"/>
    <n v="9"/>
    <x v="257"/>
    <x v="257"/>
    <s v="cliente183@mail.cl"/>
    <s v="Mujer"/>
    <s v="25"/>
    <s v="Antofagasta"/>
    <x v="4"/>
    <s v="Tienda"/>
    <s v="Smartphone"/>
    <x v="2"/>
    <n v="450000"/>
    <n v="3"/>
    <n v="0"/>
    <n v="1350000"/>
    <n v="0"/>
    <n v="1350000"/>
  </r>
  <r>
    <n v="763"/>
    <x v="762"/>
    <x v="57"/>
    <n v="9"/>
    <x v="134"/>
    <x v="134"/>
    <s v="cliente93@mail.cl"/>
    <s v="Mujer"/>
    <s v="29"/>
    <s v="Antofagasta"/>
    <x v="4"/>
    <s v="Tienda"/>
    <s v="Smartphone"/>
    <x v="2"/>
    <n v="450000"/>
    <n v="3"/>
    <n v="5"/>
    <n v="1350000"/>
    <n v="67500"/>
    <n v="1282500"/>
  </r>
  <r>
    <n v="764"/>
    <x v="763"/>
    <x v="34"/>
    <n v="1"/>
    <x v="183"/>
    <x v="183"/>
    <s v="cliente264@mail.cl"/>
    <s v="Mujer"/>
    <s v="25"/>
    <s v="Viña del Mar"/>
    <x v="3"/>
    <s v="Web"/>
    <s v="Refrigerador"/>
    <x v="1"/>
    <n v="800000"/>
    <n v="3"/>
    <n v="1"/>
    <n v="2400000"/>
    <n v="24000"/>
    <n v="2376000"/>
  </r>
  <r>
    <n v="765"/>
    <x v="764"/>
    <x v="10"/>
    <n v="5"/>
    <x v="126"/>
    <x v="126"/>
    <s v="cliente219@mail.cl"/>
    <s v="Mujer"/>
    <s v="32"/>
    <s v="Temuco"/>
    <x v="0"/>
    <s v="App"/>
    <s v="Zapatillas"/>
    <x v="4"/>
    <n v="55000"/>
    <n v="2"/>
    <n v="0"/>
    <n v="110000"/>
    <n v="0"/>
    <n v="110000"/>
  </r>
  <r>
    <n v="766"/>
    <x v="765"/>
    <x v="35"/>
    <n v="7"/>
    <x v="158"/>
    <x v="158"/>
    <s v="cliente164@mail.cl"/>
    <s v="Mujer"/>
    <s v="28"/>
    <s v="Rancagua"/>
    <x v="7"/>
    <s v="Web"/>
    <s v="Pantalón"/>
    <x v="3"/>
    <n v="25000"/>
    <n v="2"/>
    <n v="0"/>
    <n v="50000"/>
    <n v="0"/>
    <n v="50000"/>
  </r>
  <r>
    <n v="767"/>
    <x v="766"/>
    <x v="44"/>
    <n v="2"/>
    <x v="6"/>
    <x v="6"/>
    <s v="cliente160@mail.cl"/>
    <s v="Mujer"/>
    <s v="45"/>
    <s v="Talcahuano"/>
    <x v="1"/>
    <s v="Tienda"/>
    <s v="TV"/>
    <x v="1"/>
    <n v="650000"/>
    <n v="3"/>
    <n v="0"/>
    <n v="1950000"/>
    <n v="0"/>
    <n v="1950000"/>
  </r>
  <r>
    <n v="768"/>
    <x v="767"/>
    <x v="1"/>
    <n v="0"/>
    <x v="142"/>
    <x v="142"/>
    <s v="cliente92@mail.cl"/>
    <s v="Mujer"/>
    <s v="49"/>
    <s v="Talcahuano"/>
    <x v="1"/>
    <s v="Web"/>
    <s v="Pantalón"/>
    <x v="3"/>
    <n v="25000"/>
    <n v="3"/>
    <n v="0"/>
    <n v="75000"/>
    <n v="0"/>
    <n v="75000"/>
  </r>
  <r>
    <n v="769"/>
    <x v="768"/>
    <x v="0"/>
    <n v="0"/>
    <x v="47"/>
    <x v="47"/>
    <s v="cliente221@mail.cl"/>
    <s v="Mujer"/>
    <s v="65"/>
    <s v="Temuco"/>
    <x v="0"/>
    <s v="Web"/>
    <s v="Polera"/>
    <x v="3"/>
    <n v="12000"/>
    <n v="1"/>
    <n v="0"/>
    <n v="12000"/>
    <n v="0"/>
    <n v="12000"/>
  </r>
  <r>
    <n v="770"/>
    <x v="769"/>
    <x v="52"/>
    <n v="1"/>
    <x v="184"/>
    <x v="184"/>
    <s v="cliente138@mail.cl"/>
    <s v="Mujer"/>
    <s v="34"/>
    <s v="Viña del Mar"/>
    <x v="3"/>
    <s v="Tienda"/>
    <s v="Maquillaje"/>
    <x v="0"/>
    <n v="15000"/>
    <n v="2"/>
    <n v="5"/>
    <n v="30000"/>
    <n v="1500"/>
    <n v="28500"/>
  </r>
  <r>
    <n v="771"/>
    <x v="770"/>
    <x v="62"/>
    <n v="1"/>
    <x v="215"/>
    <x v="215"/>
    <s v="cliente84@mail.cl"/>
    <s v="Mujer"/>
    <s v="31"/>
    <s v="Antofagasta"/>
    <x v="4"/>
    <s v="App"/>
    <s v="Notebook"/>
    <x v="2"/>
    <n v="750000"/>
    <n v="2"/>
    <n v="1"/>
    <n v="1500000"/>
    <n v="15000"/>
    <n v="1485000"/>
  </r>
  <r>
    <n v="772"/>
    <x v="771"/>
    <x v="24"/>
    <n v="0"/>
    <x v="34"/>
    <x v="34"/>
    <s v="cliente246@mail.cl"/>
    <s v="Hombre"/>
    <s v="33"/>
    <s v="Rancagua"/>
    <x v="7"/>
    <s v="Web"/>
    <s v="TV"/>
    <x v="1"/>
    <n v="650000"/>
    <n v="1"/>
    <n v="5"/>
    <n v="650000"/>
    <n v="32500"/>
    <n v="617500"/>
  </r>
  <r>
    <n v="773"/>
    <x v="772"/>
    <x v="5"/>
    <n v="0"/>
    <x v="235"/>
    <x v="235"/>
    <s v="cliente79@mail.cl"/>
    <s v="Mujer"/>
    <s v="39"/>
    <s v="Santiago"/>
    <x v="2"/>
    <s v="Tienda"/>
    <s v="Maquillaje"/>
    <x v="0"/>
    <n v="15000"/>
    <n v="1"/>
    <n v="1"/>
    <n v="15000"/>
    <n v="150"/>
    <n v="14850"/>
  </r>
  <r>
    <n v="774"/>
    <x v="773"/>
    <x v="23"/>
    <n v="2"/>
    <x v="39"/>
    <x v="39"/>
    <s v="cliente238@mail.cl"/>
    <s v="Hombre"/>
    <s v="40"/>
    <s v="Talcahuano"/>
    <x v="1"/>
    <s v="App"/>
    <s v="Smartphone"/>
    <x v="2"/>
    <n v="450000"/>
    <n v="3"/>
    <n v="5"/>
    <n v="1350000"/>
    <n v="67500"/>
    <n v="1282500"/>
  </r>
  <r>
    <n v="775"/>
    <x v="774"/>
    <x v="40"/>
    <n v="1"/>
    <x v="13"/>
    <x v="13"/>
    <s v="cliente189@mail.cl"/>
    <s v="Mujer"/>
    <s v="27"/>
    <s v="Viña del Mar"/>
    <x v="3"/>
    <s v="Web"/>
    <s v="Smartphone"/>
    <x v="2"/>
    <n v="450000"/>
    <n v="3"/>
    <n v="0"/>
    <n v="1350000"/>
    <n v="0"/>
    <n v="1350000"/>
  </r>
  <r>
    <n v="776"/>
    <x v="775"/>
    <x v="52"/>
    <n v="1"/>
    <x v="98"/>
    <x v="98"/>
    <s v="cliente225@mail.cl"/>
    <s v="Hombre"/>
    <s v="32"/>
    <s v="Viña del Mar"/>
    <x v="3"/>
    <s v="Web"/>
    <s v="Pantalón"/>
    <x v="3"/>
    <n v="25000"/>
    <n v="3"/>
    <n v="5"/>
    <n v="75000"/>
    <n v="3750"/>
    <n v="71250"/>
  </r>
  <r>
    <n v="777"/>
    <x v="776"/>
    <x v="65"/>
    <n v="1"/>
    <x v="136"/>
    <x v="136"/>
    <s v="cliente171@mail.cl"/>
    <s v="Hombre"/>
    <s v="27"/>
    <s v="Puerto Montt"/>
    <x v="5"/>
    <s v="Web"/>
    <s v="TV"/>
    <x v="1"/>
    <n v="650000"/>
    <n v="2"/>
    <n v="5"/>
    <n v="1300000"/>
    <n v="65000"/>
    <n v="1235000"/>
  </r>
  <r>
    <n v="778"/>
    <x v="777"/>
    <x v="63"/>
    <n v="1"/>
    <x v="205"/>
    <x v="205"/>
    <s v="cliente98@mail.cl"/>
    <s v="Hombre"/>
    <s v="41"/>
    <s v="Puerto Montt"/>
    <x v="5"/>
    <s v="Tienda"/>
    <s v="Maquillaje"/>
    <x v="0"/>
    <n v="15000"/>
    <n v="1"/>
    <n v="1"/>
    <n v="15000"/>
    <n v="150"/>
    <n v="14850"/>
  </r>
  <r>
    <n v="779"/>
    <x v="778"/>
    <x v="67"/>
    <n v="1"/>
    <x v="47"/>
    <x v="47"/>
    <s v="cliente221@mail.cl"/>
    <s v="Mujer"/>
    <s v="65"/>
    <s v="Viña del Mar"/>
    <x v="3"/>
    <s v="Tienda"/>
    <s v="TV"/>
    <x v="1"/>
    <n v="650000"/>
    <n v="1"/>
    <n v="5"/>
    <n v="650000"/>
    <n v="32500"/>
    <n v="617500"/>
  </r>
  <r>
    <n v="780"/>
    <x v="779"/>
    <x v="28"/>
    <n v="7"/>
    <x v="151"/>
    <x v="151"/>
    <s v="cliente266@mail.cl"/>
    <s v="Mujer"/>
    <s v="23"/>
    <s v="Valparaíso"/>
    <x v="3"/>
    <s v="Tienda"/>
    <s v="Perfume"/>
    <x v="0"/>
    <n v="35000"/>
    <n v="1"/>
    <n v="5"/>
    <n v="35000"/>
    <n v="1750"/>
    <n v="33250"/>
  </r>
  <r>
    <n v="781"/>
    <x v="780"/>
    <x v="18"/>
    <n v="0"/>
    <x v="153"/>
    <x v="153"/>
    <s v="cliente129@mail.cl"/>
    <s v="Mujer"/>
    <s v="39"/>
    <s v="Talcahuano"/>
    <x v="1"/>
    <s v="Tienda"/>
    <s v="Zapatillas"/>
    <x v="4"/>
    <n v="55000"/>
    <n v="1"/>
    <n v="0"/>
    <n v="55000"/>
    <n v="0"/>
    <n v="55000"/>
  </r>
  <r>
    <n v="782"/>
    <x v="781"/>
    <x v="36"/>
    <n v="1"/>
    <x v="121"/>
    <x v="121"/>
    <s v="cliente201@mail.cl"/>
    <s v="Mujer"/>
    <s v="42"/>
    <s v="Talcahuano"/>
    <x v="1"/>
    <s v="App"/>
    <s v="Maquillaje"/>
    <x v="0"/>
    <n v="15000"/>
    <n v="3"/>
    <n v="5"/>
    <n v="45000"/>
    <n v="2250"/>
    <n v="42750"/>
  </r>
  <r>
    <n v="783"/>
    <x v="782"/>
    <x v="2"/>
    <n v="2"/>
    <x v="104"/>
    <x v="104"/>
    <s v="cliente18@mail.cl"/>
    <s v="Mujer"/>
    <s v="41"/>
    <s v="Santiago"/>
    <x v="2"/>
    <s v="Tienda"/>
    <s v="Notebook"/>
    <x v="2"/>
    <n v="750000"/>
    <n v="3"/>
    <n v="1"/>
    <n v="2250000"/>
    <n v="22500"/>
    <n v="2227500"/>
  </r>
  <r>
    <n v="784"/>
    <x v="783"/>
    <x v="63"/>
    <n v="1"/>
    <x v="96"/>
    <x v="96"/>
    <s v="cliente216@mail.cl"/>
    <s v="Hombre"/>
    <s v="47"/>
    <s v="Puerto Montt"/>
    <x v="5"/>
    <s v="App"/>
    <s v="Maquillaje"/>
    <x v="0"/>
    <n v="15000"/>
    <n v="3"/>
    <n v="0"/>
    <n v="45000"/>
    <n v="0"/>
    <n v="45000"/>
  </r>
  <r>
    <n v="785"/>
    <x v="784"/>
    <x v="15"/>
    <n v="5"/>
    <x v="106"/>
    <x v="106"/>
    <s v="cliente88@mail.cl"/>
    <s v="Hombre"/>
    <s v="41"/>
    <s v="La Serena"/>
    <x v="6"/>
    <s v="Tienda"/>
    <s v="Polera"/>
    <x v="3"/>
    <n v="12000"/>
    <n v="3"/>
    <n v="1"/>
    <n v="36000"/>
    <n v="360"/>
    <n v="35640"/>
  </r>
  <r>
    <n v="786"/>
    <x v="785"/>
    <x v="51"/>
    <n v="6"/>
    <x v="69"/>
    <x v="69"/>
    <s v="cliente137@mail.cl"/>
    <s v="Hombre"/>
    <s v="28"/>
    <s v="Rancagua"/>
    <x v="7"/>
    <s v="Tienda"/>
    <s v="TV"/>
    <x v="1"/>
    <n v="650000"/>
    <n v="2"/>
    <n v="1"/>
    <n v="1300000"/>
    <n v="13000"/>
    <n v="1287000"/>
  </r>
  <r>
    <n v="787"/>
    <x v="786"/>
    <x v="35"/>
    <n v="7"/>
    <x v="51"/>
    <x v="51"/>
    <s v="cliente261@mail.cl"/>
    <s v="Hombre"/>
    <s v="26"/>
    <s v="Rancagua"/>
    <x v="7"/>
    <s v="Tienda"/>
    <s v="Polera"/>
    <x v="3"/>
    <n v="12000"/>
    <n v="3"/>
    <n v="0"/>
    <n v="36000"/>
    <n v="0"/>
    <n v="36000"/>
  </r>
  <r>
    <n v="788"/>
    <x v="787"/>
    <x v="53"/>
    <n v="0"/>
    <x v="150"/>
    <x v="150"/>
    <s v="cliente36@mail.cl"/>
    <s v="Mujer"/>
    <s v="23"/>
    <s v="Talcahuano"/>
    <x v="1"/>
    <s v="Web"/>
    <s v="Refrigerador"/>
    <x v="1"/>
    <n v="800000"/>
    <n v="1"/>
    <n v="5"/>
    <n v="800000"/>
    <n v="40000"/>
    <n v="760000"/>
  </r>
  <r>
    <n v="789"/>
    <x v="788"/>
    <x v="48"/>
    <n v="1"/>
    <x v="165"/>
    <x v="165"/>
    <s v="cliente52@mail.cl"/>
    <s v="Hombre"/>
    <s v="33"/>
    <s v="Valparaíso"/>
    <x v="3"/>
    <s v="Tienda"/>
    <s v="Refrigerador"/>
    <x v="1"/>
    <n v="800000"/>
    <n v="2"/>
    <n v="5"/>
    <n v="1600000"/>
    <n v="80000"/>
    <n v="1520000"/>
  </r>
  <r>
    <n v="790"/>
    <x v="789"/>
    <x v="33"/>
    <n v="4"/>
    <x v="154"/>
    <x v="154"/>
    <s v="cliente182@mail.cl"/>
    <s v="Hombre"/>
    <s v="27"/>
    <s v="Temuco"/>
    <x v="0"/>
    <s v="App"/>
    <s v="Perfume"/>
    <x v="0"/>
    <n v="35000"/>
    <n v="2"/>
    <n v="1"/>
    <n v="70000"/>
    <n v="700"/>
    <n v="69300"/>
  </r>
  <r>
    <n v="791"/>
    <x v="790"/>
    <x v="45"/>
    <n v="1"/>
    <x v="113"/>
    <x v="113"/>
    <s v="cliente22@mail.cl"/>
    <s v="Hombre"/>
    <s v="35"/>
    <s v="Talcahuano"/>
    <x v="1"/>
    <s v="Tienda"/>
    <s v="TV"/>
    <x v="1"/>
    <n v="650000"/>
    <n v="2"/>
    <n v="5"/>
    <n v="1300000"/>
    <n v="65000"/>
    <n v="1235000"/>
  </r>
  <r>
    <n v="792"/>
    <x v="791"/>
    <x v="59"/>
    <n v="1"/>
    <x v="214"/>
    <x v="214"/>
    <s v="cliente277@mail.cl"/>
    <s v="Mujer"/>
    <s v="40"/>
    <s v="Puerto Montt"/>
    <x v="5"/>
    <s v="Tienda"/>
    <s v="Maquillaje"/>
    <x v="0"/>
    <n v="15000"/>
    <n v="3"/>
    <n v="5"/>
    <n v="45000"/>
    <n v="2250"/>
    <n v="42750"/>
  </r>
  <r>
    <n v="793"/>
    <x v="792"/>
    <x v="47"/>
    <n v="13"/>
    <x v="151"/>
    <x v="151"/>
    <s v="cliente266@mail.cl"/>
    <s v="Mujer"/>
    <s v="23"/>
    <s v="Rancagua"/>
    <x v="7"/>
    <s v="Web"/>
    <s v="Notebook"/>
    <x v="2"/>
    <n v="750000"/>
    <n v="3"/>
    <n v="0"/>
    <n v="2250000"/>
    <n v="0"/>
    <n v="2250000"/>
  </r>
  <r>
    <n v="794"/>
    <x v="793"/>
    <x v="60"/>
    <n v="2"/>
    <x v="168"/>
    <x v="168"/>
    <s v="cliente259@mail.cl"/>
    <s v="Mujer"/>
    <s v="43"/>
    <s v="Talcahuano"/>
    <x v="1"/>
    <s v="Tienda"/>
    <s v="Pantalón"/>
    <x v="3"/>
    <n v="25000"/>
    <n v="3"/>
    <n v="5"/>
    <n v="75000"/>
    <n v="3750"/>
    <n v="71250"/>
  </r>
  <r>
    <n v="795"/>
    <x v="794"/>
    <x v="3"/>
    <n v="1"/>
    <x v="100"/>
    <x v="100"/>
    <s v="cliente267@mail.cl"/>
    <s v="Mujer"/>
    <s v="57"/>
    <s v="Valparaíso"/>
    <x v="3"/>
    <s v="Web"/>
    <s v="Lavadora"/>
    <x v="1"/>
    <n v="700000"/>
    <n v="2"/>
    <n v="0"/>
    <n v="1400000"/>
    <n v="0"/>
    <n v="1400000"/>
  </r>
  <r>
    <n v="796"/>
    <x v="795"/>
    <x v="58"/>
    <n v="9"/>
    <x v="35"/>
    <x v="35"/>
    <s v="cliente45@mail.cl"/>
    <s v="Hombre"/>
    <s v="20"/>
    <s v="Valparaíso"/>
    <x v="3"/>
    <s v="Tienda"/>
    <s v="Perfume"/>
    <x v="0"/>
    <n v="35000"/>
    <n v="1"/>
    <n v="5"/>
    <n v="35000"/>
    <n v="1750"/>
    <n v="33250"/>
  </r>
  <r>
    <n v="797"/>
    <x v="796"/>
    <x v="42"/>
    <n v="4"/>
    <x v="177"/>
    <x v="177"/>
    <s v="cliente91@mail.cl"/>
    <s v="Hombre"/>
    <s v="39"/>
    <s v="Antofagasta"/>
    <x v="4"/>
    <s v="Web"/>
    <s v="Maquillaje"/>
    <x v="0"/>
    <n v="15000"/>
    <n v="1"/>
    <n v="0"/>
    <n v="15000"/>
    <n v="0"/>
    <n v="15000"/>
  </r>
  <r>
    <n v="798"/>
    <x v="797"/>
    <x v="67"/>
    <n v="1"/>
    <x v="215"/>
    <x v="215"/>
    <s v="cliente84@mail.cl"/>
    <s v="Mujer"/>
    <s v="31"/>
    <s v="Viña del Mar"/>
    <x v="3"/>
    <s v="Web"/>
    <s v="Lavadora"/>
    <x v="1"/>
    <n v="700000"/>
    <n v="2"/>
    <n v="1"/>
    <n v="1400000"/>
    <n v="14000"/>
    <n v="1386000"/>
  </r>
  <r>
    <n v="799"/>
    <x v="798"/>
    <x v="8"/>
    <n v="2"/>
    <x v="264"/>
    <x v="264"/>
    <s v="cliente78@mail.cl"/>
    <s v="Hombre"/>
    <s v="34"/>
    <s v="Concepción"/>
    <x v="1"/>
    <s v="Tienda"/>
    <s v="Maquillaje"/>
    <x v="0"/>
    <n v="15000"/>
    <n v="1"/>
    <n v="0"/>
    <n v="15000"/>
    <n v="0"/>
    <n v="15000"/>
  </r>
  <r>
    <n v="800"/>
    <x v="799"/>
    <x v="42"/>
    <n v="4"/>
    <x v="85"/>
    <x v="85"/>
    <s v="cliente61@mail.cl"/>
    <s v="Mujer"/>
    <s v="32"/>
    <s v="Antofagasta"/>
    <x v="4"/>
    <s v="Web"/>
    <s v="Pantalón"/>
    <x v="3"/>
    <n v="25000"/>
    <n v="1"/>
    <n v="0"/>
    <n v="25000"/>
    <n v="0"/>
    <n v="25000"/>
  </r>
  <r>
    <n v="801"/>
    <x v="800"/>
    <x v="36"/>
    <n v="1"/>
    <x v="131"/>
    <x v="131"/>
    <s v="cliente213@mail.cl"/>
    <s v="Mujer"/>
    <s v="49"/>
    <s v="Talcahuano"/>
    <x v="1"/>
    <s v="Tienda"/>
    <s v="Maquillaje"/>
    <x v="0"/>
    <n v="15000"/>
    <n v="2"/>
    <n v="1"/>
    <n v="30000"/>
    <n v="300"/>
    <n v="29700"/>
  </r>
  <r>
    <n v="802"/>
    <x v="801"/>
    <x v="57"/>
    <n v="9"/>
    <x v="136"/>
    <x v="136"/>
    <s v="cliente171@mail.cl"/>
    <s v="Hombre"/>
    <s v="27"/>
    <s v="Antofagasta"/>
    <x v="4"/>
    <s v="Web"/>
    <s v="Maquillaje"/>
    <x v="0"/>
    <n v="15000"/>
    <n v="1"/>
    <n v="0"/>
    <n v="15000"/>
    <n v="0"/>
    <n v="15000"/>
  </r>
  <r>
    <n v="803"/>
    <x v="802"/>
    <x v="12"/>
    <n v="1"/>
    <x v="46"/>
    <x v="46"/>
    <s v="cliente30@mail.cl"/>
    <s v="Hombre"/>
    <s v="34"/>
    <s v="Talcahuano"/>
    <x v="1"/>
    <s v="Tienda"/>
    <s v="Zapatillas"/>
    <x v="4"/>
    <n v="55000"/>
    <n v="3"/>
    <n v="0"/>
    <n v="165000"/>
    <n v="0"/>
    <n v="165000"/>
  </r>
  <r>
    <n v="804"/>
    <x v="803"/>
    <x v="32"/>
    <n v="4"/>
    <x v="212"/>
    <x v="212"/>
    <s v="cliente94@mail.cl"/>
    <s v="Hombre"/>
    <s v="34"/>
    <s v="Talcahuano"/>
    <x v="1"/>
    <s v="Web"/>
    <s v="Perfume"/>
    <x v="0"/>
    <n v="35000"/>
    <n v="1"/>
    <n v="5"/>
    <n v="35000"/>
    <n v="1750"/>
    <n v="33250"/>
  </r>
  <r>
    <n v="805"/>
    <x v="804"/>
    <x v="68"/>
    <n v="8"/>
    <x v="172"/>
    <x v="172"/>
    <s v="cliente7@mail.cl"/>
    <s v="Hombre"/>
    <s v="56"/>
    <s v="Valparaíso"/>
    <x v="3"/>
    <s v="Web"/>
    <s v="Refrigerador"/>
    <x v="1"/>
    <n v="800000"/>
    <n v="1"/>
    <n v="0"/>
    <n v="800000"/>
    <n v="0"/>
    <n v="800000"/>
  </r>
  <r>
    <n v="806"/>
    <x v="805"/>
    <x v="14"/>
    <n v="9"/>
    <x v="143"/>
    <x v="143"/>
    <s v="cliente33@mail.cl"/>
    <s v="Hombre"/>
    <s v="37"/>
    <s v="Talcahuano"/>
    <x v="1"/>
    <s v="Web"/>
    <s v="Perfume"/>
    <x v="0"/>
    <n v="35000"/>
    <n v="3"/>
    <n v="0"/>
    <n v="105000"/>
    <n v="0"/>
    <n v="105000"/>
  </r>
  <r>
    <n v="807"/>
    <x v="806"/>
    <x v="69"/>
    <n v="1"/>
    <x v="165"/>
    <x v="165"/>
    <s v="cliente52@mail.cl"/>
    <s v="Hombre"/>
    <s v="33"/>
    <s v="Puerto Montt"/>
    <x v="5"/>
    <s v="App"/>
    <s v="Smartphone"/>
    <x v="2"/>
    <n v="450000"/>
    <n v="1"/>
    <n v="0"/>
    <n v="450000"/>
    <n v="0"/>
    <n v="450000"/>
  </r>
  <r>
    <n v="808"/>
    <x v="807"/>
    <x v="40"/>
    <n v="1"/>
    <x v="5"/>
    <x v="5"/>
    <s v="cliente202@mail.cl"/>
    <s v="Mujer"/>
    <s v="44"/>
    <s v="Viña del Mar"/>
    <x v="3"/>
    <s v="App"/>
    <s v="Refrigerador"/>
    <x v="1"/>
    <n v="800000"/>
    <n v="3"/>
    <n v="0"/>
    <n v="2400000"/>
    <n v="0"/>
    <n v="2400000"/>
  </r>
  <r>
    <n v="809"/>
    <x v="808"/>
    <x v="11"/>
    <n v="1"/>
    <x v="259"/>
    <x v="259"/>
    <s v="cliente150@mail.cl"/>
    <s v="Hombre"/>
    <s v="41"/>
    <s v="Antofagasta"/>
    <x v="4"/>
    <s v="App"/>
    <s v="Notebook"/>
    <x v="2"/>
    <n v="750000"/>
    <n v="2"/>
    <n v="1"/>
    <n v="1500000"/>
    <n v="15000"/>
    <n v="1485000"/>
  </r>
  <r>
    <n v="810"/>
    <x v="809"/>
    <x v="11"/>
    <n v="1"/>
    <x v="200"/>
    <x v="200"/>
    <s v="cliente153@mail.cl"/>
    <s v="Hombre"/>
    <s v="29"/>
    <s v="Antofagasta"/>
    <x v="4"/>
    <s v="Tienda"/>
    <s v="Smartphone"/>
    <x v="2"/>
    <n v="450000"/>
    <n v="3"/>
    <n v="1"/>
    <n v="1350000"/>
    <n v="13500"/>
    <n v="1336500"/>
  </r>
  <r>
    <n v="811"/>
    <x v="810"/>
    <x v="16"/>
    <n v="3"/>
    <x v="79"/>
    <x v="79"/>
    <s v="cliente205@mail.cl"/>
    <s v="Hombre"/>
    <s v="21"/>
    <s v="Concepción"/>
    <x v="1"/>
    <s v="App"/>
    <s v="Lavadora"/>
    <x v="1"/>
    <n v="700000"/>
    <n v="2"/>
    <n v="1"/>
    <n v="1400000"/>
    <n v="14000"/>
    <n v="1386000"/>
  </r>
  <r>
    <n v="812"/>
    <x v="811"/>
    <x v="13"/>
    <n v="5"/>
    <x v="58"/>
    <x v="58"/>
    <s v="cliente193@mail.cl"/>
    <s v="Hombre"/>
    <s v="40"/>
    <s v="Puerto Montt"/>
    <x v="5"/>
    <s v="Tienda"/>
    <s v="Notebook"/>
    <x v="2"/>
    <n v="750000"/>
    <n v="2"/>
    <n v="0"/>
    <n v="1500000"/>
    <n v="0"/>
    <n v="1500000"/>
  </r>
  <r>
    <n v="813"/>
    <x v="812"/>
    <x v="66"/>
    <n v="7"/>
    <x v="50"/>
    <x v="50"/>
    <s v="cliente186@mail.cl"/>
    <s v="Mujer"/>
    <s v="46"/>
    <s v="Antofagasta"/>
    <x v="4"/>
    <s v="App"/>
    <s v="Maquillaje"/>
    <x v="0"/>
    <n v="15000"/>
    <n v="3"/>
    <n v="5"/>
    <n v="45000"/>
    <n v="2250"/>
    <n v="42750"/>
  </r>
  <r>
    <n v="814"/>
    <x v="813"/>
    <x v="41"/>
    <n v="8"/>
    <x v="248"/>
    <x v="248"/>
    <s v="cliente161@mail.cl"/>
    <s v="Hombre"/>
    <s v="26"/>
    <s v="Concepción"/>
    <x v="1"/>
    <s v="Web"/>
    <s v="Zapatillas"/>
    <x v="4"/>
    <n v="55000"/>
    <n v="1"/>
    <n v="1"/>
    <n v="55000"/>
    <n v="550"/>
    <n v="54450"/>
  </r>
  <r>
    <n v="815"/>
    <x v="814"/>
    <x v="28"/>
    <n v="7"/>
    <x v="199"/>
    <x v="199"/>
    <s v="cliente106@mail.cl"/>
    <s v="Hombre"/>
    <s v="42"/>
    <s v="Valparaíso"/>
    <x v="3"/>
    <s v="Tienda"/>
    <s v="Maquillaje"/>
    <x v="0"/>
    <n v="15000"/>
    <n v="2"/>
    <n v="5"/>
    <n v="30000"/>
    <n v="1500"/>
    <n v="28500"/>
  </r>
  <r>
    <n v="816"/>
    <x v="815"/>
    <x v="3"/>
    <n v="1"/>
    <x v="98"/>
    <x v="98"/>
    <s v="cliente225@mail.cl"/>
    <s v="Hombre"/>
    <s v="32"/>
    <s v="Valparaíso"/>
    <x v="3"/>
    <s v="App"/>
    <s v="Perfume"/>
    <x v="0"/>
    <n v="35000"/>
    <n v="1"/>
    <n v="1"/>
    <n v="35000"/>
    <n v="350"/>
    <n v="34650"/>
  </r>
  <r>
    <n v="817"/>
    <x v="816"/>
    <x v="57"/>
    <n v="9"/>
    <x v="78"/>
    <x v="78"/>
    <s v="cliente104@mail.cl"/>
    <s v="Mujer"/>
    <s v="28"/>
    <s v="Antofagasta"/>
    <x v="4"/>
    <s v="Tienda"/>
    <s v="Notebook"/>
    <x v="2"/>
    <n v="750000"/>
    <n v="2"/>
    <n v="1"/>
    <n v="1500000"/>
    <n v="15000"/>
    <n v="1485000"/>
  </r>
  <r>
    <n v="818"/>
    <x v="817"/>
    <x v="47"/>
    <n v="13"/>
    <x v="160"/>
    <x v="160"/>
    <s v="cliente66@mail.cl"/>
    <s v="Hombre"/>
    <s v="54"/>
    <s v="Rancagua"/>
    <x v="7"/>
    <s v="Tienda"/>
    <s v="Perfume"/>
    <x v="0"/>
    <n v="35000"/>
    <n v="1"/>
    <n v="0"/>
    <n v="35000"/>
    <n v="0"/>
    <n v="35000"/>
  </r>
  <r>
    <n v="819"/>
    <x v="818"/>
    <x v="18"/>
    <n v="0"/>
    <x v="53"/>
    <x v="53"/>
    <s v="cliente123@mail.cl"/>
    <s v="Hombre"/>
    <s v="54"/>
    <s v="Talcahuano"/>
    <x v="1"/>
    <s v="Web"/>
    <s v="Notebook"/>
    <x v="2"/>
    <n v="750000"/>
    <n v="3"/>
    <n v="0"/>
    <n v="2250000"/>
    <n v="0"/>
    <n v="2250000"/>
  </r>
  <r>
    <n v="820"/>
    <x v="819"/>
    <x v="66"/>
    <n v="7"/>
    <x v="33"/>
    <x v="33"/>
    <s v="cliente127@mail.cl"/>
    <s v="Mujer"/>
    <s v="26"/>
    <s v="Antofagasta"/>
    <x v="4"/>
    <s v="Web"/>
    <s v="Lavadora"/>
    <x v="1"/>
    <n v="700000"/>
    <n v="3"/>
    <n v="0"/>
    <n v="2100000"/>
    <n v="0"/>
    <n v="2100000"/>
  </r>
  <r>
    <n v="821"/>
    <x v="820"/>
    <x v="24"/>
    <n v="0"/>
    <x v="259"/>
    <x v="259"/>
    <s v="cliente150@mail.cl"/>
    <s v="Hombre"/>
    <s v="41"/>
    <s v="Rancagua"/>
    <x v="7"/>
    <s v="Web"/>
    <s v="Perfume"/>
    <x v="0"/>
    <n v="35000"/>
    <n v="2"/>
    <n v="1"/>
    <n v="70000"/>
    <n v="700"/>
    <n v="69300"/>
  </r>
  <r>
    <n v="822"/>
    <x v="821"/>
    <x v="20"/>
    <n v="6"/>
    <x v="99"/>
    <x v="99"/>
    <s v="cliente37@mail.cl"/>
    <s v="Hombre"/>
    <s v="40"/>
    <s v="Talcahuano"/>
    <x v="1"/>
    <s v="Tienda"/>
    <s v="Smartphone"/>
    <x v="2"/>
    <n v="450000"/>
    <n v="1"/>
    <n v="0"/>
    <n v="450000"/>
    <n v="0"/>
    <n v="450000"/>
  </r>
  <r>
    <n v="823"/>
    <x v="822"/>
    <x v="68"/>
    <n v="8"/>
    <x v="266"/>
    <x v="266"/>
    <s v="cliente140@mail.cl"/>
    <s v="Hombre"/>
    <s v="23"/>
    <s v="Valparaíso"/>
    <x v="3"/>
    <s v="Tienda"/>
    <s v="Smartphone"/>
    <x v="2"/>
    <n v="450000"/>
    <n v="2"/>
    <n v="5"/>
    <n v="900000"/>
    <n v="45000"/>
    <n v="855000"/>
  </r>
  <r>
    <n v="824"/>
    <x v="823"/>
    <x v="8"/>
    <n v="2"/>
    <x v="17"/>
    <x v="17"/>
    <s v="cliente234@mail.cl"/>
    <s v="Mujer"/>
    <s v="30"/>
    <s v="Concepción"/>
    <x v="1"/>
    <s v="Web"/>
    <s v="Notebook"/>
    <x v="2"/>
    <n v="750000"/>
    <n v="1"/>
    <n v="0"/>
    <n v="750000"/>
    <n v="0"/>
    <n v="750000"/>
  </r>
  <r>
    <n v="825"/>
    <x v="824"/>
    <x v="11"/>
    <n v="1"/>
    <x v="209"/>
    <x v="209"/>
    <s v="cliente265@mail.cl"/>
    <s v="Mujer"/>
    <s v="34"/>
    <s v="Antofagasta"/>
    <x v="4"/>
    <s v="Web"/>
    <s v="TV"/>
    <x v="1"/>
    <n v="650000"/>
    <n v="1"/>
    <n v="5"/>
    <n v="650000"/>
    <n v="32500"/>
    <n v="617500"/>
  </r>
  <r>
    <n v="826"/>
    <x v="825"/>
    <x v="5"/>
    <n v="0"/>
    <x v="231"/>
    <x v="231"/>
    <s v="cliente27@mail.cl"/>
    <s v="Mujer"/>
    <s v="24"/>
    <s v="Santiago"/>
    <x v="2"/>
    <s v="Tienda"/>
    <s v="Smartphone"/>
    <x v="2"/>
    <n v="450000"/>
    <n v="2"/>
    <n v="0"/>
    <n v="900000"/>
    <n v="0"/>
    <n v="900000"/>
  </r>
  <r>
    <n v="827"/>
    <x v="826"/>
    <x v="38"/>
    <n v="2"/>
    <x v="206"/>
    <x v="206"/>
    <s v="cliente210@mail.cl"/>
    <s v="Hombre"/>
    <s v="75"/>
    <s v="Rancagua"/>
    <x v="7"/>
    <s v="Tienda"/>
    <s v="Refrigerador"/>
    <x v="1"/>
    <n v="800000"/>
    <n v="3"/>
    <n v="0"/>
    <n v="2400000"/>
    <n v="0"/>
    <n v="2400000"/>
  </r>
  <r>
    <n v="828"/>
    <x v="827"/>
    <x v="41"/>
    <n v="8"/>
    <x v="170"/>
    <x v="170"/>
    <s v="cliente17@mail.cl"/>
    <s v="Mujer"/>
    <s v="25"/>
    <s v="Concepción"/>
    <x v="1"/>
    <s v="Tienda"/>
    <s v="Polera"/>
    <x v="3"/>
    <n v="12000"/>
    <n v="1"/>
    <n v="0"/>
    <n v="12000"/>
    <n v="0"/>
    <n v="12000"/>
  </r>
  <r>
    <n v="829"/>
    <x v="828"/>
    <x v="57"/>
    <n v="9"/>
    <x v="46"/>
    <x v="46"/>
    <s v="cliente30@mail.cl"/>
    <s v="Hombre"/>
    <s v="34"/>
    <s v="Antofagasta"/>
    <x v="4"/>
    <s v="Web"/>
    <s v="Smartphone"/>
    <x v="2"/>
    <n v="450000"/>
    <n v="3"/>
    <n v="5"/>
    <n v="1350000"/>
    <n v="67500"/>
    <n v="1282500"/>
  </r>
  <r>
    <n v="830"/>
    <x v="829"/>
    <x v="16"/>
    <n v="3"/>
    <x v="264"/>
    <x v="264"/>
    <s v="cliente78@mail.cl"/>
    <s v="Hombre"/>
    <s v="34"/>
    <s v="Concepción"/>
    <x v="1"/>
    <s v="App"/>
    <s v="Pantalón"/>
    <x v="3"/>
    <n v="25000"/>
    <n v="2"/>
    <n v="0"/>
    <n v="50000"/>
    <n v="0"/>
    <n v="50000"/>
  </r>
  <r>
    <n v="831"/>
    <x v="830"/>
    <x v="27"/>
    <n v="0"/>
    <x v="140"/>
    <x v="140"/>
    <s v="cliente32@mail.cl"/>
    <s v="Mujer"/>
    <s v="60"/>
    <s v="Temuco"/>
    <x v="0"/>
    <s v="Web"/>
    <s v="Perfume"/>
    <x v="0"/>
    <n v="35000"/>
    <n v="2"/>
    <n v="5"/>
    <n v="70000"/>
    <n v="3500"/>
    <n v="66500"/>
  </r>
  <r>
    <n v="832"/>
    <x v="831"/>
    <x v="5"/>
    <n v="0"/>
    <x v="156"/>
    <x v="156"/>
    <s v="cliente63@mail.cl"/>
    <s v="Mujer"/>
    <s v="24"/>
    <s v="Santiago"/>
    <x v="2"/>
    <s v="Web"/>
    <s v="Notebook"/>
    <x v="2"/>
    <n v="750000"/>
    <n v="2"/>
    <n v="0"/>
    <n v="1500000"/>
    <n v="0"/>
    <n v="1500000"/>
  </r>
  <r>
    <n v="833"/>
    <x v="832"/>
    <x v="36"/>
    <n v="1"/>
    <x v="37"/>
    <x v="37"/>
    <s v="cliente178@mail.cl"/>
    <s v="Mujer"/>
    <s v="55"/>
    <s v="Talcahuano"/>
    <x v="1"/>
    <s v="Web"/>
    <s v="Lavadora"/>
    <x v="1"/>
    <n v="700000"/>
    <n v="1"/>
    <n v="5"/>
    <n v="700000"/>
    <n v="35000"/>
    <n v="665000"/>
  </r>
  <r>
    <n v="834"/>
    <x v="833"/>
    <x v="32"/>
    <n v="4"/>
    <x v="177"/>
    <x v="177"/>
    <s v="cliente91@mail.cl"/>
    <s v="Hombre"/>
    <s v="39"/>
    <s v="Talcahuano"/>
    <x v="1"/>
    <s v="Web"/>
    <s v="Notebook"/>
    <x v="2"/>
    <n v="750000"/>
    <n v="1"/>
    <n v="0"/>
    <n v="750000"/>
    <n v="0"/>
    <n v="750000"/>
  </r>
  <r>
    <n v="835"/>
    <x v="834"/>
    <x v="14"/>
    <n v="9"/>
    <x v="178"/>
    <x v="178"/>
    <s v="cliente108@mail.cl"/>
    <s v="Hombre"/>
    <s v="40"/>
    <s v="Talcahuano"/>
    <x v="1"/>
    <s v="Tienda"/>
    <s v="Maquillaje"/>
    <x v="0"/>
    <n v="15000"/>
    <n v="1"/>
    <n v="1"/>
    <n v="15000"/>
    <n v="150"/>
    <n v="14850"/>
  </r>
  <r>
    <n v="836"/>
    <x v="835"/>
    <x v="42"/>
    <n v="4"/>
    <x v="66"/>
    <x v="66"/>
    <s v="cliente144@mail.cl"/>
    <s v="Mujer"/>
    <s v="40"/>
    <s v="Antofagasta"/>
    <x v="4"/>
    <s v="Web"/>
    <s v="Maquillaje"/>
    <x v="0"/>
    <n v="15000"/>
    <n v="2"/>
    <n v="0"/>
    <n v="30000"/>
    <n v="0"/>
    <n v="30000"/>
  </r>
  <r>
    <n v="837"/>
    <x v="836"/>
    <x v="1"/>
    <n v="0"/>
    <x v="116"/>
    <x v="116"/>
    <s v="cliente101@mail.cl"/>
    <s v="Mujer"/>
    <s v="21"/>
    <s v="Talcahuano"/>
    <x v="1"/>
    <s v="Tienda"/>
    <s v="TV"/>
    <x v="1"/>
    <n v="650000"/>
    <n v="3"/>
    <n v="5"/>
    <n v="1950000"/>
    <n v="97500"/>
    <n v="1852500"/>
  </r>
  <r>
    <n v="838"/>
    <x v="837"/>
    <x v="15"/>
    <n v="5"/>
    <x v="48"/>
    <x v="48"/>
    <s v="cliente99@mail.cl"/>
    <s v="Hombre"/>
    <s v="38"/>
    <s v="La Serena"/>
    <x v="6"/>
    <s v="Web"/>
    <s v="Pantalón"/>
    <x v="3"/>
    <n v="25000"/>
    <n v="3"/>
    <n v="0"/>
    <n v="75000"/>
    <n v="0"/>
    <n v="75000"/>
  </r>
  <r>
    <n v="839"/>
    <x v="838"/>
    <x v="45"/>
    <n v="1"/>
    <x v="178"/>
    <x v="178"/>
    <s v="cliente108@mail.cl"/>
    <s v="Hombre"/>
    <s v="40"/>
    <s v="Talcahuano"/>
    <x v="1"/>
    <s v="Tienda"/>
    <s v="Lavadora"/>
    <x v="1"/>
    <n v="700000"/>
    <n v="3"/>
    <n v="0"/>
    <n v="2100000"/>
    <n v="0"/>
    <n v="2100000"/>
  </r>
  <r>
    <n v="840"/>
    <x v="839"/>
    <x v="26"/>
    <n v="3"/>
    <x v="116"/>
    <x v="116"/>
    <s v="cliente101@mail.cl"/>
    <s v="Mujer"/>
    <s v="21"/>
    <s v="La Serena"/>
    <x v="6"/>
    <s v="App"/>
    <s v="Smartphone"/>
    <x v="2"/>
    <n v="450000"/>
    <n v="1"/>
    <n v="1"/>
    <n v="450000"/>
    <n v="4500"/>
    <n v="445500"/>
  </r>
  <r>
    <n v="841"/>
    <x v="840"/>
    <x v="33"/>
    <n v="4"/>
    <x v="150"/>
    <x v="150"/>
    <s v="cliente36@mail.cl"/>
    <s v="Mujer"/>
    <s v="23"/>
    <s v="Temuco"/>
    <x v="0"/>
    <s v="Tienda"/>
    <s v="Polera"/>
    <x v="3"/>
    <n v="12000"/>
    <n v="3"/>
    <n v="1"/>
    <n v="36000"/>
    <n v="360"/>
    <n v="35640"/>
  </r>
  <r>
    <n v="842"/>
    <x v="841"/>
    <x v="5"/>
    <n v="0"/>
    <x v="262"/>
    <x v="262"/>
    <s v="cliente257@mail.cl"/>
    <s v="Hombre"/>
    <s v="53"/>
    <s v="Santiago"/>
    <x v="2"/>
    <s v="Web"/>
    <s v="Maquillaje"/>
    <x v="0"/>
    <n v="15000"/>
    <n v="3"/>
    <n v="1"/>
    <n v="45000"/>
    <n v="450"/>
    <n v="44550"/>
  </r>
  <r>
    <n v="843"/>
    <x v="842"/>
    <x v="24"/>
    <n v="0"/>
    <x v="12"/>
    <x v="12"/>
    <s v="cliente81@mail.cl"/>
    <s v="Mujer"/>
    <s v="35"/>
    <s v="Rancagua"/>
    <x v="7"/>
    <s v="Web"/>
    <s v="Notebook"/>
    <x v="2"/>
    <n v="750000"/>
    <n v="3"/>
    <n v="0"/>
    <n v="2250000"/>
    <n v="0"/>
    <n v="2250000"/>
  </r>
  <r>
    <n v="844"/>
    <x v="843"/>
    <x v="37"/>
    <n v="6"/>
    <x v="231"/>
    <x v="231"/>
    <s v="cliente27@mail.cl"/>
    <s v="Mujer"/>
    <s v="24"/>
    <s v="Valparaíso"/>
    <x v="3"/>
    <s v="Tienda"/>
    <s v="Pantalón"/>
    <x v="3"/>
    <n v="25000"/>
    <n v="3"/>
    <n v="0"/>
    <n v="75000"/>
    <n v="0"/>
    <n v="75000"/>
  </r>
  <r>
    <n v="845"/>
    <x v="844"/>
    <x v="11"/>
    <n v="1"/>
    <x v="132"/>
    <x v="132"/>
    <s v="cliente76@mail.cl"/>
    <s v="Hombre"/>
    <s v="47"/>
    <s v="Antofagasta"/>
    <x v="4"/>
    <s v="Tienda"/>
    <s v="Notebook"/>
    <x v="2"/>
    <n v="750000"/>
    <n v="1"/>
    <n v="5"/>
    <n v="750000"/>
    <n v="37500"/>
    <n v="712500"/>
  </r>
  <r>
    <n v="846"/>
    <x v="845"/>
    <x v="39"/>
    <n v="3"/>
    <x v="47"/>
    <x v="47"/>
    <s v="cliente221@mail.cl"/>
    <s v="Mujer"/>
    <s v="65"/>
    <s v="Concepción"/>
    <x v="1"/>
    <s v="Tienda"/>
    <s v="Pantalón"/>
    <x v="3"/>
    <n v="25000"/>
    <n v="3"/>
    <n v="0"/>
    <n v="75000"/>
    <n v="0"/>
    <n v="75000"/>
  </r>
  <r>
    <n v="847"/>
    <x v="846"/>
    <x v="25"/>
    <n v="0"/>
    <x v="197"/>
    <x v="197"/>
    <s v="cliente82@mail.cl"/>
    <s v="Hombre"/>
    <m/>
    <s v="Viña del Mar"/>
    <x v="3"/>
    <s v="Tienda"/>
    <s v="Maquillaje"/>
    <x v="0"/>
    <n v="15000"/>
    <n v="2"/>
    <n v="0"/>
    <n v="30000"/>
    <n v="0"/>
    <n v="30000"/>
  </r>
  <r>
    <n v="848"/>
    <x v="847"/>
    <x v="49"/>
    <n v="0"/>
    <x v="180"/>
    <x v="180"/>
    <s v="cliente139@mail.cl"/>
    <s v="Hombre"/>
    <s v="47"/>
    <s v="Santiago"/>
    <x v="2"/>
    <s v="Web"/>
    <s v="Smartphone"/>
    <x v="2"/>
    <n v="450000"/>
    <n v="2"/>
    <n v="1"/>
    <n v="900000"/>
    <n v="9000"/>
    <n v="891000"/>
  </r>
  <r>
    <n v="849"/>
    <x v="848"/>
    <x v="32"/>
    <n v="4"/>
    <x v="38"/>
    <x v="38"/>
    <s v="cliente271@mail.cl"/>
    <s v="Mujer"/>
    <s v="55"/>
    <s v="Talcahuano"/>
    <x v="1"/>
    <s v="Web"/>
    <s v="Pantalón"/>
    <x v="3"/>
    <n v="25000"/>
    <n v="2"/>
    <n v="0"/>
    <n v="50000"/>
    <n v="0"/>
    <n v="50000"/>
  </r>
  <r>
    <n v="850"/>
    <x v="849"/>
    <x v="62"/>
    <n v="1"/>
    <x v="158"/>
    <x v="158"/>
    <s v="cliente164@mail.cl"/>
    <s v="Mujer"/>
    <s v="28"/>
    <s v="Antofagasta"/>
    <x v="4"/>
    <s v="Web"/>
    <s v="Zapatillas"/>
    <x v="4"/>
    <n v="55000"/>
    <n v="1"/>
    <n v="1"/>
    <n v="55000"/>
    <n v="550"/>
    <n v="54450"/>
  </r>
  <r>
    <n v="851"/>
    <x v="850"/>
    <x v="44"/>
    <n v="2"/>
    <x v="124"/>
    <x v="124"/>
    <s v="cliente34@mail.cl"/>
    <s v="Mujer"/>
    <s v="25"/>
    <s v="Talcahuano"/>
    <x v="1"/>
    <s v="Tienda"/>
    <s v="Pantalón"/>
    <x v="3"/>
    <n v="25000"/>
    <n v="3"/>
    <n v="5"/>
    <n v="75000"/>
    <n v="3750"/>
    <n v="71250"/>
  </r>
  <r>
    <n v="852"/>
    <x v="851"/>
    <x v="58"/>
    <n v="9"/>
    <x v="81"/>
    <x v="81"/>
    <s v="cliente86@mail.cl"/>
    <s v="Hombre"/>
    <s v="31"/>
    <s v="Valparaíso"/>
    <x v="3"/>
    <s v="Web"/>
    <s v="Perfume"/>
    <x v="0"/>
    <n v="35000"/>
    <n v="3"/>
    <n v="5"/>
    <n v="105000"/>
    <n v="5250"/>
    <n v="99750"/>
  </r>
  <r>
    <n v="853"/>
    <x v="852"/>
    <x v="5"/>
    <n v="0"/>
    <x v="0"/>
    <x v="0"/>
    <s v="cliente254@mail.cl"/>
    <s v="Hombre"/>
    <s v="50"/>
    <s v="Santiago"/>
    <x v="2"/>
    <s v="Tienda"/>
    <s v="Smartphone"/>
    <x v="2"/>
    <n v="450000"/>
    <n v="3"/>
    <n v="1"/>
    <n v="1350000"/>
    <n v="13500"/>
    <n v="1336500"/>
  </r>
  <r>
    <n v="854"/>
    <x v="853"/>
    <x v="54"/>
    <n v="4"/>
    <x v="164"/>
    <x v="164"/>
    <s v="cliente279@mail.cl"/>
    <s v="Mujer"/>
    <s v="38"/>
    <s v="Rancagua"/>
    <x v="7"/>
    <s v="Tienda"/>
    <s v="TV"/>
    <x v="1"/>
    <n v="650000"/>
    <n v="1"/>
    <n v="5"/>
    <n v="650000"/>
    <n v="32500"/>
    <n v="617500"/>
  </r>
  <r>
    <n v="855"/>
    <x v="854"/>
    <x v="47"/>
    <n v="13"/>
    <x v="178"/>
    <x v="178"/>
    <s v="cliente108@mail.cl"/>
    <s v="Hombre"/>
    <s v="40"/>
    <s v="Rancagua"/>
    <x v="7"/>
    <s v="Web"/>
    <s v="Polera"/>
    <x v="3"/>
    <n v="12000"/>
    <n v="3"/>
    <n v="5"/>
    <n v="36000"/>
    <n v="1800"/>
    <n v="34200"/>
  </r>
  <r>
    <n v="856"/>
    <x v="855"/>
    <x v="50"/>
    <n v="6"/>
    <x v="138"/>
    <x v="138"/>
    <s v="cliente62@mail.cl"/>
    <s v="Mujer"/>
    <s v="35"/>
    <s v="Antofagasta"/>
    <x v="4"/>
    <s v="Tienda"/>
    <s v="Smartphone"/>
    <x v="2"/>
    <n v="450000"/>
    <n v="1"/>
    <n v="5"/>
    <n v="450000"/>
    <n v="22500"/>
    <n v="427500"/>
  </r>
  <r>
    <n v="857"/>
    <x v="856"/>
    <x v="17"/>
    <n v="3"/>
    <x v="113"/>
    <x v="113"/>
    <s v="cliente22@mail.cl"/>
    <s v="Hombre"/>
    <s v="35"/>
    <s v="Temuco"/>
    <x v="0"/>
    <s v="Tienda"/>
    <s v="Notebook"/>
    <x v="2"/>
    <n v="750000"/>
    <n v="3"/>
    <n v="0"/>
    <n v="2250000"/>
    <n v="0"/>
    <n v="2250000"/>
  </r>
  <r>
    <n v="858"/>
    <x v="857"/>
    <x v="6"/>
    <n v="0"/>
    <x v="267"/>
    <x v="267"/>
    <s v="cliente10@mail.cl"/>
    <s v="Mujer"/>
    <s v="44"/>
    <s v="Santiago"/>
    <x v="2"/>
    <s v="Tienda"/>
    <s v="Polera"/>
    <x v="3"/>
    <n v="12000"/>
    <n v="2"/>
    <n v="0"/>
    <n v="24000"/>
    <n v="0"/>
    <n v="24000"/>
  </r>
  <r>
    <n v="859"/>
    <x v="858"/>
    <x v="35"/>
    <n v="7"/>
    <x v="46"/>
    <x v="46"/>
    <s v="cliente30@mail.cl"/>
    <s v="Hombre"/>
    <s v="34"/>
    <s v="Rancagua"/>
    <x v="7"/>
    <s v="Tienda"/>
    <s v="Zapatillas"/>
    <x v="4"/>
    <n v="55000"/>
    <n v="3"/>
    <n v="1"/>
    <n v="165000"/>
    <n v="1650"/>
    <n v="163350"/>
  </r>
  <r>
    <n v="860"/>
    <x v="859"/>
    <x v="35"/>
    <n v="7"/>
    <x v="99"/>
    <x v="99"/>
    <s v="cliente37@mail.cl"/>
    <s v="Hombre"/>
    <s v="40"/>
    <s v="Rancagua"/>
    <x v="7"/>
    <s v="Web"/>
    <s v="Polera"/>
    <x v="3"/>
    <n v="12000"/>
    <n v="1"/>
    <n v="0"/>
    <n v="12000"/>
    <n v="0"/>
    <n v="12000"/>
  </r>
  <r>
    <n v="861"/>
    <x v="860"/>
    <x v="54"/>
    <n v="4"/>
    <x v="159"/>
    <x v="159"/>
    <s v="cliente215@mail.cl"/>
    <s v="Hombre"/>
    <s v="34"/>
    <s v="Rancagua"/>
    <x v="7"/>
    <s v="Tienda"/>
    <s v="Lavadora"/>
    <x v="1"/>
    <n v="700000"/>
    <n v="3"/>
    <n v="5"/>
    <n v="2100000"/>
    <n v="105000"/>
    <n v="1995000"/>
  </r>
  <r>
    <n v="862"/>
    <x v="861"/>
    <x v="42"/>
    <n v="4"/>
    <x v="117"/>
    <x v="117"/>
    <s v="cliente185@mail.cl"/>
    <s v="Hombre"/>
    <s v="35"/>
    <s v="Antofagasta"/>
    <x v="4"/>
    <s v="Web"/>
    <s v="Lavadora"/>
    <x v="1"/>
    <n v="700000"/>
    <n v="2"/>
    <n v="0"/>
    <n v="1400000"/>
    <n v="0"/>
    <n v="1400000"/>
  </r>
  <r>
    <n v="863"/>
    <x v="862"/>
    <x v="38"/>
    <n v="2"/>
    <x v="207"/>
    <x v="207"/>
    <s v="cliente270@mail.cl"/>
    <s v="Hombre"/>
    <s v="39"/>
    <s v="Rancagua"/>
    <x v="7"/>
    <s v="Web"/>
    <s v="TV"/>
    <x v="1"/>
    <n v="650000"/>
    <n v="2"/>
    <n v="1"/>
    <n v="1300000"/>
    <n v="13000"/>
    <n v="1287000"/>
  </r>
  <r>
    <n v="864"/>
    <x v="863"/>
    <x v="67"/>
    <n v="1"/>
    <x v="84"/>
    <x v="84"/>
    <s v="cliente4@mail.cl"/>
    <s v="Hombre"/>
    <s v="56"/>
    <s v="Viña del Mar"/>
    <x v="3"/>
    <s v="Tienda"/>
    <s v="Polera"/>
    <x v="3"/>
    <n v="12000"/>
    <n v="1"/>
    <n v="5"/>
    <n v="12000"/>
    <n v="600"/>
    <n v="11400"/>
  </r>
  <r>
    <n v="865"/>
    <x v="864"/>
    <x v="44"/>
    <n v="2"/>
    <x v="21"/>
    <x v="21"/>
    <s v="cliente40@mail.cl"/>
    <s v="Hombre"/>
    <s v="40"/>
    <s v="Talcahuano"/>
    <x v="1"/>
    <s v="Tienda"/>
    <s v="Pantalón"/>
    <x v="3"/>
    <n v="25000"/>
    <n v="1"/>
    <n v="1"/>
    <n v="25000"/>
    <n v="250"/>
    <n v="24750"/>
  </r>
  <r>
    <n v="866"/>
    <x v="865"/>
    <x v="25"/>
    <n v="0"/>
    <x v="139"/>
    <x v="139"/>
    <s v="cliente12@mail.cl"/>
    <s v="Mujer"/>
    <s v="32"/>
    <s v="Viña del Mar"/>
    <x v="3"/>
    <s v="Web"/>
    <s v="Smartphone"/>
    <x v="2"/>
    <n v="450000"/>
    <n v="1"/>
    <n v="5"/>
    <n v="450000"/>
    <n v="22500"/>
    <n v="427500"/>
  </r>
  <r>
    <n v="867"/>
    <x v="866"/>
    <x v="49"/>
    <n v="0"/>
    <x v="163"/>
    <x v="163"/>
    <s v="cliente155@mail.cl"/>
    <s v="Mujer"/>
    <s v="41"/>
    <s v="Santiago"/>
    <x v="2"/>
    <s v="Tienda"/>
    <s v="Perfume"/>
    <x v="0"/>
    <n v="35000"/>
    <n v="2"/>
    <n v="0"/>
    <n v="70000"/>
    <n v="0"/>
    <n v="70000"/>
  </r>
  <r>
    <n v="868"/>
    <x v="867"/>
    <x v="25"/>
    <n v="0"/>
    <x v="183"/>
    <x v="183"/>
    <s v="cliente264@mail.cl"/>
    <s v="Mujer"/>
    <s v="25"/>
    <s v="Viña del Mar"/>
    <x v="3"/>
    <s v="App"/>
    <s v="Pantalón"/>
    <x v="3"/>
    <n v="25000"/>
    <n v="3"/>
    <n v="0"/>
    <n v="75000"/>
    <n v="0"/>
    <n v="75000"/>
  </r>
  <r>
    <n v="869"/>
    <x v="868"/>
    <x v="17"/>
    <n v="3"/>
    <x v="268"/>
    <x v="268"/>
    <s v="cliente56@mail.cl"/>
    <s v="Mujer"/>
    <s v="49"/>
    <s v="Temuco"/>
    <x v="0"/>
    <s v="Web"/>
    <s v="Notebook"/>
    <x v="2"/>
    <n v="750000"/>
    <n v="3"/>
    <n v="0"/>
    <n v="2250000"/>
    <n v="0"/>
    <n v="2250000"/>
  </r>
  <r>
    <n v="870"/>
    <x v="869"/>
    <x v="19"/>
    <n v="4"/>
    <x v="145"/>
    <x v="145"/>
    <s v="cliente70@mail.cl"/>
    <s v="Mujer"/>
    <s v="30"/>
    <s v="Rancagua"/>
    <x v="7"/>
    <s v="Web"/>
    <s v="Refrigerador"/>
    <x v="1"/>
    <n v="800000"/>
    <n v="1"/>
    <n v="5"/>
    <n v="800000"/>
    <n v="40000"/>
    <n v="760000"/>
  </r>
  <r>
    <n v="871"/>
    <x v="870"/>
    <x v="53"/>
    <n v="0"/>
    <x v="103"/>
    <x v="103"/>
    <s v="cliente206@mail.cl"/>
    <s v="Mujer"/>
    <s v="26"/>
    <s v="Talcahuano"/>
    <x v="1"/>
    <s v="Web"/>
    <s v="Refrigerador"/>
    <x v="1"/>
    <n v="800000"/>
    <n v="1"/>
    <n v="0"/>
    <n v="800000"/>
    <n v="0"/>
    <n v="800000"/>
  </r>
  <r>
    <n v="872"/>
    <x v="871"/>
    <x v="66"/>
    <n v="7"/>
    <x v="44"/>
    <x v="44"/>
    <s v="cliente204@mail.cl"/>
    <s v="Hombre"/>
    <s v="50"/>
    <s v="Antofagasta"/>
    <x v="4"/>
    <s v="Web"/>
    <s v="Refrigerador"/>
    <x v="1"/>
    <n v="800000"/>
    <n v="1"/>
    <n v="1"/>
    <n v="800000"/>
    <n v="8000"/>
    <n v="792000"/>
  </r>
  <r>
    <n v="873"/>
    <x v="872"/>
    <x v="58"/>
    <n v="9"/>
    <x v="95"/>
    <x v="95"/>
    <s v="cliente109@mail.cl"/>
    <s v="Hombre"/>
    <s v="41"/>
    <s v="Valparaíso"/>
    <x v="3"/>
    <s v="Web"/>
    <s v="TV"/>
    <x v="1"/>
    <n v="650000"/>
    <n v="2"/>
    <n v="0"/>
    <n v="1300000"/>
    <n v="0"/>
    <n v="1300000"/>
  </r>
  <r>
    <n v="874"/>
    <x v="873"/>
    <x v="42"/>
    <n v="4"/>
    <x v="163"/>
    <x v="163"/>
    <s v="cliente155@mail.cl"/>
    <s v="Mujer"/>
    <s v="41"/>
    <s v="Antofagasta"/>
    <x v="4"/>
    <s v="Tienda"/>
    <s v="Polera"/>
    <x v="3"/>
    <n v="12000"/>
    <n v="1"/>
    <n v="5"/>
    <n v="12000"/>
    <n v="600"/>
    <n v="11400"/>
  </r>
  <r>
    <n v="875"/>
    <x v="874"/>
    <x v="6"/>
    <n v="0"/>
    <x v="164"/>
    <x v="164"/>
    <s v="cliente279@mail.cl"/>
    <s v="Mujer"/>
    <s v="38"/>
    <s v="Santiago"/>
    <x v="2"/>
    <s v="App"/>
    <s v="TV"/>
    <x v="1"/>
    <n v="650000"/>
    <n v="1"/>
    <n v="5"/>
    <n v="650000"/>
    <n v="32500"/>
    <n v="617500"/>
  </r>
  <r>
    <n v="876"/>
    <x v="875"/>
    <x v="33"/>
    <n v="4"/>
    <x v="269"/>
    <x v="269"/>
    <s v="cliente280@mail.cl"/>
    <s v="Mujer"/>
    <s v="33"/>
    <s v="Temuco"/>
    <x v="0"/>
    <s v="Web"/>
    <s v="Lavadora"/>
    <x v="1"/>
    <n v="700000"/>
    <n v="1"/>
    <n v="0"/>
    <n v="700000"/>
    <n v="0"/>
    <n v="700000"/>
  </r>
  <r>
    <n v="877"/>
    <x v="876"/>
    <x v="38"/>
    <n v="2"/>
    <x v="186"/>
    <x v="186"/>
    <s v="cliente128@mail.cl"/>
    <s v="Mujer"/>
    <s v="31"/>
    <s v="Rancagua"/>
    <x v="7"/>
    <s v="Tienda"/>
    <s v="Smartphone"/>
    <x v="2"/>
    <n v="450000"/>
    <n v="2"/>
    <n v="5"/>
    <n v="900000"/>
    <n v="45000"/>
    <n v="855000"/>
  </r>
  <r>
    <n v="878"/>
    <x v="877"/>
    <x v="6"/>
    <n v="0"/>
    <x v="158"/>
    <x v="158"/>
    <s v="cliente164@mail.cl"/>
    <s v="Mujer"/>
    <s v="28"/>
    <s v="Santiago"/>
    <x v="2"/>
    <s v="Web"/>
    <s v="TV"/>
    <x v="1"/>
    <n v="650000"/>
    <n v="1"/>
    <n v="0"/>
    <n v="650000"/>
    <n v="0"/>
    <n v="650000"/>
  </r>
  <r>
    <n v="879"/>
    <x v="878"/>
    <x v="11"/>
    <n v="1"/>
    <x v="270"/>
    <x v="270"/>
    <s v="cliente198@mail.cl"/>
    <s v="Mujer"/>
    <s v="39"/>
    <s v="Antofagasta"/>
    <x v="4"/>
    <s v="Tienda"/>
    <s v="Perfume"/>
    <x v="0"/>
    <n v="35000"/>
    <n v="2"/>
    <n v="0"/>
    <n v="70000"/>
    <n v="0"/>
    <n v="70000"/>
  </r>
  <r>
    <n v="880"/>
    <x v="879"/>
    <x v="36"/>
    <n v="1"/>
    <x v="80"/>
    <x v="80"/>
    <s v="cliente130@mail.cl"/>
    <s v="Hombre"/>
    <s v="31"/>
    <s v="Talcahuano"/>
    <x v="1"/>
    <s v="Tienda"/>
    <s v="Refrigerador"/>
    <x v="1"/>
    <n v="800000"/>
    <n v="3"/>
    <n v="5"/>
    <n v="2400000"/>
    <n v="120000"/>
    <n v="2280000"/>
  </r>
  <r>
    <n v="881"/>
    <x v="880"/>
    <x v="20"/>
    <n v="6"/>
    <x v="116"/>
    <x v="116"/>
    <s v="cliente101@mail.cl"/>
    <s v="Mujer"/>
    <s v="21"/>
    <s v="Talcahuano"/>
    <x v="1"/>
    <s v="App"/>
    <s v="Smartphone"/>
    <x v="2"/>
    <n v="450000"/>
    <n v="1"/>
    <n v="1"/>
    <n v="450000"/>
    <n v="4500"/>
    <n v="445500"/>
  </r>
  <r>
    <n v="882"/>
    <x v="881"/>
    <x v="1"/>
    <n v="0"/>
    <x v="221"/>
    <x v="221"/>
    <s v="cliente230@mail.cl"/>
    <s v="Hombre"/>
    <s v="46"/>
    <s v="Talcahuano"/>
    <x v="1"/>
    <s v="Tienda"/>
    <s v="Lavadora"/>
    <x v="1"/>
    <n v="700000"/>
    <n v="1"/>
    <n v="5"/>
    <n v="700000"/>
    <n v="35000"/>
    <n v="665000"/>
  </r>
  <r>
    <n v="883"/>
    <x v="882"/>
    <x v="1"/>
    <n v="0"/>
    <x v="271"/>
    <x v="271"/>
    <s v="cliente154@mail.cl"/>
    <s v="Hombre"/>
    <s v="40"/>
    <s v="Talcahuano"/>
    <x v="1"/>
    <s v="Web"/>
    <s v="Polera"/>
    <x v="3"/>
    <n v="12000"/>
    <n v="2"/>
    <n v="1"/>
    <n v="24000"/>
    <n v="240"/>
    <n v="23760"/>
  </r>
  <r>
    <n v="884"/>
    <x v="883"/>
    <x v="10"/>
    <n v="5"/>
    <x v="169"/>
    <x v="169"/>
    <s v="cliente16@mail.cl"/>
    <s v="Mujer"/>
    <s v="31"/>
    <s v="Temuco"/>
    <x v="0"/>
    <s v="Tienda"/>
    <s v="TV"/>
    <x v="1"/>
    <n v="650000"/>
    <n v="1"/>
    <n v="5"/>
    <n v="650000"/>
    <n v="32500"/>
    <n v="617500"/>
  </r>
  <r>
    <n v="885"/>
    <x v="884"/>
    <x v="7"/>
    <n v="3"/>
    <x v="145"/>
    <x v="145"/>
    <s v="cliente70@mail.cl"/>
    <s v="Mujer"/>
    <s v="30"/>
    <s v="Concepción"/>
    <x v="1"/>
    <s v="Tienda"/>
    <s v="Maquillaje"/>
    <x v="0"/>
    <n v="15000"/>
    <n v="2"/>
    <n v="0"/>
    <n v="30000"/>
    <n v="0"/>
    <n v="30000"/>
  </r>
  <r>
    <n v="886"/>
    <x v="885"/>
    <x v="37"/>
    <n v="6"/>
    <x v="255"/>
    <x v="255"/>
    <s v="cliente190@mail.cl"/>
    <s v="Hombre"/>
    <s v="19"/>
    <s v="Valparaíso"/>
    <x v="3"/>
    <s v="App"/>
    <s v="TV"/>
    <x v="1"/>
    <n v="650000"/>
    <n v="2"/>
    <n v="5"/>
    <n v="1300000"/>
    <n v="65000"/>
    <n v="1235000"/>
  </r>
  <r>
    <n v="887"/>
    <x v="886"/>
    <x v="69"/>
    <n v="1"/>
    <x v="219"/>
    <x v="219"/>
    <s v="cliente85@mail.cl"/>
    <s v="Hombre"/>
    <s v="28"/>
    <s v="Puerto Montt"/>
    <x v="5"/>
    <s v="Tienda"/>
    <s v="Pantalón"/>
    <x v="3"/>
    <n v="25000"/>
    <n v="2"/>
    <n v="0"/>
    <n v="50000"/>
    <n v="0"/>
    <n v="50000"/>
  </r>
  <r>
    <n v="888"/>
    <x v="887"/>
    <x v="20"/>
    <n v="6"/>
    <x v="205"/>
    <x v="205"/>
    <s v="cliente98@mail.cl"/>
    <s v="Hombre"/>
    <s v="41"/>
    <s v="Talcahuano"/>
    <x v="1"/>
    <s v="Tienda"/>
    <s v="Perfume"/>
    <x v="0"/>
    <n v="35000"/>
    <n v="3"/>
    <n v="1"/>
    <n v="105000"/>
    <n v="1050"/>
    <n v="103950"/>
  </r>
  <r>
    <n v="889"/>
    <x v="888"/>
    <x v="58"/>
    <n v="9"/>
    <x v="260"/>
    <x v="260"/>
    <s v="cliente199@mail.cl"/>
    <s v="Hombre"/>
    <s v="38"/>
    <s v="Valparaíso"/>
    <x v="3"/>
    <s v="Web"/>
    <s v="Lavadora"/>
    <x v="1"/>
    <n v="700000"/>
    <n v="1"/>
    <n v="0"/>
    <n v="700000"/>
    <n v="0"/>
    <n v="700000"/>
  </r>
  <r>
    <n v="890"/>
    <x v="889"/>
    <x v="63"/>
    <n v="1"/>
    <x v="89"/>
    <x v="89"/>
    <s v="cliente169@mail.cl"/>
    <s v="Mujer"/>
    <s v="35"/>
    <s v="Puerto Montt"/>
    <x v="5"/>
    <s v="Tienda"/>
    <s v="Polera"/>
    <x v="3"/>
    <n v="12000"/>
    <n v="1"/>
    <n v="5"/>
    <n v="12000"/>
    <n v="600"/>
    <n v="11400"/>
  </r>
  <r>
    <n v="891"/>
    <x v="890"/>
    <x v="68"/>
    <n v="8"/>
    <x v="102"/>
    <x v="102"/>
    <s v="cliente116@mail.cl"/>
    <s v="Mujer"/>
    <s v="41"/>
    <s v="Valparaíso"/>
    <x v="3"/>
    <s v="Tienda"/>
    <s v="Maquillaje"/>
    <x v="0"/>
    <n v="15000"/>
    <n v="2"/>
    <n v="1"/>
    <n v="30000"/>
    <n v="300"/>
    <n v="29700"/>
  </r>
  <r>
    <n v="892"/>
    <x v="891"/>
    <x v="13"/>
    <n v="5"/>
    <x v="272"/>
    <x v="272"/>
    <s v="cliente275@mail.cl"/>
    <s v="Hombre"/>
    <s v="26"/>
    <s v="Puerto Montt"/>
    <x v="5"/>
    <s v="Tienda"/>
    <s v="Perfume"/>
    <x v="0"/>
    <n v="35000"/>
    <n v="1"/>
    <n v="5"/>
    <n v="35000"/>
    <n v="1750"/>
    <n v="33250"/>
  </r>
  <r>
    <n v="893"/>
    <x v="892"/>
    <x v="61"/>
    <n v="4"/>
    <x v="18"/>
    <x v="18"/>
    <s v="cliente39@mail.cl"/>
    <s v="Hombre"/>
    <s v="22"/>
    <s v="Viña del Mar"/>
    <x v="3"/>
    <s v="Web"/>
    <s v="Zapatillas"/>
    <x v="4"/>
    <n v="55000"/>
    <n v="3"/>
    <n v="5"/>
    <n v="165000"/>
    <n v="8250"/>
    <n v="156750"/>
  </r>
  <r>
    <n v="894"/>
    <x v="893"/>
    <x v="43"/>
    <n v="0"/>
    <x v="16"/>
    <x v="16"/>
    <s v="cliente207@mail.cl"/>
    <s v="Mujer"/>
    <s v="44"/>
    <s v="Valparaíso"/>
    <x v="3"/>
    <s v="Tienda"/>
    <s v="TV"/>
    <x v="1"/>
    <n v="650000"/>
    <n v="1"/>
    <n v="0"/>
    <n v="650000"/>
    <n v="0"/>
    <n v="650000"/>
  </r>
  <r>
    <n v="895"/>
    <x v="894"/>
    <x v="67"/>
    <n v="1"/>
    <x v="217"/>
    <x v="217"/>
    <s v="cliente83@mail.cl"/>
    <s v="Hombre"/>
    <s v="55"/>
    <s v="Viña del Mar"/>
    <x v="3"/>
    <s v="App"/>
    <s v="Zapatillas"/>
    <x v="4"/>
    <n v="55000"/>
    <n v="1"/>
    <n v="0"/>
    <n v="55000"/>
    <n v="0"/>
    <n v="55000"/>
  </r>
  <r>
    <n v="896"/>
    <x v="895"/>
    <x v="14"/>
    <n v="9"/>
    <x v="158"/>
    <x v="158"/>
    <s v="cliente164@mail.cl"/>
    <s v="Mujer"/>
    <s v="28"/>
    <s v="Talcahuano"/>
    <x v="1"/>
    <s v="Web"/>
    <s v="Refrigerador"/>
    <x v="1"/>
    <n v="800000"/>
    <n v="1"/>
    <n v="1"/>
    <n v="800000"/>
    <n v="8000"/>
    <n v="792000"/>
  </r>
  <r>
    <n v="897"/>
    <x v="896"/>
    <x v="47"/>
    <n v="13"/>
    <x v="163"/>
    <x v="163"/>
    <s v="cliente155@mail.cl"/>
    <s v="Mujer"/>
    <s v="41"/>
    <s v="Rancagua"/>
    <x v="7"/>
    <s v="Tienda"/>
    <s v="Notebook"/>
    <x v="2"/>
    <n v="750000"/>
    <n v="3"/>
    <n v="5"/>
    <n v="2250000"/>
    <n v="112500"/>
    <n v="2137500"/>
  </r>
  <r>
    <n v="898"/>
    <x v="897"/>
    <x v="69"/>
    <n v="1"/>
    <x v="200"/>
    <x v="200"/>
    <s v="cliente153@mail.cl"/>
    <s v="Hombre"/>
    <s v="29"/>
    <s v="Puerto Montt"/>
    <x v="5"/>
    <s v="Web"/>
    <s v="Lavadora"/>
    <x v="1"/>
    <n v="700000"/>
    <n v="3"/>
    <n v="0"/>
    <n v="2100000"/>
    <n v="0"/>
    <n v="2100000"/>
  </r>
  <r>
    <n v="899"/>
    <x v="898"/>
    <x v="18"/>
    <n v="0"/>
    <x v="245"/>
    <x v="245"/>
    <s v="cliente152@mail.cl"/>
    <s v="Mujer"/>
    <s v="42"/>
    <s v="Talcahuano"/>
    <x v="1"/>
    <s v="Web"/>
    <s v="TV"/>
    <x v="1"/>
    <n v="650000"/>
    <n v="3"/>
    <n v="1"/>
    <n v="1950000"/>
    <n v="19500"/>
    <n v="1930500"/>
  </r>
  <r>
    <n v="900"/>
    <x v="899"/>
    <x v="53"/>
    <n v="0"/>
    <x v="122"/>
    <x v="122"/>
    <s v="cliente241@mail.cl"/>
    <s v="Mujer"/>
    <s v="28"/>
    <s v="Talcahuano"/>
    <x v="1"/>
    <s v="Tienda"/>
    <s v="Smartphone"/>
    <x v="2"/>
    <n v="450000"/>
    <n v="3"/>
    <n v="1"/>
    <n v="1350000"/>
    <n v="13500"/>
    <n v="1336500"/>
  </r>
  <r>
    <n v="901"/>
    <x v="900"/>
    <x v="61"/>
    <n v="4"/>
    <x v="75"/>
    <x v="75"/>
    <s v="cliente191@mail.cl"/>
    <s v="Mujer"/>
    <s v="32"/>
    <s v="Viña del Mar"/>
    <x v="3"/>
    <s v="Web"/>
    <s v="Polera"/>
    <x v="3"/>
    <n v="12000"/>
    <n v="3"/>
    <n v="0"/>
    <n v="36000"/>
    <n v="0"/>
    <n v="36000"/>
  </r>
  <r>
    <n v="902"/>
    <x v="901"/>
    <x v="63"/>
    <n v="1"/>
    <x v="56"/>
    <x v="56"/>
    <s v="cliente184@mail.cl"/>
    <s v="Hombre"/>
    <s v="43"/>
    <s v="Puerto Montt"/>
    <x v="5"/>
    <s v="Tienda"/>
    <s v="TV"/>
    <x v="1"/>
    <n v="650000"/>
    <n v="1"/>
    <n v="1"/>
    <n v="650000"/>
    <n v="6500"/>
    <n v="643500"/>
  </r>
  <r>
    <n v="903"/>
    <x v="902"/>
    <x v="0"/>
    <n v="0"/>
    <x v="183"/>
    <x v="183"/>
    <s v="cliente264@mail.cl"/>
    <s v="Mujer"/>
    <s v="25"/>
    <s v="Temuco"/>
    <x v="0"/>
    <s v="Tienda"/>
    <s v="Pantalón"/>
    <x v="3"/>
    <n v="25000"/>
    <n v="3"/>
    <n v="0"/>
    <n v="75000"/>
    <n v="0"/>
    <n v="75000"/>
  </r>
  <r>
    <n v="904"/>
    <x v="903"/>
    <x v="33"/>
    <n v="4"/>
    <x v="164"/>
    <x v="164"/>
    <s v="cliente279@mail.cl"/>
    <s v="Mujer"/>
    <s v="38"/>
    <s v="Temuco"/>
    <x v="0"/>
    <s v="Tienda"/>
    <s v="Pantalón"/>
    <x v="3"/>
    <n v="25000"/>
    <n v="2"/>
    <n v="0"/>
    <n v="50000"/>
    <n v="0"/>
    <n v="50000"/>
  </r>
  <r>
    <n v="905"/>
    <x v="904"/>
    <x v="2"/>
    <n v="2"/>
    <x v="76"/>
    <x v="76"/>
    <s v="cliente58@mail.cl"/>
    <s v="Hombre"/>
    <s v="34"/>
    <s v="Santiago"/>
    <x v="2"/>
    <s v="Tienda"/>
    <s v="Notebook"/>
    <x v="2"/>
    <n v="750000"/>
    <n v="3"/>
    <n v="1"/>
    <n v="2250000"/>
    <n v="22500"/>
    <n v="2227500"/>
  </r>
  <r>
    <n v="906"/>
    <x v="905"/>
    <x v="29"/>
    <n v="3"/>
    <x v="65"/>
    <x v="65"/>
    <s v="cliente165@mail.cl"/>
    <s v="Mujer"/>
    <s v="49"/>
    <s v="Puerto Montt"/>
    <x v="5"/>
    <s v="App"/>
    <s v="Zapatillas"/>
    <x v="4"/>
    <n v="55000"/>
    <n v="3"/>
    <n v="1"/>
    <n v="165000"/>
    <n v="1650"/>
    <n v="163350"/>
  </r>
  <r>
    <n v="907"/>
    <x v="906"/>
    <x v="37"/>
    <n v="6"/>
    <x v="72"/>
    <x v="72"/>
    <s v="cliente145@mail.cl"/>
    <s v="Hombre"/>
    <s v="41"/>
    <s v="Valparaíso"/>
    <x v="3"/>
    <s v="Tienda"/>
    <s v="Maquillaje"/>
    <x v="0"/>
    <n v="15000"/>
    <n v="2"/>
    <n v="0"/>
    <n v="30000"/>
    <n v="0"/>
    <n v="30000"/>
  </r>
  <r>
    <n v="908"/>
    <x v="907"/>
    <x v="8"/>
    <n v="2"/>
    <x v="127"/>
    <x v="127"/>
    <s v="cliente60@mail.cl"/>
    <s v="Hombre"/>
    <s v="49"/>
    <s v="Concepción"/>
    <x v="1"/>
    <s v="Web"/>
    <s v="Polera"/>
    <x v="3"/>
    <n v="12000"/>
    <n v="3"/>
    <n v="0"/>
    <n v="36000"/>
    <n v="0"/>
    <n v="36000"/>
  </r>
  <r>
    <n v="909"/>
    <x v="908"/>
    <x v="63"/>
    <n v="1"/>
    <x v="175"/>
    <x v="175"/>
    <s v="cliente272@mail.cl"/>
    <s v="Hombre"/>
    <s v="20"/>
    <s v="Puerto Montt"/>
    <x v="5"/>
    <s v="Tienda"/>
    <s v="TV"/>
    <x v="1"/>
    <n v="650000"/>
    <n v="2"/>
    <n v="5"/>
    <n v="1300000"/>
    <n v="65000"/>
    <n v="1235000"/>
  </r>
  <r>
    <n v="910"/>
    <x v="909"/>
    <x v="9"/>
    <n v="0"/>
    <x v="113"/>
    <x v="113"/>
    <s v="cliente22@mail.cl"/>
    <s v="Hombre"/>
    <s v="35"/>
    <s v="Santiago"/>
    <x v="2"/>
    <s v="Tienda"/>
    <s v="TV"/>
    <x v="1"/>
    <n v="650000"/>
    <n v="2"/>
    <n v="0"/>
    <n v="1300000"/>
    <n v="0"/>
    <n v="1300000"/>
  </r>
  <r>
    <n v="911"/>
    <x v="910"/>
    <x v="45"/>
    <n v="1"/>
    <x v="21"/>
    <x v="21"/>
    <s v="cliente40@mail.cl"/>
    <s v="Hombre"/>
    <s v="40"/>
    <s v="Talcahuano"/>
    <x v="1"/>
    <s v="App"/>
    <s v="Refrigerador"/>
    <x v="1"/>
    <n v="800000"/>
    <n v="2"/>
    <n v="0"/>
    <n v="1600000"/>
    <n v="0"/>
    <n v="1600000"/>
  </r>
  <r>
    <n v="912"/>
    <x v="911"/>
    <x v="57"/>
    <n v="9"/>
    <x v="67"/>
    <x v="67"/>
    <s v="cliente26@mail.cl"/>
    <s v="Mujer"/>
    <s v="39"/>
    <s v="Antofagasta"/>
    <x v="4"/>
    <s v="Tienda"/>
    <s v="Pantalón"/>
    <x v="3"/>
    <n v="25000"/>
    <n v="2"/>
    <n v="0"/>
    <n v="50000"/>
    <n v="0"/>
    <n v="50000"/>
  </r>
  <r>
    <n v="913"/>
    <x v="912"/>
    <x v="3"/>
    <n v="1"/>
    <x v="32"/>
    <x v="32"/>
    <s v="cliente2@mail.cl"/>
    <s v="Hombre"/>
    <s v="36"/>
    <s v="Valparaíso"/>
    <x v="3"/>
    <s v="Tienda"/>
    <s v="Polera"/>
    <x v="3"/>
    <n v="12000"/>
    <n v="2"/>
    <n v="5"/>
    <n v="24000"/>
    <n v="1200"/>
    <n v="22800"/>
  </r>
  <r>
    <n v="914"/>
    <x v="913"/>
    <x v="4"/>
    <n v="0"/>
    <x v="148"/>
    <x v="148"/>
    <s v="cliente159@mail.cl"/>
    <s v="Mujer"/>
    <m/>
    <s v="Antofagasta"/>
    <x v="4"/>
    <s v="Tienda"/>
    <s v="Lavadora"/>
    <x v="1"/>
    <n v="700000"/>
    <n v="1"/>
    <n v="1"/>
    <n v="700000"/>
    <n v="7000"/>
    <n v="693000"/>
  </r>
  <r>
    <n v="915"/>
    <x v="914"/>
    <x v="38"/>
    <n v="2"/>
    <x v="181"/>
    <x v="181"/>
    <s v="cliente74@mail.cl"/>
    <s v="Hombre"/>
    <s v="56"/>
    <s v="Rancagua"/>
    <x v="7"/>
    <s v="Tienda"/>
    <s v="Notebook"/>
    <x v="2"/>
    <n v="750000"/>
    <n v="1"/>
    <n v="0"/>
    <n v="750000"/>
    <n v="0"/>
    <n v="750000"/>
  </r>
  <r>
    <n v="916"/>
    <x v="915"/>
    <x v="37"/>
    <n v="6"/>
    <x v="78"/>
    <x v="78"/>
    <s v="cliente104@mail.cl"/>
    <s v="Mujer"/>
    <s v="28"/>
    <s v="Valparaíso"/>
    <x v="3"/>
    <s v="Web"/>
    <s v="Pantalón"/>
    <x v="3"/>
    <n v="25000"/>
    <n v="2"/>
    <n v="5"/>
    <n v="50000"/>
    <n v="2500"/>
    <n v="47500"/>
  </r>
  <r>
    <n v="917"/>
    <x v="916"/>
    <x v="8"/>
    <n v="2"/>
    <x v="273"/>
    <x v="273"/>
    <s v="cliente235@mail.cl"/>
    <s v="Mujer"/>
    <s v="63"/>
    <s v="Concepción"/>
    <x v="1"/>
    <s v="Tienda"/>
    <s v="Refrigerador"/>
    <x v="1"/>
    <n v="800000"/>
    <n v="1"/>
    <n v="5"/>
    <n v="800000"/>
    <n v="40000"/>
    <n v="760000"/>
  </r>
  <r>
    <n v="918"/>
    <x v="917"/>
    <x v="58"/>
    <n v="9"/>
    <x v="256"/>
    <x v="256"/>
    <s v="cliente133@mail.cl"/>
    <s v="Hombre"/>
    <s v="25"/>
    <s v="Valparaíso"/>
    <x v="3"/>
    <s v="Tienda"/>
    <s v="Perfume"/>
    <x v="0"/>
    <n v="35000"/>
    <n v="2"/>
    <n v="5"/>
    <n v="70000"/>
    <n v="3500"/>
    <n v="66500"/>
  </r>
  <r>
    <n v="919"/>
    <x v="918"/>
    <x v="37"/>
    <n v="6"/>
    <x v="67"/>
    <x v="67"/>
    <s v="cliente26@mail.cl"/>
    <s v="Mujer"/>
    <s v="39"/>
    <s v="Valparaíso"/>
    <x v="3"/>
    <s v="App"/>
    <s v="Pantalón"/>
    <x v="3"/>
    <n v="25000"/>
    <n v="3"/>
    <n v="1"/>
    <n v="75000"/>
    <n v="750"/>
    <n v="74250"/>
  </r>
  <r>
    <n v="920"/>
    <x v="919"/>
    <x v="36"/>
    <n v="1"/>
    <x v="80"/>
    <x v="80"/>
    <s v="cliente130@mail.cl"/>
    <s v="Hombre"/>
    <s v="31"/>
    <s v="Talcahuano"/>
    <x v="1"/>
    <s v="App"/>
    <s v="Notebook"/>
    <x v="2"/>
    <n v="750000"/>
    <n v="3"/>
    <n v="5"/>
    <n v="2250000"/>
    <n v="112500"/>
    <n v="2137500"/>
  </r>
  <r>
    <n v="921"/>
    <x v="920"/>
    <x v="60"/>
    <n v="2"/>
    <x v="220"/>
    <x v="220"/>
    <s v="cliente96@mail.cl"/>
    <s v="Hombre"/>
    <s v="20"/>
    <s v="Talcahuano"/>
    <x v="1"/>
    <s v="Tienda"/>
    <s v="Pantalón"/>
    <x v="3"/>
    <n v="25000"/>
    <n v="3"/>
    <n v="0"/>
    <n v="75000"/>
    <n v="0"/>
    <n v="75000"/>
  </r>
  <r>
    <n v="922"/>
    <x v="921"/>
    <x v="0"/>
    <n v="0"/>
    <x v="219"/>
    <x v="219"/>
    <s v="cliente85@mail.cl"/>
    <s v="Hombre"/>
    <s v="28"/>
    <s v="Temuco"/>
    <x v="0"/>
    <s v="Web"/>
    <s v="Maquillaje"/>
    <x v="0"/>
    <n v="15000"/>
    <n v="3"/>
    <n v="0"/>
    <n v="45000"/>
    <n v="0"/>
    <n v="45000"/>
  </r>
  <r>
    <n v="923"/>
    <x v="922"/>
    <x v="68"/>
    <n v="8"/>
    <x v="68"/>
    <x v="68"/>
    <s v="cliente69@mail.cl"/>
    <s v="Mujer"/>
    <s v="42"/>
    <s v="Valparaíso"/>
    <x v="3"/>
    <s v="Tienda"/>
    <s v="Notebook"/>
    <x v="2"/>
    <n v="750000"/>
    <n v="3"/>
    <n v="1"/>
    <n v="2250000"/>
    <n v="22500"/>
    <n v="2227500"/>
  </r>
  <r>
    <n v="924"/>
    <x v="923"/>
    <x v="47"/>
    <n v="13"/>
    <x v="69"/>
    <x v="69"/>
    <s v="cliente137@mail.cl"/>
    <s v="Hombre"/>
    <s v="28"/>
    <s v="Rancagua"/>
    <x v="7"/>
    <s v="App"/>
    <s v="Maquillaje"/>
    <x v="0"/>
    <n v="15000"/>
    <n v="1"/>
    <n v="1"/>
    <n v="15000"/>
    <n v="150"/>
    <n v="14850"/>
  </r>
  <r>
    <n v="925"/>
    <x v="924"/>
    <x v="45"/>
    <n v="1"/>
    <x v="238"/>
    <x v="238"/>
    <s v="cliente15@mail.cl"/>
    <s v="Hombre"/>
    <s v="18"/>
    <s v="Talcahuano"/>
    <x v="1"/>
    <s v="App"/>
    <s v="Pantalón"/>
    <x v="3"/>
    <n v="25000"/>
    <n v="2"/>
    <n v="0"/>
    <n v="50000"/>
    <n v="0"/>
    <n v="50000"/>
  </r>
  <r>
    <n v="926"/>
    <x v="925"/>
    <x v="2"/>
    <n v="2"/>
    <x v="211"/>
    <x v="211"/>
    <s v="cliente124@mail.cl"/>
    <s v="Mujer"/>
    <s v="21"/>
    <s v="Santiago"/>
    <x v="2"/>
    <s v="Tienda"/>
    <s v="Perfume"/>
    <x v="0"/>
    <n v="35000"/>
    <n v="3"/>
    <n v="0"/>
    <n v="105000"/>
    <n v="0"/>
    <n v="105000"/>
  </r>
  <r>
    <n v="927"/>
    <x v="926"/>
    <x v="27"/>
    <n v="0"/>
    <x v="263"/>
    <x v="263"/>
    <s v="cliente24@mail.cl"/>
    <s v="Mujer"/>
    <s v="20"/>
    <s v="Temuco"/>
    <x v="0"/>
    <s v="Web"/>
    <s v="Pantalón"/>
    <x v="3"/>
    <n v="25000"/>
    <n v="2"/>
    <n v="5"/>
    <n v="50000"/>
    <n v="2500"/>
    <n v="47500"/>
  </r>
  <r>
    <n v="928"/>
    <x v="927"/>
    <x v="61"/>
    <n v="4"/>
    <x v="74"/>
    <x v="74"/>
    <s v="cliente38@mail.cl"/>
    <s v="Hombre"/>
    <s v="18"/>
    <s v="Viña del Mar"/>
    <x v="3"/>
    <s v="Tienda"/>
    <s v="Zapatillas"/>
    <x v="4"/>
    <n v="55000"/>
    <n v="2"/>
    <n v="1"/>
    <n v="110000"/>
    <n v="1100"/>
    <n v="108900"/>
  </r>
  <r>
    <n v="929"/>
    <x v="928"/>
    <x v="31"/>
    <n v="5"/>
    <x v="36"/>
    <x v="36"/>
    <s v="cliente212@mail.cl"/>
    <s v="Hombre"/>
    <s v="51"/>
    <s v="Puerto Montt"/>
    <x v="5"/>
    <s v="Tienda"/>
    <s v="Refrigerador"/>
    <x v="1"/>
    <n v="800000"/>
    <n v="2"/>
    <n v="0"/>
    <n v="1600000"/>
    <n v="0"/>
    <n v="1600000"/>
  </r>
  <r>
    <n v="930"/>
    <x v="929"/>
    <x v="18"/>
    <n v="0"/>
    <x v="46"/>
    <x v="46"/>
    <s v="cliente30@mail.cl"/>
    <s v="Hombre"/>
    <s v="34"/>
    <s v="Talcahuano"/>
    <x v="1"/>
    <s v="Web"/>
    <s v="Perfume"/>
    <x v="0"/>
    <n v="35000"/>
    <n v="2"/>
    <n v="5"/>
    <n v="70000"/>
    <n v="3500"/>
    <n v="66500"/>
  </r>
  <r>
    <n v="931"/>
    <x v="930"/>
    <x v="22"/>
    <n v="5"/>
    <x v="256"/>
    <x v="256"/>
    <s v="cliente133@mail.cl"/>
    <s v="Hombre"/>
    <s v="25"/>
    <s v="Rancagua"/>
    <x v="7"/>
    <s v="Tienda"/>
    <s v="Lavadora"/>
    <x v="1"/>
    <n v="700000"/>
    <n v="3"/>
    <n v="0"/>
    <n v="2100000"/>
    <n v="0"/>
    <n v="2100000"/>
  </r>
  <r>
    <n v="932"/>
    <x v="931"/>
    <x v="5"/>
    <n v="0"/>
    <x v="74"/>
    <x v="74"/>
    <s v="cliente38@mail.cl"/>
    <s v="Hombre"/>
    <s v="18"/>
    <s v="Santiago"/>
    <x v="2"/>
    <s v="Tienda"/>
    <s v="Lavadora"/>
    <x v="1"/>
    <n v="700000"/>
    <n v="3"/>
    <n v="0"/>
    <n v="2100000"/>
    <n v="0"/>
    <n v="2100000"/>
  </r>
  <r>
    <n v="933"/>
    <x v="932"/>
    <x v="65"/>
    <n v="1"/>
    <x v="163"/>
    <x v="163"/>
    <s v="cliente155@mail.cl"/>
    <s v="Mujer"/>
    <s v="41"/>
    <s v="Puerto Montt"/>
    <x v="5"/>
    <s v="Web"/>
    <s v="TV"/>
    <x v="1"/>
    <n v="650000"/>
    <n v="3"/>
    <n v="0"/>
    <n v="1950000"/>
    <n v="0"/>
    <n v="1950000"/>
  </r>
  <r>
    <n v="934"/>
    <x v="933"/>
    <x v="2"/>
    <n v="2"/>
    <x v="234"/>
    <x v="234"/>
    <s v="cliente115@mail.cl"/>
    <s v="Mujer"/>
    <s v="35"/>
    <s v="Santiago"/>
    <x v="2"/>
    <s v="Tienda"/>
    <s v="Perfume"/>
    <x v="0"/>
    <n v="35000"/>
    <n v="2"/>
    <n v="0"/>
    <n v="70000"/>
    <n v="0"/>
    <n v="70000"/>
  </r>
  <r>
    <n v="935"/>
    <x v="934"/>
    <x v="61"/>
    <n v="4"/>
    <x v="236"/>
    <x v="236"/>
    <s v="cliente89@mail.cl"/>
    <s v="Hombre"/>
    <s v="31"/>
    <s v="Viña del Mar"/>
    <x v="3"/>
    <s v="Tienda"/>
    <s v="Pantalón"/>
    <x v="3"/>
    <n v="25000"/>
    <n v="3"/>
    <n v="1"/>
    <n v="75000"/>
    <n v="750"/>
    <n v="74250"/>
  </r>
  <r>
    <n v="936"/>
    <x v="935"/>
    <x v="57"/>
    <n v="9"/>
    <x v="55"/>
    <x v="55"/>
    <s v="cliente249@mail.cl"/>
    <s v="Mujer"/>
    <s v="59"/>
    <s v="Antofagasta"/>
    <x v="4"/>
    <s v="Tienda"/>
    <s v="Notebook"/>
    <x v="2"/>
    <n v="750000"/>
    <n v="3"/>
    <n v="1"/>
    <n v="2250000"/>
    <n v="22500"/>
    <n v="2227500"/>
  </r>
  <r>
    <n v="937"/>
    <x v="936"/>
    <x v="0"/>
    <n v="0"/>
    <x v="78"/>
    <x v="78"/>
    <s v="cliente104@mail.cl"/>
    <s v="Mujer"/>
    <s v="28"/>
    <s v="Temuco"/>
    <x v="0"/>
    <s v="App"/>
    <s v="Notebook"/>
    <x v="2"/>
    <n v="750000"/>
    <n v="2"/>
    <n v="0"/>
    <n v="1500000"/>
    <n v="0"/>
    <n v="1500000"/>
  </r>
  <r>
    <n v="938"/>
    <x v="937"/>
    <x v="42"/>
    <n v="4"/>
    <x v="244"/>
    <x v="244"/>
    <s v="cliente57@mail.cl"/>
    <s v="Mujer"/>
    <s v="27"/>
    <s v="Antofagasta"/>
    <x v="4"/>
    <s v="Tienda"/>
    <s v="Notebook"/>
    <x v="2"/>
    <n v="750000"/>
    <n v="2"/>
    <n v="1"/>
    <n v="1500000"/>
    <n v="15000"/>
    <n v="1485000"/>
  </r>
  <r>
    <n v="939"/>
    <x v="938"/>
    <x v="25"/>
    <n v="0"/>
    <x v="112"/>
    <x v="112"/>
    <s v="cliente142@mail.cl"/>
    <s v="Hombre"/>
    <s v="53"/>
    <s v="Viña del Mar"/>
    <x v="3"/>
    <s v="App"/>
    <s v="Lavadora"/>
    <x v="1"/>
    <n v="700000"/>
    <n v="2"/>
    <n v="0"/>
    <n v="1400000"/>
    <n v="0"/>
    <n v="1400000"/>
  </r>
  <r>
    <n v="940"/>
    <x v="939"/>
    <x v="69"/>
    <n v="1"/>
    <x v="79"/>
    <x v="79"/>
    <s v="cliente205@mail.cl"/>
    <s v="Hombre"/>
    <s v="21"/>
    <s v="Puerto Montt"/>
    <x v="5"/>
    <s v="Tienda"/>
    <s v="Notebook"/>
    <x v="2"/>
    <n v="750000"/>
    <n v="2"/>
    <n v="0"/>
    <n v="1500000"/>
    <n v="0"/>
    <n v="1500000"/>
  </r>
  <r>
    <n v="941"/>
    <x v="940"/>
    <x v="42"/>
    <n v="4"/>
    <x v="235"/>
    <x v="235"/>
    <s v="cliente79@mail.cl"/>
    <s v="Mujer"/>
    <s v="39"/>
    <s v="Antofagasta"/>
    <x v="4"/>
    <s v="App"/>
    <s v="Smartphone"/>
    <x v="2"/>
    <n v="450000"/>
    <n v="1"/>
    <n v="5"/>
    <n v="450000"/>
    <n v="22500"/>
    <n v="427500"/>
  </r>
  <r>
    <n v="942"/>
    <x v="941"/>
    <x v="59"/>
    <n v="1"/>
    <x v="0"/>
    <x v="0"/>
    <s v="cliente254@mail.cl"/>
    <s v="Hombre"/>
    <s v="50"/>
    <s v="Puerto Montt"/>
    <x v="5"/>
    <s v="App"/>
    <s v="TV"/>
    <x v="1"/>
    <n v="650000"/>
    <n v="3"/>
    <n v="0"/>
    <n v="1950000"/>
    <n v="0"/>
    <n v="1950000"/>
  </r>
  <r>
    <n v="943"/>
    <x v="942"/>
    <x v="0"/>
    <n v="0"/>
    <x v="136"/>
    <x v="136"/>
    <s v="cliente171@mail.cl"/>
    <s v="Hombre"/>
    <s v="27"/>
    <s v="Temuco"/>
    <x v="0"/>
    <s v="Web"/>
    <s v="Smartphone"/>
    <x v="2"/>
    <n v="450000"/>
    <n v="3"/>
    <n v="5"/>
    <n v="1350000"/>
    <n v="67500"/>
    <n v="1282500"/>
  </r>
  <r>
    <n v="944"/>
    <x v="943"/>
    <x v="11"/>
    <n v="1"/>
    <x v="125"/>
    <x v="125"/>
    <s v="cliente174@mail.cl"/>
    <s v="Mujer"/>
    <s v="42"/>
    <s v="Antofagasta"/>
    <x v="4"/>
    <s v="Tienda"/>
    <s v="Polera"/>
    <x v="3"/>
    <n v="12000"/>
    <n v="3"/>
    <n v="0"/>
    <n v="36000"/>
    <n v="0"/>
    <n v="36000"/>
  </r>
  <r>
    <n v="945"/>
    <x v="944"/>
    <x v="18"/>
    <n v="0"/>
    <x v="198"/>
    <x v="198"/>
    <s v="cliente180@mail.cl"/>
    <s v="Hombre"/>
    <s v="70"/>
    <s v="Talcahuano"/>
    <x v="1"/>
    <s v="Tienda"/>
    <s v="Perfume"/>
    <x v="0"/>
    <n v="35000"/>
    <n v="3"/>
    <n v="0"/>
    <n v="105000"/>
    <n v="0"/>
    <n v="105000"/>
  </r>
  <r>
    <n v="946"/>
    <x v="945"/>
    <x v="64"/>
    <n v="8"/>
    <x v="6"/>
    <x v="6"/>
    <s v="cliente160@mail.cl"/>
    <s v="Mujer"/>
    <s v="45"/>
    <s v="Santiago"/>
    <x v="2"/>
    <s v="Tienda"/>
    <s v="TV"/>
    <x v="1"/>
    <n v="650000"/>
    <n v="3"/>
    <n v="0"/>
    <n v="1950000"/>
    <n v="0"/>
    <n v="1950000"/>
  </r>
  <r>
    <n v="947"/>
    <x v="946"/>
    <x v="42"/>
    <n v="4"/>
    <x v="80"/>
    <x v="80"/>
    <s v="cliente130@mail.cl"/>
    <s v="Hombre"/>
    <s v="31"/>
    <s v="Antofagasta"/>
    <x v="4"/>
    <s v="Tienda"/>
    <s v="Notebook"/>
    <x v="2"/>
    <n v="750000"/>
    <n v="1"/>
    <n v="5"/>
    <n v="750000"/>
    <n v="37500"/>
    <n v="712500"/>
  </r>
  <r>
    <n v="948"/>
    <x v="947"/>
    <x v="59"/>
    <n v="1"/>
    <x v="193"/>
    <x v="193"/>
    <s v="cliente149@mail.cl"/>
    <s v="Mujer"/>
    <s v="44"/>
    <s v="Puerto Montt"/>
    <x v="5"/>
    <s v="Web"/>
    <s v="Polera"/>
    <x v="3"/>
    <n v="12000"/>
    <n v="3"/>
    <n v="0"/>
    <n v="36000"/>
    <n v="0"/>
    <n v="36000"/>
  </r>
  <r>
    <n v="949"/>
    <x v="948"/>
    <x v="4"/>
    <n v="0"/>
    <x v="71"/>
    <x v="71"/>
    <s v="cliente121@mail.cl"/>
    <s v="Hombre"/>
    <s v="47"/>
    <s v="Antofagasta"/>
    <x v="4"/>
    <s v="Tienda"/>
    <s v="Polera"/>
    <x v="3"/>
    <n v="12000"/>
    <n v="2"/>
    <n v="0"/>
    <n v="24000"/>
    <n v="0"/>
    <n v="24000"/>
  </r>
  <r>
    <n v="950"/>
    <x v="949"/>
    <x v="1"/>
    <n v="0"/>
    <x v="226"/>
    <x v="226"/>
    <s v="cliente217@mail.cl"/>
    <s v="Hombre"/>
    <s v="28"/>
    <s v="Talcahuano"/>
    <x v="1"/>
    <s v="Web"/>
    <s v="Lavadora"/>
    <x v="1"/>
    <n v="700000"/>
    <n v="3"/>
    <n v="1"/>
    <n v="2100000"/>
    <n v="21000"/>
    <n v="2079000"/>
  </r>
  <r>
    <n v="951"/>
    <x v="950"/>
    <x v="48"/>
    <n v="1"/>
    <x v="9"/>
    <x v="9"/>
    <s v="cliente35@mail.cl"/>
    <s v="Mujer"/>
    <s v="47"/>
    <s v="Valparaíso"/>
    <x v="3"/>
    <s v="App"/>
    <s v="Zapatillas"/>
    <x v="4"/>
    <n v="55000"/>
    <n v="2"/>
    <n v="0"/>
    <n v="110000"/>
    <n v="0"/>
    <n v="110000"/>
  </r>
  <r>
    <n v="952"/>
    <x v="951"/>
    <x v="65"/>
    <n v="1"/>
    <x v="128"/>
    <x v="128"/>
    <s v="cliente227@mail.cl"/>
    <s v="Mujer"/>
    <s v="38"/>
    <s v="Puerto Montt"/>
    <x v="5"/>
    <s v="App"/>
    <s v="Notebook"/>
    <x v="2"/>
    <n v="750000"/>
    <n v="3"/>
    <n v="0"/>
    <n v="2250000"/>
    <n v="0"/>
    <n v="2250000"/>
  </r>
  <r>
    <n v="953"/>
    <x v="952"/>
    <x v="27"/>
    <n v="0"/>
    <x v="81"/>
    <x v="81"/>
    <s v="cliente86@mail.cl"/>
    <s v="Hombre"/>
    <s v="31"/>
    <s v="Temuco"/>
    <x v="0"/>
    <s v="Tienda"/>
    <s v="Polera"/>
    <x v="3"/>
    <n v="12000"/>
    <n v="3"/>
    <n v="0"/>
    <n v="36000"/>
    <n v="0"/>
    <n v="36000"/>
  </r>
  <r>
    <n v="954"/>
    <x v="953"/>
    <x v="62"/>
    <n v="1"/>
    <x v="207"/>
    <x v="207"/>
    <s v="cliente270@mail.cl"/>
    <s v="Hombre"/>
    <s v="39"/>
    <s v="Antofagasta"/>
    <x v="4"/>
    <s v="Tienda"/>
    <s v="Maquillaje"/>
    <x v="0"/>
    <n v="15000"/>
    <n v="2"/>
    <n v="0"/>
    <n v="30000"/>
    <n v="0"/>
    <n v="30000"/>
  </r>
  <r>
    <n v="955"/>
    <x v="954"/>
    <x v="62"/>
    <n v="1"/>
    <x v="76"/>
    <x v="76"/>
    <s v="cliente58@mail.cl"/>
    <s v="Hombre"/>
    <s v="34"/>
    <s v="Antofagasta"/>
    <x v="4"/>
    <s v="Tienda"/>
    <s v="Zapatillas"/>
    <x v="4"/>
    <n v="55000"/>
    <n v="3"/>
    <n v="0"/>
    <n v="165000"/>
    <n v="0"/>
    <n v="165000"/>
  </r>
  <r>
    <n v="956"/>
    <x v="955"/>
    <x v="56"/>
    <n v="5"/>
    <x v="186"/>
    <x v="186"/>
    <s v="cliente128@mail.cl"/>
    <s v="Mujer"/>
    <s v="31"/>
    <s v="Viña del Mar"/>
    <x v="3"/>
    <s v="Web"/>
    <s v="Notebook"/>
    <x v="2"/>
    <n v="750000"/>
    <n v="2"/>
    <n v="5"/>
    <n v="1500000"/>
    <n v="75000"/>
    <n v="1425000"/>
  </r>
  <r>
    <n v="957"/>
    <x v="956"/>
    <x v="51"/>
    <n v="6"/>
    <x v="23"/>
    <x v="23"/>
    <s v="cliente23@mail.cl"/>
    <s v="Mujer"/>
    <s v="38"/>
    <s v="Rancagua"/>
    <x v="7"/>
    <s v="App"/>
    <s v="Polera"/>
    <x v="3"/>
    <n v="12000"/>
    <n v="2"/>
    <n v="1"/>
    <n v="24000"/>
    <n v="240"/>
    <n v="23760"/>
  </r>
  <r>
    <n v="958"/>
    <x v="957"/>
    <x v="18"/>
    <n v="0"/>
    <x v="117"/>
    <x v="117"/>
    <s v="cliente185@mail.cl"/>
    <s v="Hombre"/>
    <s v="35"/>
    <s v="Talcahuano"/>
    <x v="1"/>
    <s v="Web"/>
    <s v="Smartphone"/>
    <x v="2"/>
    <n v="450000"/>
    <n v="3"/>
    <n v="5"/>
    <n v="1350000"/>
    <n v="67500"/>
    <n v="1282500"/>
  </r>
  <r>
    <n v="959"/>
    <x v="958"/>
    <x v="47"/>
    <n v="13"/>
    <x v="132"/>
    <x v="132"/>
    <s v="cliente76@mail.cl"/>
    <s v="Hombre"/>
    <s v="47"/>
    <s v="Rancagua"/>
    <x v="7"/>
    <s v="App"/>
    <s v="Polera"/>
    <x v="3"/>
    <n v="12000"/>
    <n v="1"/>
    <n v="0"/>
    <n v="12000"/>
    <n v="0"/>
    <n v="12000"/>
  </r>
  <r>
    <n v="960"/>
    <x v="959"/>
    <x v="59"/>
    <n v="1"/>
    <x v="100"/>
    <x v="100"/>
    <s v="cliente267@mail.cl"/>
    <s v="Mujer"/>
    <s v="57"/>
    <s v="Puerto Montt"/>
    <x v="5"/>
    <s v="Web"/>
    <s v="Smartphone"/>
    <x v="2"/>
    <n v="450000"/>
    <n v="1"/>
    <n v="0"/>
    <n v="450000"/>
    <n v="0"/>
    <n v="450000"/>
  </r>
  <r>
    <n v="961"/>
    <x v="960"/>
    <x v="3"/>
    <n v="1"/>
    <x v="212"/>
    <x v="212"/>
    <s v="cliente94@mail.cl"/>
    <s v="Hombre"/>
    <s v="34"/>
    <s v="Valparaíso"/>
    <x v="3"/>
    <s v="Web"/>
    <s v="TV"/>
    <x v="1"/>
    <n v="650000"/>
    <n v="2"/>
    <n v="5"/>
    <n v="1300000"/>
    <n v="65000"/>
    <n v="1235000"/>
  </r>
  <r>
    <n v="962"/>
    <x v="961"/>
    <x v="15"/>
    <n v="5"/>
    <x v="120"/>
    <x v="120"/>
    <s v="cliente229@mail.cl"/>
    <s v="Hombre"/>
    <s v="29"/>
    <s v="La Serena"/>
    <x v="6"/>
    <s v="Web"/>
    <s v="TV"/>
    <x v="1"/>
    <n v="650000"/>
    <n v="2"/>
    <n v="0"/>
    <n v="1300000"/>
    <n v="0"/>
    <n v="1300000"/>
  </r>
  <r>
    <n v="963"/>
    <x v="962"/>
    <x v="18"/>
    <n v="0"/>
    <x v="214"/>
    <x v="214"/>
    <s v="cliente277@mail.cl"/>
    <s v="Mujer"/>
    <s v="40"/>
    <s v="Talcahuano"/>
    <x v="1"/>
    <s v="Web"/>
    <s v="Notebook"/>
    <x v="2"/>
    <n v="750000"/>
    <n v="1"/>
    <n v="0"/>
    <n v="750000"/>
    <n v="0"/>
    <n v="750000"/>
  </r>
  <r>
    <n v="964"/>
    <x v="963"/>
    <x v="31"/>
    <n v="5"/>
    <x v="142"/>
    <x v="142"/>
    <s v="cliente92@mail.cl"/>
    <s v="Mujer"/>
    <s v="49"/>
    <s v="Puerto Montt"/>
    <x v="5"/>
    <s v="App"/>
    <s v="Pantalón"/>
    <x v="3"/>
    <n v="25000"/>
    <n v="3"/>
    <n v="1"/>
    <n v="75000"/>
    <n v="750"/>
    <n v="74250"/>
  </r>
  <r>
    <n v="965"/>
    <x v="964"/>
    <x v="39"/>
    <n v="3"/>
    <x v="259"/>
    <x v="259"/>
    <s v="cliente150@mail.cl"/>
    <s v="Hombre"/>
    <s v="41"/>
    <s v="Concepción"/>
    <x v="1"/>
    <s v="App"/>
    <s v="Maquillaje"/>
    <x v="0"/>
    <n v="15000"/>
    <n v="3"/>
    <n v="1"/>
    <n v="45000"/>
    <n v="450"/>
    <n v="44550"/>
  </r>
  <r>
    <n v="966"/>
    <x v="965"/>
    <x v="61"/>
    <n v="4"/>
    <x v="209"/>
    <x v="209"/>
    <s v="cliente265@mail.cl"/>
    <s v="Mujer"/>
    <s v="34"/>
    <s v="Viña del Mar"/>
    <x v="3"/>
    <s v="Tienda"/>
    <s v="Perfume"/>
    <x v="0"/>
    <n v="35000"/>
    <n v="1"/>
    <n v="5"/>
    <n v="35000"/>
    <n v="1750"/>
    <n v="33250"/>
  </r>
  <r>
    <n v="967"/>
    <x v="966"/>
    <x v="62"/>
    <n v="1"/>
    <x v="11"/>
    <x v="11"/>
    <s v="cliente50@mail.cl"/>
    <s v="Hombre"/>
    <s v="18"/>
    <s v="Antofagasta"/>
    <x v="4"/>
    <s v="Web"/>
    <s v="Refrigerador"/>
    <x v="1"/>
    <n v="800000"/>
    <n v="2"/>
    <n v="0"/>
    <n v="1600000"/>
    <n v="0"/>
    <n v="1600000"/>
  </r>
  <r>
    <n v="968"/>
    <x v="967"/>
    <x v="9"/>
    <n v="0"/>
    <x v="164"/>
    <x v="164"/>
    <s v="cliente279@mail.cl"/>
    <s v="Mujer"/>
    <s v="38"/>
    <s v="Santiago"/>
    <x v="2"/>
    <s v="Tienda"/>
    <s v="Refrigerador"/>
    <x v="1"/>
    <n v="800000"/>
    <n v="3"/>
    <n v="0"/>
    <n v="2400000"/>
    <n v="0"/>
    <n v="2400000"/>
  </r>
  <r>
    <n v="969"/>
    <x v="968"/>
    <x v="32"/>
    <n v="4"/>
    <x v="242"/>
    <x v="242"/>
    <s v="cliente146@mail.cl"/>
    <s v="Mujer"/>
    <s v="47"/>
    <s v="Talcahuano"/>
    <x v="1"/>
    <s v="Tienda"/>
    <s v="Refrigerador"/>
    <x v="1"/>
    <n v="800000"/>
    <n v="1"/>
    <n v="1"/>
    <n v="800000"/>
    <n v="8000"/>
    <n v="792000"/>
  </r>
  <r>
    <n v="970"/>
    <x v="969"/>
    <x v="7"/>
    <n v="3"/>
    <x v="116"/>
    <x v="116"/>
    <s v="cliente101@mail.cl"/>
    <s v="Mujer"/>
    <s v="21"/>
    <s v="Concepción"/>
    <x v="1"/>
    <s v="Tienda"/>
    <s v="Refrigerador"/>
    <x v="1"/>
    <n v="800000"/>
    <n v="3"/>
    <n v="0"/>
    <n v="2400000"/>
    <n v="0"/>
    <n v="2400000"/>
  </r>
  <r>
    <n v="971"/>
    <x v="970"/>
    <x v="25"/>
    <n v="0"/>
    <x v="43"/>
    <x v="43"/>
    <s v="cliente268@mail.cl"/>
    <s v="Hombre"/>
    <s v="20"/>
    <s v="Viña del Mar"/>
    <x v="3"/>
    <s v="Tienda"/>
    <s v="Lavadora"/>
    <x v="1"/>
    <n v="700000"/>
    <n v="2"/>
    <n v="1"/>
    <n v="1400000"/>
    <n v="14000"/>
    <n v="1386000"/>
  </r>
  <r>
    <n v="972"/>
    <x v="971"/>
    <x v="1"/>
    <n v="0"/>
    <x v="11"/>
    <x v="11"/>
    <s v="cliente50@mail.cl"/>
    <s v="Hombre"/>
    <s v="18"/>
    <s v="Talcahuano"/>
    <x v="1"/>
    <s v="Tienda"/>
    <s v="Polera"/>
    <x v="3"/>
    <n v="12000"/>
    <n v="3"/>
    <n v="1"/>
    <n v="36000"/>
    <n v="360"/>
    <n v="35640"/>
  </r>
  <r>
    <n v="973"/>
    <x v="972"/>
    <x v="49"/>
    <n v="0"/>
    <x v="245"/>
    <x v="245"/>
    <s v="cliente152@mail.cl"/>
    <s v="Mujer"/>
    <s v="42"/>
    <s v="Santiago"/>
    <x v="2"/>
    <s v="Web"/>
    <s v="Lavadora"/>
    <x v="1"/>
    <n v="700000"/>
    <n v="1"/>
    <n v="1"/>
    <n v="700000"/>
    <n v="7000"/>
    <n v="693000"/>
  </r>
  <r>
    <n v="974"/>
    <x v="973"/>
    <x v="20"/>
    <n v="6"/>
    <x v="169"/>
    <x v="169"/>
    <s v="cliente16@mail.cl"/>
    <s v="Mujer"/>
    <s v="31"/>
    <s v="Talcahuano"/>
    <x v="1"/>
    <s v="Tienda"/>
    <s v="Lavadora"/>
    <x v="1"/>
    <n v="700000"/>
    <n v="1"/>
    <n v="0"/>
    <n v="700000"/>
    <n v="0"/>
    <n v="700000"/>
  </r>
  <r>
    <n v="975"/>
    <x v="974"/>
    <x v="32"/>
    <n v="4"/>
    <x v="77"/>
    <x v="77"/>
    <s v="cliente125@mail.cl"/>
    <s v="Mujer"/>
    <s v="45"/>
    <s v="Talcahuano"/>
    <x v="1"/>
    <s v="App"/>
    <s v="Zapatillas"/>
    <x v="4"/>
    <n v="55000"/>
    <n v="2"/>
    <n v="1"/>
    <n v="110000"/>
    <n v="1100"/>
    <n v="108900"/>
  </r>
  <r>
    <n v="976"/>
    <x v="975"/>
    <x v="16"/>
    <n v="3"/>
    <x v="14"/>
    <x v="14"/>
    <s v="cliente67@mail.cl"/>
    <s v="Hombre"/>
    <s v="37"/>
    <s v="Concepción"/>
    <x v="1"/>
    <s v="App"/>
    <s v="Maquillaje"/>
    <x v="0"/>
    <n v="15000"/>
    <n v="3"/>
    <n v="5"/>
    <n v="45000"/>
    <n v="2250"/>
    <n v="42750"/>
  </r>
  <r>
    <n v="977"/>
    <x v="976"/>
    <x v="42"/>
    <n v="4"/>
    <x v="50"/>
    <x v="50"/>
    <s v="cliente186@mail.cl"/>
    <s v="Mujer"/>
    <s v="46"/>
    <s v="Antofagasta"/>
    <x v="4"/>
    <s v="App"/>
    <s v="TV"/>
    <x v="1"/>
    <n v="650000"/>
    <n v="3"/>
    <n v="5"/>
    <n v="1950000"/>
    <n v="97500"/>
    <n v="1852500"/>
  </r>
  <r>
    <n v="978"/>
    <x v="977"/>
    <x v="60"/>
    <n v="2"/>
    <x v="212"/>
    <x v="212"/>
    <s v="cliente94@mail.cl"/>
    <s v="Hombre"/>
    <s v="34"/>
    <s v="Talcahuano"/>
    <x v="1"/>
    <s v="Tienda"/>
    <s v="TV"/>
    <x v="1"/>
    <n v="650000"/>
    <n v="1"/>
    <n v="1"/>
    <n v="650000"/>
    <n v="6500"/>
    <n v="643500"/>
  </r>
  <r>
    <n v="979"/>
    <x v="978"/>
    <x v="49"/>
    <n v="0"/>
    <x v="89"/>
    <x v="89"/>
    <s v="cliente169@mail.cl"/>
    <s v="Mujer"/>
    <s v="35"/>
    <s v="Santiago"/>
    <x v="2"/>
    <s v="Web"/>
    <s v="Perfume"/>
    <x v="0"/>
    <n v="35000"/>
    <n v="2"/>
    <n v="0"/>
    <n v="70000"/>
    <n v="0"/>
    <n v="70000"/>
  </r>
  <r>
    <n v="980"/>
    <x v="979"/>
    <x v="56"/>
    <n v="5"/>
    <x v="274"/>
    <x v="274"/>
    <s v="cliente28@mail.cl"/>
    <s v="Hombre"/>
    <s v="42"/>
    <s v="Viña del Mar"/>
    <x v="3"/>
    <s v="Web"/>
    <s v="Smartphone"/>
    <x v="2"/>
    <n v="450000"/>
    <n v="3"/>
    <n v="5"/>
    <n v="1350000"/>
    <n v="67500"/>
    <n v="1282500"/>
  </r>
  <r>
    <n v="981"/>
    <x v="980"/>
    <x v="27"/>
    <n v="0"/>
    <x v="189"/>
    <x v="189"/>
    <s v="cliente251@mail.cl"/>
    <s v="Hombre"/>
    <s v="22"/>
    <s v="Temuco"/>
    <x v="0"/>
    <s v="Tienda"/>
    <s v="Pantalón"/>
    <x v="3"/>
    <n v="25000"/>
    <n v="1"/>
    <n v="1"/>
    <n v="25000"/>
    <n v="250"/>
    <n v="24750"/>
  </r>
  <r>
    <n v="982"/>
    <x v="981"/>
    <x v="25"/>
    <n v="0"/>
    <x v="58"/>
    <x v="58"/>
    <s v="cliente193@mail.cl"/>
    <s v="Hombre"/>
    <s v="40"/>
    <s v="Viña del Mar"/>
    <x v="3"/>
    <s v="Tienda"/>
    <s v="Perfume"/>
    <x v="0"/>
    <n v="35000"/>
    <n v="2"/>
    <n v="1"/>
    <n v="70000"/>
    <n v="700"/>
    <n v="69300"/>
  </r>
  <r>
    <n v="983"/>
    <x v="982"/>
    <x v="58"/>
    <n v="9"/>
    <x v="78"/>
    <x v="78"/>
    <s v="cliente104@mail.cl"/>
    <s v="Mujer"/>
    <s v="28"/>
    <s v="Valparaíso"/>
    <x v="3"/>
    <s v="Web"/>
    <s v="TV"/>
    <x v="1"/>
    <n v="650000"/>
    <n v="3"/>
    <n v="5"/>
    <n v="1950000"/>
    <n v="97500"/>
    <n v="1852500"/>
  </r>
  <r>
    <n v="984"/>
    <x v="983"/>
    <x v="68"/>
    <n v="8"/>
    <x v="120"/>
    <x v="120"/>
    <s v="cliente229@mail.cl"/>
    <s v="Hombre"/>
    <s v="29"/>
    <s v="Valparaíso"/>
    <x v="3"/>
    <s v="Tienda"/>
    <s v="Smartphone"/>
    <x v="2"/>
    <n v="450000"/>
    <n v="2"/>
    <n v="5"/>
    <n v="900000"/>
    <n v="45000"/>
    <n v="855000"/>
  </r>
  <r>
    <n v="985"/>
    <x v="984"/>
    <x v="35"/>
    <n v="7"/>
    <x v="22"/>
    <x v="22"/>
    <s v="cliente232@mail.cl"/>
    <s v="Hombre"/>
    <s v="40"/>
    <s v="Rancagua"/>
    <x v="7"/>
    <s v="Web"/>
    <s v="Refrigerador"/>
    <x v="1"/>
    <n v="800000"/>
    <n v="2"/>
    <n v="0"/>
    <n v="1600000"/>
    <n v="0"/>
    <n v="1600000"/>
  </r>
  <r>
    <n v="986"/>
    <x v="985"/>
    <x v="7"/>
    <n v="3"/>
    <x v="79"/>
    <x v="79"/>
    <s v="cliente205@mail.cl"/>
    <s v="Hombre"/>
    <s v="21"/>
    <s v="Concepción"/>
    <x v="1"/>
    <s v="Tienda"/>
    <s v="Notebook"/>
    <x v="2"/>
    <n v="750000"/>
    <n v="1"/>
    <n v="0"/>
    <n v="750000"/>
    <n v="0"/>
    <n v="750000"/>
  </r>
  <r>
    <n v="987"/>
    <x v="986"/>
    <x v="69"/>
    <n v="1"/>
    <x v="275"/>
    <x v="275"/>
    <s v="cliente48@mail.cl"/>
    <s v="Mujer"/>
    <s v="50"/>
    <s v="Puerto Montt"/>
    <x v="5"/>
    <s v="Tienda"/>
    <s v="Refrigerador"/>
    <x v="1"/>
    <n v="800000"/>
    <n v="2"/>
    <n v="1"/>
    <n v="1600000"/>
    <n v="16000"/>
    <n v="1584000"/>
  </r>
  <r>
    <n v="988"/>
    <x v="987"/>
    <x v="66"/>
    <n v="7"/>
    <x v="102"/>
    <x v="102"/>
    <s v="cliente116@mail.cl"/>
    <s v="Mujer"/>
    <s v="41"/>
    <s v="Antofagasta"/>
    <x v="4"/>
    <s v="Web"/>
    <s v="Notebook"/>
    <x v="2"/>
    <n v="750000"/>
    <n v="2"/>
    <n v="0"/>
    <n v="1500000"/>
    <n v="0"/>
    <n v="1500000"/>
  </r>
  <r>
    <n v="989"/>
    <x v="988"/>
    <x v="63"/>
    <n v="1"/>
    <x v="30"/>
    <x v="30"/>
    <s v="cliente162@mail.cl"/>
    <s v="Mujer"/>
    <s v="47"/>
    <s v="Puerto Montt"/>
    <x v="5"/>
    <s v="Tienda"/>
    <s v="TV"/>
    <x v="1"/>
    <n v="650000"/>
    <n v="3"/>
    <n v="5"/>
    <n v="1950000"/>
    <n v="97500"/>
    <n v="1852500"/>
  </r>
  <r>
    <n v="990"/>
    <x v="989"/>
    <x v="34"/>
    <n v="1"/>
    <x v="104"/>
    <x v="104"/>
    <s v="cliente18@mail.cl"/>
    <s v="Mujer"/>
    <s v="41"/>
    <s v="Viña del Mar"/>
    <x v="3"/>
    <s v="Web"/>
    <s v="Refrigerador"/>
    <x v="1"/>
    <n v="800000"/>
    <n v="1"/>
    <n v="1"/>
    <n v="800000"/>
    <n v="8000"/>
    <n v="792000"/>
  </r>
  <r>
    <n v="991"/>
    <x v="990"/>
    <x v="10"/>
    <n v="5"/>
    <x v="222"/>
    <x v="222"/>
    <s v="cliente112@mail.cl"/>
    <s v="Hombre"/>
    <s v="37"/>
    <s v="Temuco"/>
    <x v="0"/>
    <s v="Web"/>
    <s v="Refrigerador"/>
    <x v="1"/>
    <n v="800000"/>
    <n v="1"/>
    <n v="0"/>
    <n v="800000"/>
    <n v="0"/>
    <n v="800000"/>
  </r>
  <r>
    <n v="992"/>
    <x v="991"/>
    <x v="56"/>
    <n v="5"/>
    <x v="274"/>
    <x v="274"/>
    <s v="cliente28@mail.cl"/>
    <s v="Hombre"/>
    <s v="42"/>
    <s v="Viña del Mar"/>
    <x v="3"/>
    <s v="Web"/>
    <s v="Smartphone"/>
    <x v="2"/>
    <n v="450000"/>
    <n v="2"/>
    <n v="1"/>
    <n v="900000"/>
    <n v="9000"/>
    <n v="891000"/>
  </r>
  <r>
    <n v="993"/>
    <x v="992"/>
    <x v="43"/>
    <n v="0"/>
    <x v="271"/>
    <x v="271"/>
    <s v="cliente154@mail.cl"/>
    <s v="Hombre"/>
    <s v="40"/>
    <s v="Valparaíso"/>
    <x v="3"/>
    <s v="App"/>
    <s v="Pantalón"/>
    <x v="3"/>
    <n v="25000"/>
    <n v="1"/>
    <n v="0"/>
    <n v="25000"/>
    <n v="0"/>
    <n v="25000"/>
  </r>
  <r>
    <n v="994"/>
    <x v="993"/>
    <x v="5"/>
    <n v="0"/>
    <x v="141"/>
    <x v="141"/>
    <s v="cliente177@mail.cl"/>
    <s v="Mujer"/>
    <s v="38"/>
    <s v="Santiago"/>
    <x v="2"/>
    <s v="Web"/>
    <s v="Lavadora"/>
    <x v="1"/>
    <n v="700000"/>
    <n v="3"/>
    <n v="0"/>
    <n v="2100000"/>
    <n v="0"/>
    <n v="2100000"/>
  </r>
  <r>
    <n v="995"/>
    <x v="994"/>
    <x v="54"/>
    <n v="4"/>
    <x v="68"/>
    <x v="68"/>
    <s v="cliente69@mail.cl"/>
    <s v="Mujer"/>
    <s v="42"/>
    <s v="Rancagua"/>
    <x v="7"/>
    <s v="Tienda"/>
    <s v="Perfume"/>
    <x v="0"/>
    <n v="35000"/>
    <n v="2"/>
    <n v="5"/>
    <n v="70000"/>
    <n v="3500"/>
    <n v="66500"/>
  </r>
  <r>
    <n v="996"/>
    <x v="995"/>
    <x v="65"/>
    <n v="1"/>
    <x v="149"/>
    <x v="149"/>
    <s v="cliente253@mail.cl"/>
    <s v="Hombre"/>
    <m/>
    <s v="Puerto Montt"/>
    <x v="5"/>
    <s v="Web"/>
    <s v="Perfume"/>
    <x v="0"/>
    <n v="35000"/>
    <n v="2"/>
    <n v="0"/>
    <n v="70000"/>
    <n v="0"/>
    <n v="70000"/>
  </r>
  <r>
    <n v="997"/>
    <x v="996"/>
    <x v="29"/>
    <n v="3"/>
    <x v="41"/>
    <x v="41"/>
    <s v="cliente118@mail.cl"/>
    <s v="Mujer"/>
    <s v="23"/>
    <s v="Puerto Montt"/>
    <x v="5"/>
    <s v="App"/>
    <s v="TV"/>
    <x v="1"/>
    <n v="650000"/>
    <n v="2"/>
    <n v="1"/>
    <n v="1300000"/>
    <n v="13000"/>
    <n v="1287000"/>
  </r>
  <r>
    <n v="998"/>
    <x v="997"/>
    <x v="0"/>
    <n v="0"/>
    <x v="150"/>
    <x v="150"/>
    <s v="cliente36@mail.cl"/>
    <s v="Mujer"/>
    <s v="23"/>
    <s v="Temuco"/>
    <x v="0"/>
    <s v="Web"/>
    <s v="Zapatillas"/>
    <x v="4"/>
    <n v="55000"/>
    <n v="1"/>
    <n v="0"/>
    <n v="55000"/>
    <n v="0"/>
    <n v="55000"/>
  </r>
  <r>
    <n v="999"/>
    <x v="998"/>
    <x v="47"/>
    <n v="13"/>
    <x v="235"/>
    <x v="235"/>
    <s v="cliente79@mail.cl"/>
    <s v="Mujer"/>
    <s v="39"/>
    <s v="Rancagua"/>
    <x v="7"/>
    <s v="Tienda"/>
    <s v="Smartphone"/>
    <x v="2"/>
    <n v="450000"/>
    <n v="2"/>
    <n v="5"/>
    <n v="900000"/>
    <n v="45000"/>
    <n v="855000"/>
  </r>
  <r>
    <n v="1000"/>
    <x v="999"/>
    <x v="35"/>
    <n v="7"/>
    <x v="76"/>
    <x v="76"/>
    <s v="cliente58@mail.cl"/>
    <s v="Hombre"/>
    <s v="34"/>
    <s v="Rancagua"/>
    <x v="7"/>
    <s v="Tienda"/>
    <s v="TV"/>
    <x v="1"/>
    <n v="650000"/>
    <n v="1"/>
    <n v="0"/>
    <n v="650000"/>
    <n v="0"/>
    <n v="6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DBFAC-D28C-4DB3-A84C-9E56BA04049C}" name="TablaDinámica2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Id_Cliente">
  <location ref="B3:D280" firstHeaderRow="0" firstDataRow="1" firstDataCol="1"/>
  <pivotFields count="23">
    <pivotField dataField="1" showAll="0"/>
    <pivotField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axis="axisRow" showAll="0" sortType="descending">
      <items count="277">
        <item x="83"/>
        <item x="32"/>
        <item x="188"/>
        <item x="84"/>
        <item x="192"/>
        <item x="86"/>
        <item x="172"/>
        <item x="171"/>
        <item x="123"/>
        <item x="267"/>
        <item x="237"/>
        <item x="139"/>
        <item x="110"/>
        <item x="133"/>
        <item x="238"/>
        <item x="169"/>
        <item x="170"/>
        <item x="104"/>
        <item x="225"/>
        <item x="218"/>
        <item x="174"/>
        <item x="113"/>
        <item x="23"/>
        <item x="263"/>
        <item x="157"/>
        <item x="67"/>
        <item x="231"/>
        <item x="274"/>
        <item x="247"/>
        <item x="46"/>
        <item x="229"/>
        <item x="140"/>
        <item x="143"/>
        <item x="124"/>
        <item x="9"/>
        <item x="150"/>
        <item x="99"/>
        <item x="74"/>
        <item x="18"/>
        <item x="21"/>
        <item x="40"/>
        <item x="253"/>
        <item x="31"/>
        <item x="64"/>
        <item x="35"/>
        <item x="152"/>
        <item x="194"/>
        <item x="275"/>
        <item x="204"/>
        <item x="11"/>
        <item x="144"/>
        <item x="165"/>
        <item x="91"/>
        <item x="202"/>
        <item x="268"/>
        <item x="244"/>
        <item x="76"/>
        <item x="243"/>
        <item x="127"/>
        <item x="85"/>
        <item x="138"/>
        <item x="156"/>
        <item x="90"/>
        <item x="3"/>
        <item x="160"/>
        <item x="14"/>
        <item x="42"/>
        <item x="68"/>
        <item x="145"/>
        <item x="130"/>
        <item x="105"/>
        <item x="187"/>
        <item x="181"/>
        <item x="94"/>
        <item x="132"/>
        <item x="252"/>
        <item x="264"/>
        <item x="235"/>
        <item x="73"/>
        <item x="12"/>
        <item x="197"/>
        <item x="217"/>
        <item x="215"/>
        <item x="219"/>
        <item x="81"/>
        <item x="106"/>
        <item x="236"/>
        <item x="177"/>
        <item x="142"/>
        <item x="134"/>
        <item x="212"/>
        <item x="82"/>
        <item x="220"/>
        <item x="97"/>
        <item x="205"/>
        <item x="48"/>
        <item x="116"/>
        <item x="1"/>
        <item x="63"/>
        <item x="78"/>
        <item x="88"/>
        <item x="199"/>
        <item x="135"/>
        <item x="178"/>
        <item x="95"/>
        <item x="28"/>
        <item x="201"/>
        <item x="222"/>
        <item x="213"/>
        <item x="25"/>
        <item x="234"/>
        <item x="102"/>
        <item x="49"/>
        <item x="41"/>
        <item x="182"/>
        <item x="119"/>
        <item x="71"/>
        <item x="29"/>
        <item x="53"/>
        <item x="211"/>
        <item x="77"/>
        <item x="224"/>
        <item x="33"/>
        <item x="186"/>
        <item x="153"/>
        <item x="80"/>
        <item x="166"/>
        <item x="24"/>
        <item x="256"/>
        <item x="254"/>
        <item x="185"/>
        <item x="10"/>
        <item x="69"/>
        <item x="184"/>
        <item x="180"/>
        <item x="266"/>
        <item x="223"/>
        <item x="112"/>
        <item x="228"/>
        <item x="66"/>
        <item x="72"/>
        <item x="242"/>
        <item x="108"/>
        <item x="62"/>
        <item x="193"/>
        <item x="259"/>
        <item x="161"/>
        <item x="245"/>
        <item x="200"/>
        <item x="271"/>
        <item x="163"/>
        <item x="265"/>
        <item x="118"/>
        <item x="208"/>
        <item x="148"/>
        <item x="6"/>
        <item x="248"/>
        <item x="30"/>
        <item x="114"/>
        <item x="158"/>
        <item x="65"/>
        <item x="146"/>
        <item x="52"/>
        <item x="196"/>
        <item x="89"/>
        <item x="239"/>
        <item x="136"/>
        <item x="20"/>
        <item x="232"/>
        <item x="125"/>
        <item x="233"/>
        <item x="59"/>
        <item x="141"/>
        <item x="37"/>
        <item x="203"/>
        <item x="198"/>
        <item x="241"/>
        <item x="154"/>
        <item x="257"/>
        <item x="56"/>
        <item x="117"/>
        <item x="50"/>
        <item x="162"/>
        <item x="109"/>
        <item x="13"/>
        <item x="255"/>
        <item x="75"/>
        <item x="179"/>
        <item x="58"/>
        <item x="250"/>
        <item x="54"/>
        <item x="2"/>
        <item x="176"/>
        <item x="270"/>
        <item x="260"/>
        <item x="261"/>
        <item x="121"/>
        <item x="5"/>
        <item x="227"/>
        <item x="44"/>
        <item x="79"/>
        <item x="103"/>
        <item x="16"/>
        <item x="230"/>
        <item x="167"/>
        <item x="206"/>
        <item x="129"/>
        <item x="36"/>
        <item x="131"/>
        <item x="190"/>
        <item x="159"/>
        <item x="96"/>
        <item x="226"/>
        <item x="4"/>
        <item x="126"/>
        <item x="27"/>
        <item x="47"/>
        <item x="60"/>
        <item x="191"/>
        <item x="19"/>
        <item x="98"/>
        <item x="70"/>
        <item x="128"/>
        <item x="92"/>
        <item x="120"/>
        <item x="221"/>
        <item x="147"/>
        <item x="22"/>
        <item x="258"/>
        <item x="17"/>
        <item x="273"/>
        <item x="249"/>
        <item x="107"/>
        <item x="39"/>
        <item x="45"/>
        <item x="216"/>
        <item x="122"/>
        <item x="7"/>
        <item x="137"/>
        <item x="195"/>
        <item x="251"/>
        <item x="34"/>
        <item x="115"/>
        <item x="111"/>
        <item x="55"/>
        <item x="210"/>
        <item x="189"/>
        <item x="26"/>
        <item x="149"/>
        <item x="0"/>
        <item x="8"/>
        <item x="93"/>
        <item x="262"/>
        <item x="173"/>
        <item x="168"/>
        <item x="61"/>
        <item x="51"/>
        <item x="246"/>
        <item x="57"/>
        <item x="183"/>
        <item x="209"/>
        <item x="151"/>
        <item x="100"/>
        <item x="43"/>
        <item x="15"/>
        <item x="207"/>
        <item x="38"/>
        <item x="175"/>
        <item x="155"/>
        <item x="87"/>
        <item x="272"/>
        <item x="240"/>
        <item x="214"/>
        <item x="101"/>
        <item x="164"/>
        <item x="26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277">
        <item x="139"/>
        <item x="153"/>
        <item x="183"/>
        <item x="136"/>
        <item x="99"/>
        <item x="241"/>
        <item x="106"/>
        <item x="174"/>
        <item x="125"/>
        <item x="108"/>
        <item x="175"/>
        <item x="60"/>
        <item x="195"/>
        <item x="83"/>
        <item x="123"/>
        <item x="38"/>
        <item x="264"/>
        <item x="25"/>
        <item x="215"/>
        <item x="116"/>
        <item x="169"/>
        <item x="100"/>
        <item x="171"/>
        <item x="89"/>
        <item x="251"/>
        <item x="90"/>
        <item x="59"/>
        <item x="127"/>
        <item x="219"/>
        <item x="145"/>
        <item x="203"/>
        <item x="170"/>
        <item x="142"/>
        <item x="204"/>
        <item x="239"/>
        <item x="141"/>
        <item x="132"/>
        <item x="98"/>
        <item x="221"/>
        <item x="208"/>
        <item x="23"/>
        <item x="7"/>
        <item x="44"/>
        <item x="29"/>
        <item x="114"/>
        <item x="51"/>
        <item x="107"/>
        <item x="190"/>
        <item x="61"/>
        <item x="238"/>
        <item x="70"/>
        <item x="140"/>
        <item x="57"/>
        <item x="272"/>
        <item x="119"/>
        <item x="233"/>
        <item x="161"/>
        <item x="84"/>
        <item x="74"/>
        <item x="65"/>
        <item x="88"/>
        <item x="151"/>
        <item x="75"/>
        <item x="71"/>
        <item x="176"/>
        <item x="245"/>
        <item x="191"/>
        <item x="31"/>
        <item x="102"/>
        <item x="172"/>
        <item x="2"/>
        <item x="133"/>
        <item x="270"/>
        <item x="173"/>
        <item x="167"/>
        <item x="243"/>
        <item x="91"/>
        <item x="16"/>
        <item x="92"/>
        <item x="255"/>
        <item x="21"/>
        <item x="120"/>
        <item x="115"/>
        <item x="37"/>
        <item x="200"/>
        <item x="260"/>
        <item x="135"/>
        <item x="109"/>
        <item x="67"/>
        <item x="188"/>
        <item x="155"/>
        <item x="210"/>
        <item x="28"/>
        <item x="254"/>
        <item x="58"/>
        <item x="237"/>
        <item x="14"/>
        <item x="30"/>
        <item x="4"/>
        <item x="202"/>
        <item x="128"/>
        <item x="269"/>
        <item x="72"/>
        <item x="27"/>
        <item x="156"/>
        <item x="131"/>
        <item x="224"/>
        <item x="198"/>
        <item x="101"/>
        <item x="122"/>
        <item x="13"/>
        <item x="235"/>
        <item x="181"/>
        <item x="163"/>
        <item x="178"/>
        <item x="87"/>
        <item x="267"/>
        <item x="230"/>
        <item x="5"/>
        <item x="201"/>
        <item x="112"/>
        <item x="64"/>
        <item x="111"/>
        <item x="85"/>
        <item x="134"/>
        <item x="54"/>
        <item x="56"/>
        <item x="43"/>
        <item x="36"/>
        <item x="220"/>
        <item x="194"/>
        <item x="12"/>
        <item x="143"/>
        <item x="184"/>
        <item x="212"/>
        <item x="247"/>
        <item x="11"/>
        <item x="24"/>
        <item x="250"/>
        <item x="168"/>
        <item x="69"/>
        <item x="15"/>
        <item x="232"/>
        <item x="150"/>
        <item x="34"/>
        <item x="47"/>
        <item x="234"/>
        <item x="275"/>
        <item x="130"/>
        <item x="166"/>
        <item x="236"/>
        <item x="41"/>
        <item x="274"/>
        <item x="222"/>
        <item x="113"/>
        <item x="50"/>
        <item x="42"/>
        <item x="82"/>
        <item x="152"/>
        <item x="45"/>
        <item x="157"/>
        <item x="19"/>
        <item x="205"/>
        <item x="95"/>
        <item x="248"/>
        <item x="258"/>
        <item x="189"/>
        <item x="149"/>
        <item x="105"/>
        <item x="162"/>
        <item x="182"/>
        <item x="263"/>
        <item x="271"/>
        <item x="207"/>
        <item x="266"/>
        <item x="20"/>
        <item x="218"/>
        <item x="3"/>
        <item x="39"/>
        <item x="268"/>
        <item x="228"/>
        <item x="252"/>
        <item x="78"/>
        <item x="177"/>
        <item x="187"/>
        <item x="216"/>
        <item x="229"/>
        <item x="0"/>
        <item x="242"/>
        <item x="48"/>
        <item x="265"/>
        <item x="80"/>
        <item x="249"/>
        <item x="55"/>
        <item x="186"/>
        <item x="206"/>
        <item x="199"/>
        <item x="192"/>
        <item x="244"/>
        <item x="180"/>
        <item x="227"/>
        <item x="10"/>
        <item x="77"/>
        <item x="253"/>
        <item x="52"/>
        <item x="26"/>
        <item x="79"/>
        <item x="94"/>
        <item x="9"/>
        <item x="22"/>
        <item x="121"/>
        <item x="137"/>
        <item x="35"/>
        <item x="144"/>
        <item x="6"/>
        <item x="118"/>
        <item x="246"/>
        <item x="197"/>
        <item x="179"/>
        <item x="193"/>
        <item x="124"/>
        <item x="164"/>
        <item x="209"/>
        <item x="18"/>
        <item x="273"/>
        <item x="257"/>
        <item x="259"/>
        <item x="129"/>
        <item x="148"/>
        <item x="53"/>
        <item x="213"/>
        <item x="154"/>
        <item x="223"/>
        <item x="73"/>
        <item x="138"/>
        <item x="63"/>
        <item x="68"/>
        <item x="231"/>
        <item x="33"/>
        <item x="103"/>
        <item x="66"/>
        <item x="40"/>
        <item x="32"/>
        <item x="76"/>
        <item x="49"/>
        <item x="81"/>
        <item x="160"/>
        <item x="158"/>
        <item x="110"/>
        <item x="256"/>
        <item x="17"/>
        <item x="196"/>
        <item x="146"/>
        <item x="185"/>
        <item x="261"/>
        <item x="165"/>
        <item x="226"/>
        <item x="97"/>
        <item x="46"/>
        <item x="211"/>
        <item x="225"/>
        <item x="147"/>
        <item x="93"/>
        <item x="240"/>
        <item x="104"/>
        <item x="262"/>
        <item x="1"/>
        <item x="214"/>
        <item x="159"/>
        <item x="62"/>
        <item x="126"/>
        <item x="96"/>
        <item x="217"/>
        <item x="8"/>
        <item x="86"/>
        <item x="1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277">
    <i>
      <x v="21"/>
    </i>
    <i>
      <x v="265"/>
    </i>
    <i>
      <x v="186"/>
    </i>
    <i>
      <x v="65"/>
    </i>
    <i>
      <x v="133"/>
    </i>
    <i>
      <x v="97"/>
    </i>
    <i>
      <x v="172"/>
    </i>
    <i>
      <x v="197"/>
    </i>
    <i>
      <x v="274"/>
    </i>
    <i>
      <x v="99"/>
    </i>
    <i>
      <x v="205"/>
    </i>
    <i>
      <x v="125"/>
    </i>
    <i>
      <x v="259"/>
    </i>
    <i>
      <x v="36"/>
    </i>
    <i>
      <x v="180"/>
    </i>
    <i>
      <x v="183"/>
    </i>
    <i>
      <x v="179"/>
    </i>
    <i>
      <x v="173"/>
    </i>
    <i>
      <x v="264"/>
    </i>
    <i>
      <x v="92"/>
    </i>
    <i>
      <x v="155"/>
    </i>
    <i>
      <x v="74"/>
    </i>
    <i>
      <x v="39"/>
    </i>
    <i>
      <x v="150"/>
    </i>
    <i>
      <x v="67"/>
    </i>
    <i>
      <x v="200"/>
    </i>
    <i>
      <x v="132"/>
    </i>
    <i>
      <x v="19"/>
    </i>
    <i>
      <x v="49"/>
    </i>
    <i>
      <x v="157"/>
    </i>
    <i>
      <x v="161"/>
    </i>
    <i>
      <x v="96"/>
    </i>
    <i>
      <x v="191"/>
    </i>
    <i>
      <x v="56"/>
    </i>
    <i>
      <x v="136"/>
    </i>
    <i>
      <x v="25"/>
    </i>
    <i>
      <x v="181"/>
    </i>
    <i>
      <x v="147"/>
    </i>
    <i>
      <x v="63"/>
    </i>
    <i>
      <x v="170"/>
    </i>
    <i>
      <x v="229"/>
    </i>
    <i>
      <x v="17"/>
    </i>
    <i>
      <x v="79"/>
    </i>
    <i>
      <x v="89"/>
    </i>
    <i>
      <x v="82"/>
    </i>
    <i>
      <x v="11"/>
    </i>
    <i>
      <x v="222"/>
    </i>
    <i>
      <x v="249"/>
    </i>
    <i>
      <x v="113"/>
    </i>
    <i>
      <x v="174"/>
    </i>
    <i>
      <x v="140"/>
    </i>
    <i>
      <x v="51"/>
    </i>
    <i>
      <x v="244"/>
    </i>
    <i>
      <x v="263"/>
    </i>
    <i>
      <x v="37"/>
    </i>
    <i>
      <x v="175"/>
    </i>
    <i>
      <x v="220"/>
    </i>
    <i>
      <x v="87"/>
    </i>
    <i>
      <x v="118"/>
    </i>
    <i>
      <x v="184"/>
    </i>
    <i>
      <x v="55"/>
    </i>
    <i>
      <x v="4"/>
    </i>
    <i>
      <x v="207"/>
    </i>
    <i>
      <x v="127"/>
    </i>
    <i>
      <x v="91"/>
    </i>
    <i>
      <x v="215"/>
    </i>
    <i>
      <x v="61"/>
    </i>
    <i>
      <x v="64"/>
    </i>
    <i>
      <x v="66"/>
    </i>
    <i>
      <x v="235"/>
    </i>
    <i>
      <x v="152"/>
    </i>
    <i>
      <x v="153"/>
    </i>
    <i>
      <x v="162"/>
    </i>
    <i>
      <x v="15"/>
    </i>
    <i>
      <x v="5"/>
    </i>
    <i>
      <x v="102"/>
    </i>
    <i>
      <x v="227"/>
    </i>
    <i>
      <x v="122"/>
    </i>
    <i>
      <x v="121"/>
    </i>
    <i>
      <x v="261"/>
    </i>
    <i>
      <x v="77"/>
    </i>
    <i>
      <x v="43"/>
    </i>
    <i>
      <x v="236"/>
    </i>
    <i>
      <x v="148"/>
    </i>
    <i>
      <x v="202"/>
    </i>
    <i>
      <x v="70"/>
    </i>
    <i>
      <x v="247"/>
    </i>
    <i>
      <x v="124"/>
    </i>
    <i>
      <x v="84"/>
    </i>
    <i>
      <x v="35"/>
    </i>
    <i>
      <x v="80"/>
    </i>
    <i>
      <x v="242"/>
    </i>
    <i>
      <x v="42"/>
    </i>
    <i>
      <x v="254"/>
    </i>
    <i>
      <x v="226"/>
    </i>
    <i>
      <x v="223"/>
    </i>
    <i>
      <x v="59"/>
    </i>
    <i>
      <x v="143"/>
    </i>
    <i>
      <x v="253"/>
    </i>
    <i>
      <x v="108"/>
    </i>
    <i>
      <x v="81"/>
    </i>
    <i>
      <x v="134"/>
    </i>
    <i>
      <x v="73"/>
    </i>
    <i>
      <x v="68"/>
    </i>
    <i>
      <x v="128"/>
    </i>
    <i>
      <x v="258"/>
    </i>
    <i>
      <x v="250"/>
    </i>
    <i>
      <x v="72"/>
    </i>
    <i>
      <x v="130"/>
    </i>
    <i>
      <x v="204"/>
    </i>
    <i>
      <x v="260"/>
    </i>
    <i>
      <x v="116"/>
    </i>
    <i>
      <x v="69"/>
    </i>
    <i>
      <x v="109"/>
    </i>
    <i>
      <x v="272"/>
    </i>
    <i>
      <x v="34"/>
    </i>
    <i>
      <x v="166"/>
    </i>
    <i>
      <x v="232"/>
    </i>
    <i>
      <x v="94"/>
    </i>
    <i>
      <x v="90"/>
    </i>
    <i>
      <x v="117"/>
    </i>
    <i>
      <x v="238"/>
    </i>
    <i>
      <x v="199"/>
    </i>
    <i>
      <x v="211"/>
    </i>
    <i>
      <x v="188"/>
    </i>
    <i>
      <x v="8"/>
    </i>
    <i>
      <x v="165"/>
    </i>
    <i>
      <x v="31"/>
    </i>
    <i>
      <x v="159"/>
    </i>
    <i>
      <x v="201"/>
    </i>
    <i>
      <x v="182"/>
    </i>
    <i>
      <x v="217"/>
    </i>
    <i>
      <x v="240"/>
    </i>
    <i>
      <x v="95"/>
    </i>
    <i>
      <x v="123"/>
    </i>
    <i>
      <x v="18"/>
    </i>
    <i>
      <x v="154"/>
    </i>
    <i>
      <x v="224"/>
    </i>
    <i>
      <x v="103"/>
    </i>
    <i>
      <x v="114"/>
    </i>
    <i>
      <x v="41"/>
    </i>
    <i>
      <x v="24"/>
    </i>
    <i>
      <x/>
    </i>
    <i>
      <x v="6"/>
    </i>
    <i>
      <x v="54"/>
    </i>
    <i>
      <x v="151"/>
    </i>
    <i>
      <x v="57"/>
    </i>
    <i>
      <x v="20"/>
    </i>
    <i>
      <x v="105"/>
    </i>
    <i>
      <x v="27"/>
    </i>
    <i>
      <x v="76"/>
    </i>
    <i>
      <x v="120"/>
    </i>
    <i>
      <x v="46"/>
    </i>
    <i>
      <x v="167"/>
    </i>
    <i>
      <x v="212"/>
    </i>
    <i>
      <x v="44"/>
    </i>
    <i>
      <x v="262"/>
    </i>
    <i>
      <x v="267"/>
    </i>
    <i>
      <x v="210"/>
    </i>
    <i>
      <x v="248"/>
    </i>
    <i>
      <x v="241"/>
    </i>
    <i>
      <x v="126"/>
    </i>
    <i>
      <x v="252"/>
    </i>
    <i>
      <x v="163"/>
    </i>
    <i>
      <x v="137"/>
    </i>
    <i>
      <x v="195"/>
    </i>
    <i>
      <x v="86"/>
    </i>
    <i>
      <x v="216"/>
    </i>
    <i>
      <x v="1"/>
    </i>
    <i>
      <x v="22"/>
    </i>
    <i>
      <x v="29"/>
    </i>
    <i>
      <x v="144"/>
    </i>
    <i>
      <x v="52"/>
    </i>
    <i>
      <x v="257"/>
    </i>
    <i>
      <x v="145"/>
    </i>
    <i>
      <x v="111"/>
    </i>
    <i>
      <x v="83"/>
    </i>
    <i>
      <x v="139"/>
    </i>
    <i>
      <x v="47"/>
    </i>
    <i>
      <x v="187"/>
    </i>
    <i>
      <x v="101"/>
    </i>
    <i>
      <x v="12"/>
    </i>
    <i>
      <x v="85"/>
    </i>
    <i>
      <x v="58"/>
    </i>
    <i>
      <x v="104"/>
    </i>
    <i>
      <x v="206"/>
    </i>
    <i>
      <x v="141"/>
    </i>
    <i>
      <x v="214"/>
    </i>
    <i>
      <x v="115"/>
    </i>
    <i>
      <x v="160"/>
    </i>
    <i>
      <x v="48"/>
    </i>
    <i>
      <x v="233"/>
    </i>
    <i>
      <x v="131"/>
    </i>
    <i>
      <x v="40"/>
    </i>
    <i>
      <x v="231"/>
    </i>
    <i>
      <x v="256"/>
    </i>
    <i>
      <x v="192"/>
    </i>
    <i>
      <x v="171"/>
    </i>
    <i>
      <x v="178"/>
    </i>
    <i>
      <x v="142"/>
    </i>
    <i>
      <x v="3"/>
    </i>
    <i>
      <x v="33"/>
    </i>
    <i>
      <x v="169"/>
    </i>
    <i>
      <x v="168"/>
    </i>
    <i>
      <x v="107"/>
    </i>
    <i>
      <x v="185"/>
    </i>
    <i>
      <x v="16"/>
    </i>
    <i>
      <x v="2"/>
    </i>
    <i>
      <x v="60"/>
    </i>
    <i>
      <x v="228"/>
    </i>
    <i>
      <x v="53"/>
    </i>
    <i>
      <x v="50"/>
    </i>
    <i>
      <x v="26"/>
    </i>
    <i>
      <x v="10"/>
    </i>
    <i>
      <x v="110"/>
    </i>
    <i>
      <x v="146"/>
    </i>
    <i>
      <x v="266"/>
    </i>
    <i>
      <x v="38"/>
    </i>
    <i>
      <x v="119"/>
    </i>
    <i>
      <x v="225"/>
    </i>
    <i>
      <x v="135"/>
    </i>
    <i>
      <x v="246"/>
    </i>
    <i>
      <x v="138"/>
    </i>
    <i>
      <x v="194"/>
    </i>
    <i>
      <x v="208"/>
    </i>
    <i>
      <x v="198"/>
    </i>
    <i>
      <x v="230"/>
    </i>
    <i>
      <x v="14"/>
    </i>
    <i>
      <x v="234"/>
    </i>
    <i>
      <x v="243"/>
    </i>
    <i>
      <x v="245"/>
    </i>
    <i>
      <x v="237"/>
    </i>
    <i>
      <x v="275"/>
    </i>
    <i>
      <x v="218"/>
    </i>
    <i>
      <x v="177"/>
    </i>
    <i>
      <x v="100"/>
    </i>
    <i>
      <x v="221"/>
    </i>
    <i>
      <x v="196"/>
    </i>
    <i>
      <x v="78"/>
    </i>
    <i>
      <x v="271"/>
    </i>
    <i>
      <x v="32"/>
    </i>
    <i>
      <x v="7"/>
    </i>
    <i>
      <x v="190"/>
    </i>
    <i>
      <x v="112"/>
    </i>
    <i>
      <x v="176"/>
    </i>
    <i>
      <x v="255"/>
    </i>
    <i>
      <x v="45"/>
    </i>
    <i>
      <x v="88"/>
    </i>
    <i>
      <x v="239"/>
    </i>
    <i>
      <x v="62"/>
    </i>
    <i>
      <x v="156"/>
    </i>
    <i>
      <x v="106"/>
    </i>
    <i>
      <x v="203"/>
    </i>
    <i>
      <x v="28"/>
    </i>
    <i>
      <x v="158"/>
    </i>
    <i>
      <x v="164"/>
    </i>
    <i>
      <x v="219"/>
    </i>
    <i>
      <x v="23"/>
    </i>
    <i>
      <x v="93"/>
    </i>
    <i>
      <x v="129"/>
    </i>
    <i>
      <x v="209"/>
    </i>
    <i>
      <x v="273"/>
    </i>
    <i>
      <x v="30"/>
    </i>
    <i>
      <x v="193"/>
    </i>
    <i>
      <x v="269"/>
    </i>
    <i>
      <x v="71"/>
    </i>
    <i>
      <x v="149"/>
    </i>
    <i>
      <x v="98"/>
    </i>
    <i>
      <x v="13"/>
    </i>
    <i>
      <x v="213"/>
    </i>
    <i>
      <x v="75"/>
    </i>
    <i>
      <x v="251"/>
    </i>
    <i>
      <x v="189"/>
    </i>
    <i>
      <x v="270"/>
    </i>
    <i>
      <x v="9"/>
    </i>
    <i>
      <x v="268"/>
    </i>
    <i t="grand">
      <x/>
    </i>
  </rowItems>
  <colFields count="1">
    <field x="-2"/>
  </colFields>
  <colItems count="2">
    <i>
      <x/>
    </i>
    <i i="1">
      <x v="1"/>
    </i>
  </colItems>
  <dataFields count="2">
    <dataField name="Cant Ventas" fld="0" subtotal="count" baseField="4" baseItem="0"/>
    <dataField name="Suma de Total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AF1E94-D3C0-41E0-974A-191C7DBA6EE1}" name="TablaDinámica3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Id_Empleado">
  <location ref="A3:B74" firstHeaderRow="1" firstDataRow="1" firstDataCol="1"/>
  <pivotFields count="23">
    <pivotField showAll="0"/>
    <pivotField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showAll="0">
      <items count="71">
        <item x="64"/>
        <item x="38"/>
        <item x="48"/>
        <item x="16"/>
        <item x="36"/>
        <item x="8"/>
        <item x="68"/>
        <item x="65"/>
        <item x="58"/>
        <item x="28"/>
        <item x="4"/>
        <item x="25"/>
        <item x="1"/>
        <item x="5"/>
        <item x="49"/>
        <item x="17"/>
        <item x="6"/>
        <item x="12"/>
        <item x="10"/>
        <item x="27"/>
        <item x="13"/>
        <item x="40"/>
        <item x="30"/>
        <item x="26"/>
        <item x="29"/>
        <item x="51"/>
        <item x="61"/>
        <item x="56"/>
        <item x="67"/>
        <item x="43"/>
        <item x="54"/>
        <item x="31"/>
        <item x="47"/>
        <item x="55"/>
        <item x="46"/>
        <item x="19"/>
        <item x="34"/>
        <item x="41"/>
        <item x="50"/>
        <item x="45"/>
        <item x="42"/>
        <item x="32"/>
        <item x="9"/>
        <item x="66"/>
        <item x="23"/>
        <item x="15"/>
        <item x="52"/>
        <item x="37"/>
        <item x="11"/>
        <item x="0"/>
        <item x="35"/>
        <item x="18"/>
        <item x="63"/>
        <item x="14"/>
        <item x="57"/>
        <item x="44"/>
        <item x="7"/>
        <item x="59"/>
        <item x="62"/>
        <item x="3"/>
        <item x="39"/>
        <item x="21"/>
        <item x="22"/>
        <item x="33"/>
        <item x="24"/>
        <item x="60"/>
        <item x="53"/>
        <item x="2"/>
        <item x="6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Items count="1">
    <i/>
  </colItems>
  <dataFields count="1">
    <dataField name="Suma de Total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FEB2-677D-42A5-A5C7-3C71E8BF5607}" name="TablaDinámica7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K19:Q24" firstHeaderRow="1" firstDataRow="2" firstDataCol="1"/>
  <pivotFields count="23">
    <pivotField showAll="0"/>
    <pivotField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0"/>
        <item x="4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sd="0" x="1"/>
        <item sd="0" x="2"/>
        <item sd="0" x="3"/>
        <item sd="0" x="4"/>
      </items>
    </pivotField>
  </pivotFields>
  <rowFields count="2">
    <field x="22"/>
    <field x="20"/>
  </rowFields>
  <rowItems count="4">
    <i>
      <x v="1"/>
    </i>
    <i>
      <x v="2"/>
    </i>
    <i>
      <x v="3"/>
    </i>
    <i t="grand">
      <x/>
    </i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Total" fld="19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3BD88-AD0A-4124-923A-4C7197196EC6}" name="TablaDinámica6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K2:L6" firstHeaderRow="1" firstDataRow="1" firstDataCol="1"/>
  <pivotFields count="23">
    <pivotField showAll="0"/>
    <pivotField axis="axisRow"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x="0"/>
        <item sd="0" x="1"/>
        <item sd="0" x="2"/>
        <item sd="0" x="3"/>
        <item x="4"/>
        <item t="default"/>
      </items>
    </pivotField>
  </pivotFields>
  <rowFields count="3">
    <field x="22"/>
    <field x="20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a de Total" fld="19" baseField="0" baseItem="0"/>
  </dataFields>
  <chartFormats count="27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1"/>
          </reference>
          <reference field="22" count="1" selected="0">
            <x v="1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2"/>
          </reference>
          <reference field="22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3"/>
          </reference>
          <reference field="22" count="1" selected="0">
            <x v="1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4"/>
          </reference>
          <reference field="22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5"/>
          </reference>
          <reference field="22" count="1" selected="0">
            <x v="1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6"/>
          </reference>
          <reference field="22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7"/>
          </reference>
          <reference field="22" count="1" selected="0">
            <x v="1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8"/>
          </reference>
          <reference field="22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9"/>
          </reference>
          <reference field="22" count="1" selected="0">
            <x v="1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10"/>
          </reference>
          <reference field="22" count="1" selected="0">
            <x v="1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11"/>
          </reference>
          <reference field="22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12"/>
          </reference>
          <reference field="22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5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6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7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8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9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0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1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2"/>
          </reference>
        </references>
      </pivotArea>
    </chartFormat>
    <chartFormat chart="0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C096D-C1AE-4902-A656-B9689D93FF87}" name="TablaDinámica5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8:B27" firstHeaderRow="1" firstDataRow="1" firstDataCol="1"/>
  <pivotFields count="23">
    <pivotField showAll="0"/>
    <pivotField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1"/>
        <item x="6"/>
        <item x="0"/>
        <item x="5"/>
        <item x="2"/>
        <item x="7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a de Total" fld="19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C77F8-DB90-4FDD-BA0E-5C75A8808328}" name="TablaDinámica4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23">
    <pivotField showAll="0"/>
    <pivotField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Total" fld="1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26E7ECC-7124-4B0D-9DC8-2F11B2049736}" autoFormatId="16" applyNumberFormats="0" applyBorderFormats="0" applyFontFormats="0" applyPatternFormats="0" applyAlignmentFormats="0" applyWidthHeightFormats="0">
  <queryTableRefresh nextId="21">
    <queryTableFields count="20">
      <queryTableField id="1" name="id_venta" tableColumnId="1"/>
      <queryTableField id="2" name="fecha_venta" tableColumnId="2"/>
      <queryTableField id="3" name="id_empleado" tableColumnId="3"/>
      <queryTableField id="4" name="antiguedad_vendedor" tableColumnId="4"/>
      <queryTableField id="5" name="id_cliente" tableColumnId="5"/>
      <queryTableField id="6" name="nombre_cliente" tableColumnId="6"/>
      <queryTableField id="7" name="email_cliente" tableColumnId="7"/>
      <queryTableField id="8" name="genero_cliente" tableColumnId="8"/>
      <queryTableField id="9" name="edad_cliente" tableColumnId="9"/>
      <queryTableField id="10" name="ciudad_cliente" tableColumnId="10"/>
      <queryTableField id="11" name="region_cliente" tableColumnId="11"/>
      <queryTableField id="12" name="canal_venta" tableColumnId="12"/>
      <queryTableField id="13" name="producto" tableColumnId="13"/>
      <queryTableField id="14" name="categoria_producto" tableColumnId="14"/>
      <queryTableField id="15" name="precio_unitario" tableColumnId="15"/>
      <queryTableField id="16" name="cantidad" tableColumnId="16"/>
      <queryTableField id="17" name="descuento_pct" tableColumnId="17"/>
      <queryTableField id="18" name="Total Venta" tableColumnId="18"/>
      <queryTableField id="19" name="Descuento" tableColumnId="19"/>
      <queryTableField id="20" name="Total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8BD0A5-627A-429A-A986-344BE957E3DB}" name="E_ShopNow__Proyecto_ABP_M2___2" displayName="E_ShopNow__Proyecto_ABP_M2___2" ref="A1:T1001" tableType="queryTable" totalsRowShown="0">
  <autoFilter ref="A1:T1001" xr:uid="{008BD0A5-627A-429A-A986-344BE957E3DB}"/>
  <sortState xmlns:xlrd2="http://schemas.microsoft.com/office/spreadsheetml/2017/richdata2" ref="A2:T1001">
    <sortCondition ref="A1:A1001"/>
  </sortState>
  <tableColumns count="20">
    <tableColumn id="1" xr3:uid="{4437FD23-0701-4C23-A9D4-B78CB25DD7B8}" uniqueName="1" name="id_venta" queryTableFieldId="1"/>
    <tableColumn id="2" xr3:uid="{6504ADE8-AA6D-4D93-A67E-B8E64A5C08F9}" uniqueName="2" name="fecha_venta" queryTableFieldId="2" dataDxfId="9"/>
    <tableColumn id="3" xr3:uid="{80ADDAB3-A232-4BAF-8E4A-83C19434E346}" uniqueName="3" name="id_empleado" queryTableFieldId="3"/>
    <tableColumn id="4" xr3:uid="{C0E04287-A818-4507-94B8-D7A039A3C00B}" uniqueName="4" name="antiguedad_vendedor" queryTableFieldId="4"/>
    <tableColumn id="5" xr3:uid="{DA6A74E6-61FA-4630-9C6C-B8343CE65076}" uniqueName="5" name="id_cliente" queryTableFieldId="5"/>
    <tableColumn id="6" xr3:uid="{6785AA00-881C-48BD-9609-AA812AE33E57}" uniqueName="6" name="nombre_cliente" queryTableFieldId="6" dataDxfId="8"/>
    <tableColumn id="7" xr3:uid="{C32B8553-0BAF-4547-94CE-0C14C88D6A10}" uniqueName="7" name="email_cliente" queryTableFieldId="7" dataDxfId="7"/>
    <tableColumn id="8" xr3:uid="{077887F5-0376-4E12-BDDF-2D9C8F017F90}" uniqueName="8" name="genero_cliente" queryTableFieldId="8" dataDxfId="6"/>
    <tableColumn id="9" xr3:uid="{23FF45AD-5284-41E8-94BD-1B4DE3274B06}" uniqueName="9" name="edad_cliente" queryTableFieldId="9" dataDxfId="5"/>
    <tableColumn id="10" xr3:uid="{C6449809-CEDD-45A8-9EA7-E63536EB4777}" uniqueName="10" name="ciudad_cliente" queryTableFieldId="10" dataDxfId="4"/>
    <tableColumn id="11" xr3:uid="{85AF537D-9EE7-44CA-A6A5-53F777E75387}" uniqueName="11" name="region_cliente" queryTableFieldId="11" dataDxfId="3"/>
    <tableColumn id="12" xr3:uid="{65D8F8EB-68B9-4458-B1FE-8D7BB62B1D27}" uniqueName="12" name="canal_venta" queryTableFieldId="12" dataDxfId="2"/>
    <tableColumn id="13" xr3:uid="{9E8AF105-A9FE-4C97-8725-331870A4E12C}" uniqueName="13" name="producto" queryTableFieldId="13" dataDxfId="1"/>
    <tableColumn id="14" xr3:uid="{052EDB15-DDE6-4213-BD7D-B6780C359A03}" uniqueName="14" name="categoria_producto" queryTableFieldId="14" dataDxfId="0"/>
    <tableColumn id="15" xr3:uid="{238A9830-22DB-46A7-8AC2-9477776FEC84}" uniqueName="15" name="precio_unitario" queryTableFieldId="15"/>
    <tableColumn id="16" xr3:uid="{B7C7DE04-034D-4F7B-A343-51421EB5D6A0}" uniqueName="16" name="cantidad" queryTableFieldId="16"/>
    <tableColumn id="17" xr3:uid="{F907EBBE-C0A8-457C-86F0-DD4F1DF4B839}" uniqueName="17" name="descuento_pct" queryTableFieldId="17"/>
    <tableColumn id="18" xr3:uid="{C9E8CA9F-E62C-43E1-928C-28E18090A4EB}" uniqueName="18" name="Total Venta" queryTableFieldId="18"/>
    <tableColumn id="19" xr3:uid="{6573EF4C-BD28-4871-A386-5D98602F2CC4}" uniqueName="19" name="Descuento" queryTableFieldId="19"/>
    <tableColumn id="20" xr3:uid="{F6B885F9-3A9D-4A56-A422-5DDCD8D1D5EA}" uniqueName="20" name="Total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F566-9A86-4EB2-9F8C-E751B348092B}">
  <dimension ref="A1:T1001"/>
  <sheetViews>
    <sheetView workbookViewId="0">
      <selection activeCell="A2" sqref="A2"/>
    </sheetView>
  </sheetViews>
  <sheetFormatPr baseColWidth="10" defaultRowHeight="15" x14ac:dyDescent="0.25"/>
  <cols>
    <col min="1" max="1" width="11" bestFit="1" customWidth="1"/>
    <col min="2" max="2" width="14.140625" bestFit="1" customWidth="1"/>
    <col min="3" max="3" width="15" bestFit="1" customWidth="1"/>
    <col min="4" max="4" width="23" bestFit="1" customWidth="1"/>
    <col min="5" max="5" width="12.140625" bestFit="1" customWidth="1"/>
    <col min="6" max="6" width="37.85546875" bestFit="1" customWidth="1"/>
    <col min="7" max="7" width="18" bestFit="1" customWidth="1"/>
    <col min="8" max="8" width="16.7109375" bestFit="1" customWidth="1"/>
    <col min="9" max="9" width="14.85546875" bestFit="1" customWidth="1"/>
    <col min="10" max="10" width="16.28515625" bestFit="1" customWidth="1"/>
    <col min="11" max="11" width="16.140625" bestFit="1" customWidth="1"/>
    <col min="12" max="12" width="13.85546875" bestFit="1" customWidth="1"/>
    <col min="13" max="13" width="12.140625" bestFit="1" customWidth="1"/>
    <col min="14" max="14" width="20.5703125" bestFit="1" customWidth="1"/>
    <col min="15" max="15" width="16.85546875" bestFit="1" customWidth="1"/>
    <col min="16" max="16" width="10.85546875" bestFit="1" customWidth="1"/>
    <col min="17" max="17" width="16.28515625" bestFit="1" customWidth="1"/>
    <col min="18" max="18" width="13.42578125" bestFit="1" customWidth="1"/>
    <col min="19" max="19" width="12.7109375" bestFit="1" customWidth="1"/>
    <col min="20" max="20" width="8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655</v>
      </c>
      <c r="S1" t="s">
        <v>607</v>
      </c>
      <c r="T1" t="s">
        <v>656</v>
      </c>
    </row>
    <row r="2" spans="1:20" x14ac:dyDescent="0.25">
      <c r="A2">
        <v>1</v>
      </c>
      <c r="B2" s="5">
        <v>44928</v>
      </c>
      <c r="C2">
        <v>50</v>
      </c>
      <c r="D2">
        <v>0</v>
      </c>
      <c r="E2">
        <v>254</v>
      </c>
      <c r="F2" s="4" t="s">
        <v>17</v>
      </c>
      <c r="G2" s="4" t="s">
        <v>18</v>
      </c>
      <c r="H2" s="4" t="s">
        <v>19</v>
      </c>
      <c r="I2" s="4" t="s">
        <v>619</v>
      </c>
      <c r="J2" s="4" t="s">
        <v>20</v>
      </c>
      <c r="K2" s="4" t="s">
        <v>21</v>
      </c>
      <c r="L2" s="4" t="s">
        <v>22</v>
      </c>
      <c r="M2" s="4" t="s">
        <v>23</v>
      </c>
      <c r="N2" s="4" t="s">
        <v>24</v>
      </c>
      <c r="O2">
        <v>15000</v>
      </c>
      <c r="P2">
        <v>3</v>
      </c>
      <c r="Q2">
        <v>0</v>
      </c>
      <c r="R2">
        <v>45000</v>
      </c>
      <c r="S2">
        <v>0</v>
      </c>
      <c r="T2">
        <v>45000</v>
      </c>
    </row>
    <row r="3" spans="1:20" x14ac:dyDescent="0.25">
      <c r="A3">
        <v>2</v>
      </c>
      <c r="B3" s="5">
        <v>44929</v>
      </c>
      <c r="C3">
        <v>13</v>
      </c>
      <c r="D3">
        <v>0</v>
      </c>
      <c r="E3">
        <v>102</v>
      </c>
      <c r="F3" s="4" t="s">
        <v>25</v>
      </c>
      <c r="G3" s="4" t="s">
        <v>26</v>
      </c>
      <c r="H3" s="4" t="s">
        <v>19</v>
      </c>
      <c r="I3" s="4" t="s">
        <v>639</v>
      </c>
      <c r="J3" s="4" t="s">
        <v>27</v>
      </c>
      <c r="K3" s="4" t="s">
        <v>28</v>
      </c>
      <c r="L3" s="4" t="s">
        <v>29</v>
      </c>
      <c r="M3" s="4" t="s">
        <v>30</v>
      </c>
      <c r="N3" s="4" t="s">
        <v>31</v>
      </c>
      <c r="O3">
        <v>700000</v>
      </c>
      <c r="P3">
        <v>2</v>
      </c>
      <c r="Q3">
        <v>5</v>
      </c>
      <c r="R3">
        <v>1400000</v>
      </c>
      <c r="S3">
        <v>70000</v>
      </c>
      <c r="T3">
        <v>1330000</v>
      </c>
    </row>
    <row r="4" spans="1:20" x14ac:dyDescent="0.25">
      <c r="A4">
        <v>3</v>
      </c>
      <c r="B4" s="5">
        <v>44930</v>
      </c>
      <c r="C4">
        <v>68</v>
      </c>
      <c r="D4">
        <v>2</v>
      </c>
      <c r="E4">
        <v>196</v>
      </c>
      <c r="F4" s="4" t="s">
        <v>32</v>
      </c>
      <c r="G4" s="4" t="s">
        <v>33</v>
      </c>
      <c r="H4" s="4" t="s">
        <v>19</v>
      </c>
      <c r="I4" s="4" t="s">
        <v>627</v>
      </c>
      <c r="J4" s="4" t="s">
        <v>34</v>
      </c>
      <c r="K4" s="4" t="s">
        <v>272</v>
      </c>
      <c r="L4" s="4" t="s">
        <v>29</v>
      </c>
      <c r="M4" s="4" t="s">
        <v>30</v>
      </c>
      <c r="N4" s="4" t="s">
        <v>31</v>
      </c>
      <c r="O4">
        <v>700000</v>
      </c>
      <c r="P4">
        <v>2</v>
      </c>
      <c r="Q4">
        <v>5</v>
      </c>
      <c r="R4">
        <v>1400000</v>
      </c>
      <c r="S4">
        <v>70000</v>
      </c>
      <c r="T4">
        <v>1330000</v>
      </c>
    </row>
    <row r="5" spans="1:20" x14ac:dyDescent="0.25">
      <c r="A5">
        <v>4</v>
      </c>
      <c r="B5" s="5">
        <v>44931</v>
      </c>
      <c r="C5">
        <v>60</v>
      </c>
      <c r="D5">
        <v>1</v>
      </c>
      <c r="E5">
        <v>65</v>
      </c>
      <c r="F5" s="4" t="s">
        <v>35</v>
      </c>
      <c r="G5" s="4" t="s">
        <v>36</v>
      </c>
      <c r="H5" s="4" t="s">
        <v>19</v>
      </c>
      <c r="I5" s="4" t="s">
        <v>621</v>
      </c>
      <c r="J5" s="4" t="s">
        <v>37</v>
      </c>
      <c r="K5" s="4" t="s">
        <v>37</v>
      </c>
      <c r="L5" s="4" t="s">
        <v>38</v>
      </c>
      <c r="M5" s="4" t="s">
        <v>39</v>
      </c>
      <c r="N5" s="4" t="s">
        <v>24</v>
      </c>
      <c r="O5">
        <v>35000</v>
      </c>
      <c r="P5">
        <v>2</v>
      </c>
      <c r="Q5">
        <v>0</v>
      </c>
      <c r="R5">
        <v>70000</v>
      </c>
      <c r="S5">
        <v>0</v>
      </c>
      <c r="T5">
        <v>70000</v>
      </c>
    </row>
    <row r="6" spans="1:20" x14ac:dyDescent="0.25">
      <c r="A6">
        <v>5</v>
      </c>
      <c r="B6" s="5">
        <v>44932</v>
      </c>
      <c r="C6">
        <v>11</v>
      </c>
      <c r="D6">
        <v>0</v>
      </c>
      <c r="E6">
        <v>218</v>
      </c>
      <c r="F6" s="4" t="s">
        <v>40</v>
      </c>
      <c r="G6" s="4" t="s">
        <v>41</v>
      </c>
      <c r="H6" s="4" t="s">
        <v>42</v>
      </c>
      <c r="I6" s="4" t="s">
        <v>613</v>
      </c>
      <c r="J6" s="4" t="s">
        <v>43</v>
      </c>
      <c r="K6" s="4" t="s">
        <v>43</v>
      </c>
      <c r="L6" s="4" t="s">
        <v>38</v>
      </c>
      <c r="M6" s="4" t="s">
        <v>23</v>
      </c>
      <c r="N6" s="4" t="s">
        <v>24</v>
      </c>
      <c r="O6">
        <v>15000</v>
      </c>
      <c r="P6">
        <v>1</v>
      </c>
      <c r="Q6">
        <v>1</v>
      </c>
      <c r="R6">
        <v>15000</v>
      </c>
      <c r="S6">
        <v>150</v>
      </c>
      <c r="T6">
        <v>14850</v>
      </c>
    </row>
    <row r="7" spans="1:20" x14ac:dyDescent="0.25">
      <c r="A7">
        <v>6</v>
      </c>
      <c r="B7" s="5">
        <v>44933</v>
      </c>
      <c r="C7">
        <v>14</v>
      </c>
      <c r="D7">
        <v>0</v>
      </c>
      <c r="E7">
        <v>202</v>
      </c>
      <c r="F7" s="4" t="s">
        <v>44</v>
      </c>
      <c r="G7" s="4" t="s">
        <v>45</v>
      </c>
      <c r="H7" s="4" t="s">
        <v>42</v>
      </c>
      <c r="I7" s="4" t="s">
        <v>620</v>
      </c>
      <c r="J7" s="4" t="s">
        <v>34</v>
      </c>
      <c r="K7" s="4" t="s">
        <v>272</v>
      </c>
      <c r="L7" s="4" t="s">
        <v>22</v>
      </c>
      <c r="M7" s="4" t="s">
        <v>46</v>
      </c>
      <c r="N7" s="4" t="s">
        <v>53</v>
      </c>
      <c r="O7">
        <v>750000</v>
      </c>
      <c r="P7">
        <v>3</v>
      </c>
      <c r="Q7">
        <v>1</v>
      </c>
      <c r="R7">
        <v>2250000</v>
      </c>
      <c r="S7">
        <v>22500</v>
      </c>
      <c r="T7">
        <v>2227500</v>
      </c>
    </row>
    <row r="8" spans="1:20" x14ac:dyDescent="0.25">
      <c r="A8">
        <v>7</v>
      </c>
      <c r="B8" s="5">
        <v>44934</v>
      </c>
      <c r="C8">
        <v>17</v>
      </c>
      <c r="D8">
        <v>0</v>
      </c>
      <c r="E8">
        <v>160</v>
      </c>
      <c r="F8" s="4" t="s">
        <v>47</v>
      </c>
      <c r="G8" s="4" t="s">
        <v>48</v>
      </c>
      <c r="H8" s="4" t="s">
        <v>42</v>
      </c>
      <c r="I8" s="4" t="s">
        <v>617</v>
      </c>
      <c r="J8" s="4" t="s">
        <v>34</v>
      </c>
      <c r="K8" s="4" t="s">
        <v>272</v>
      </c>
      <c r="L8" s="4" t="s">
        <v>22</v>
      </c>
      <c r="M8" s="4" t="s">
        <v>49</v>
      </c>
      <c r="N8" s="4" t="s">
        <v>31</v>
      </c>
      <c r="O8">
        <v>800000</v>
      </c>
      <c r="P8">
        <v>2</v>
      </c>
      <c r="Q8">
        <v>1</v>
      </c>
      <c r="R8">
        <v>1600000</v>
      </c>
      <c r="S8">
        <v>16000</v>
      </c>
      <c r="T8">
        <v>1584000</v>
      </c>
    </row>
    <row r="9" spans="1:20" x14ac:dyDescent="0.25">
      <c r="A9">
        <v>8</v>
      </c>
      <c r="B9" s="5">
        <v>44935</v>
      </c>
      <c r="C9">
        <v>57</v>
      </c>
      <c r="D9">
        <v>3</v>
      </c>
      <c r="E9">
        <v>242</v>
      </c>
      <c r="F9" s="4" t="s">
        <v>50</v>
      </c>
      <c r="G9" s="4" t="s">
        <v>51</v>
      </c>
      <c r="H9" s="4" t="s">
        <v>42</v>
      </c>
      <c r="I9" s="4" t="s">
        <v>635</v>
      </c>
      <c r="J9" s="4" t="s">
        <v>52</v>
      </c>
      <c r="K9" s="4" t="s">
        <v>28</v>
      </c>
      <c r="L9" s="4" t="s">
        <v>22</v>
      </c>
      <c r="M9" s="4" t="s">
        <v>46</v>
      </c>
      <c r="N9" s="4" t="s">
        <v>53</v>
      </c>
      <c r="O9">
        <v>750000</v>
      </c>
      <c r="P9">
        <v>1</v>
      </c>
      <c r="Q9">
        <v>5</v>
      </c>
      <c r="R9">
        <v>750000</v>
      </c>
      <c r="S9">
        <v>37500</v>
      </c>
      <c r="T9">
        <v>712500</v>
      </c>
    </row>
    <row r="10" spans="1:20" x14ac:dyDescent="0.25">
      <c r="A10">
        <v>9</v>
      </c>
      <c r="B10" s="5">
        <v>44936</v>
      </c>
      <c r="C10">
        <v>60</v>
      </c>
      <c r="D10">
        <v>1</v>
      </c>
      <c r="E10">
        <v>255</v>
      </c>
      <c r="F10" s="4" t="s">
        <v>54</v>
      </c>
      <c r="G10" s="4" t="s">
        <v>55</v>
      </c>
      <c r="H10" s="4" t="s">
        <v>19</v>
      </c>
      <c r="I10" s="4" t="s">
        <v>652</v>
      </c>
      <c r="J10" s="4" t="s">
        <v>37</v>
      </c>
      <c r="K10" s="4" t="s">
        <v>37</v>
      </c>
      <c r="L10" s="4" t="s">
        <v>29</v>
      </c>
      <c r="M10" s="4" t="s">
        <v>56</v>
      </c>
      <c r="N10" s="4" t="s">
        <v>57</v>
      </c>
      <c r="O10">
        <v>25000</v>
      </c>
      <c r="P10">
        <v>2</v>
      </c>
      <c r="Q10">
        <v>1</v>
      </c>
      <c r="R10">
        <v>50000</v>
      </c>
      <c r="S10">
        <v>500</v>
      </c>
      <c r="T10">
        <v>49500</v>
      </c>
    </row>
    <row r="11" spans="1:20" x14ac:dyDescent="0.25">
      <c r="A11">
        <v>10</v>
      </c>
      <c r="B11" s="5">
        <v>44937</v>
      </c>
      <c r="C11">
        <v>6</v>
      </c>
      <c r="D11">
        <v>2</v>
      </c>
      <c r="E11">
        <v>35</v>
      </c>
      <c r="F11" s="4" t="s">
        <v>58</v>
      </c>
      <c r="G11" s="4" t="s">
        <v>59</v>
      </c>
      <c r="H11" s="4" t="s">
        <v>42</v>
      </c>
      <c r="I11" s="4" t="s">
        <v>621</v>
      </c>
      <c r="J11" s="4" t="s">
        <v>52</v>
      </c>
      <c r="K11" s="4" t="s">
        <v>28</v>
      </c>
      <c r="L11" s="4" t="s">
        <v>38</v>
      </c>
      <c r="M11" s="4" t="s">
        <v>39</v>
      </c>
      <c r="N11" s="4" t="s">
        <v>24</v>
      </c>
      <c r="O11">
        <v>35000</v>
      </c>
      <c r="P11">
        <v>3</v>
      </c>
      <c r="Q11">
        <v>0</v>
      </c>
      <c r="R11">
        <v>105000</v>
      </c>
      <c r="S11">
        <v>0</v>
      </c>
      <c r="T11">
        <v>105000</v>
      </c>
    </row>
    <row r="12" spans="1:20" x14ac:dyDescent="0.25">
      <c r="A12">
        <v>11</v>
      </c>
      <c r="B12" s="5">
        <v>44938</v>
      </c>
      <c r="C12">
        <v>57</v>
      </c>
      <c r="D12">
        <v>3</v>
      </c>
      <c r="E12">
        <v>136</v>
      </c>
      <c r="F12" s="4" t="s">
        <v>60</v>
      </c>
      <c r="G12" s="4" t="s">
        <v>61</v>
      </c>
      <c r="H12" s="4" t="s">
        <v>42</v>
      </c>
      <c r="I12" s="4" t="s">
        <v>646</v>
      </c>
      <c r="J12" s="4" t="s">
        <v>52</v>
      </c>
      <c r="K12" s="4" t="s">
        <v>28</v>
      </c>
      <c r="L12" s="4" t="s">
        <v>22</v>
      </c>
      <c r="M12" s="4" t="s">
        <v>62</v>
      </c>
      <c r="N12" s="4" t="s">
        <v>31</v>
      </c>
      <c r="O12">
        <v>650000</v>
      </c>
      <c r="P12">
        <v>2</v>
      </c>
      <c r="Q12">
        <v>0</v>
      </c>
      <c r="R12">
        <v>1300000</v>
      </c>
      <c r="S12">
        <v>0</v>
      </c>
      <c r="T12">
        <v>1300000</v>
      </c>
    </row>
    <row r="13" spans="1:20" x14ac:dyDescent="0.25">
      <c r="A13">
        <v>12</v>
      </c>
      <c r="B13" s="5">
        <v>44939</v>
      </c>
      <c r="C13">
        <v>43</v>
      </c>
      <c r="D13">
        <v>0</v>
      </c>
      <c r="E13">
        <v>50</v>
      </c>
      <c r="F13" s="4" t="s">
        <v>63</v>
      </c>
      <c r="G13" s="4" t="s">
        <v>64</v>
      </c>
      <c r="H13" s="4" t="s">
        <v>19</v>
      </c>
      <c r="I13" s="4" t="s">
        <v>612</v>
      </c>
      <c r="J13" s="4" t="s">
        <v>34</v>
      </c>
      <c r="K13" s="4" t="s">
        <v>272</v>
      </c>
      <c r="L13" s="4" t="s">
        <v>22</v>
      </c>
      <c r="M13" s="4" t="s">
        <v>46</v>
      </c>
      <c r="N13" s="4" t="s">
        <v>53</v>
      </c>
      <c r="O13">
        <v>750000</v>
      </c>
      <c r="P13">
        <v>3</v>
      </c>
      <c r="Q13">
        <v>1</v>
      </c>
      <c r="R13">
        <v>2250000</v>
      </c>
      <c r="S13">
        <v>22500</v>
      </c>
      <c r="T13">
        <v>2227500</v>
      </c>
    </row>
    <row r="14" spans="1:20" x14ac:dyDescent="0.25">
      <c r="A14">
        <v>13</v>
      </c>
      <c r="B14" s="5">
        <v>44940</v>
      </c>
      <c r="C14">
        <v>11</v>
      </c>
      <c r="D14">
        <v>0</v>
      </c>
      <c r="E14">
        <v>81</v>
      </c>
      <c r="F14" s="4" t="s">
        <v>65</v>
      </c>
      <c r="G14" s="4" t="s">
        <v>66</v>
      </c>
      <c r="H14" s="4" t="s">
        <v>42</v>
      </c>
      <c r="I14" s="4" t="s">
        <v>613</v>
      </c>
      <c r="J14" s="4" t="s">
        <v>43</v>
      </c>
      <c r="K14" s="4" t="s">
        <v>43</v>
      </c>
      <c r="L14" s="4" t="s">
        <v>22</v>
      </c>
      <c r="M14" s="4" t="s">
        <v>30</v>
      </c>
      <c r="N14" s="4" t="s">
        <v>31</v>
      </c>
      <c r="O14">
        <v>700000</v>
      </c>
      <c r="P14">
        <v>2</v>
      </c>
      <c r="Q14">
        <v>1</v>
      </c>
      <c r="R14">
        <v>1400000</v>
      </c>
      <c r="S14">
        <v>14000</v>
      </c>
      <c r="T14">
        <v>1386000</v>
      </c>
    </row>
    <row r="15" spans="1:20" x14ac:dyDescent="0.25">
      <c r="A15">
        <v>14</v>
      </c>
      <c r="B15" s="5">
        <v>44941</v>
      </c>
      <c r="C15">
        <v>19</v>
      </c>
      <c r="D15">
        <v>5</v>
      </c>
      <c r="E15">
        <v>189</v>
      </c>
      <c r="F15" s="4" t="s">
        <v>67</v>
      </c>
      <c r="G15" s="4" t="s">
        <v>68</v>
      </c>
      <c r="H15" s="4" t="s">
        <v>42</v>
      </c>
      <c r="I15" s="4" t="s">
        <v>616</v>
      </c>
      <c r="J15" s="4" t="s">
        <v>20</v>
      </c>
      <c r="K15" s="4" t="s">
        <v>21</v>
      </c>
      <c r="L15" s="4" t="s">
        <v>22</v>
      </c>
      <c r="M15" s="4" t="s">
        <v>69</v>
      </c>
      <c r="N15" s="4" t="s">
        <v>53</v>
      </c>
      <c r="O15">
        <v>450000</v>
      </c>
      <c r="P15">
        <v>1</v>
      </c>
      <c r="Q15">
        <v>1</v>
      </c>
      <c r="R15">
        <v>450000</v>
      </c>
      <c r="S15">
        <v>4500</v>
      </c>
      <c r="T15">
        <v>445500</v>
      </c>
    </row>
    <row r="16" spans="1:20" x14ac:dyDescent="0.25">
      <c r="A16">
        <v>15</v>
      </c>
      <c r="B16" s="5">
        <v>44942</v>
      </c>
      <c r="C16">
        <v>49</v>
      </c>
      <c r="D16">
        <v>1</v>
      </c>
      <c r="E16">
        <v>67</v>
      </c>
      <c r="F16" s="4" t="s">
        <v>70</v>
      </c>
      <c r="G16" s="4" t="s">
        <v>71</v>
      </c>
      <c r="H16" s="4" t="s">
        <v>19</v>
      </c>
      <c r="I16" s="4" t="s">
        <v>641</v>
      </c>
      <c r="J16" s="4" t="s">
        <v>43</v>
      </c>
      <c r="K16" s="4" t="s">
        <v>43</v>
      </c>
      <c r="L16" s="4" t="s">
        <v>38</v>
      </c>
      <c r="M16" s="4" t="s">
        <v>62</v>
      </c>
      <c r="N16" s="4" t="s">
        <v>31</v>
      </c>
      <c r="O16">
        <v>650000</v>
      </c>
      <c r="P16">
        <v>3</v>
      </c>
      <c r="Q16">
        <v>5</v>
      </c>
      <c r="R16">
        <v>1950000</v>
      </c>
      <c r="S16">
        <v>97500</v>
      </c>
      <c r="T16">
        <v>1852500</v>
      </c>
    </row>
    <row r="17" spans="1:20" x14ac:dyDescent="0.25">
      <c r="A17">
        <v>16</v>
      </c>
      <c r="B17" s="5">
        <v>44943</v>
      </c>
      <c r="C17">
        <v>18</v>
      </c>
      <c r="D17">
        <v>1</v>
      </c>
      <c r="E17">
        <v>269</v>
      </c>
      <c r="F17" s="4" t="s">
        <v>72</v>
      </c>
      <c r="G17" s="4" t="s">
        <v>73</v>
      </c>
      <c r="H17" s="4" t="s">
        <v>42</v>
      </c>
      <c r="I17" s="4" t="s">
        <v>639</v>
      </c>
      <c r="J17" s="4" t="s">
        <v>27</v>
      </c>
      <c r="K17" s="4" t="s">
        <v>28</v>
      </c>
      <c r="L17" s="4" t="s">
        <v>22</v>
      </c>
      <c r="M17" s="4" t="s">
        <v>69</v>
      </c>
      <c r="N17" s="4" t="s">
        <v>53</v>
      </c>
      <c r="O17">
        <v>450000</v>
      </c>
      <c r="P17">
        <v>3</v>
      </c>
      <c r="Q17">
        <v>0</v>
      </c>
      <c r="R17">
        <v>1350000</v>
      </c>
      <c r="S17">
        <v>0</v>
      </c>
      <c r="T17">
        <v>1350000</v>
      </c>
    </row>
    <row r="18" spans="1:20" x14ac:dyDescent="0.25">
      <c r="A18">
        <v>17</v>
      </c>
      <c r="B18" s="5">
        <v>44944</v>
      </c>
      <c r="C18">
        <v>21</v>
      </c>
      <c r="D18">
        <v>5</v>
      </c>
      <c r="E18">
        <v>207</v>
      </c>
      <c r="F18" s="4" t="s">
        <v>74</v>
      </c>
      <c r="G18" s="4" t="s">
        <v>75</v>
      </c>
      <c r="H18" s="4" t="s">
        <v>42</v>
      </c>
      <c r="I18" s="4" t="s">
        <v>620</v>
      </c>
      <c r="J18" s="4" t="s">
        <v>76</v>
      </c>
      <c r="K18" s="4" t="s">
        <v>77</v>
      </c>
      <c r="L18" s="4" t="s">
        <v>22</v>
      </c>
      <c r="M18" s="4" t="s">
        <v>30</v>
      </c>
      <c r="N18" s="4" t="s">
        <v>31</v>
      </c>
      <c r="O18">
        <v>700000</v>
      </c>
      <c r="P18">
        <v>2</v>
      </c>
      <c r="Q18">
        <v>0</v>
      </c>
      <c r="R18">
        <v>1400000</v>
      </c>
      <c r="S18">
        <v>0</v>
      </c>
      <c r="T18">
        <v>1400000</v>
      </c>
    </row>
    <row r="19" spans="1:20" x14ac:dyDescent="0.25">
      <c r="A19">
        <v>18</v>
      </c>
      <c r="B19" s="5">
        <v>44945</v>
      </c>
      <c r="C19">
        <v>54</v>
      </c>
      <c r="D19">
        <v>9</v>
      </c>
      <c r="E19">
        <v>234</v>
      </c>
      <c r="F19" s="4" t="s">
        <v>78</v>
      </c>
      <c r="G19" s="4" t="s">
        <v>79</v>
      </c>
      <c r="H19" s="4" t="s">
        <v>42</v>
      </c>
      <c r="I19" s="4" t="s">
        <v>643</v>
      </c>
      <c r="J19" s="4" t="s">
        <v>27</v>
      </c>
      <c r="K19" s="4" t="s">
        <v>28</v>
      </c>
      <c r="L19" s="4" t="s">
        <v>38</v>
      </c>
      <c r="M19" s="4" t="s">
        <v>62</v>
      </c>
      <c r="N19" s="4" t="s">
        <v>31</v>
      </c>
      <c r="O19">
        <v>650000</v>
      </c>
      <c r="P19">
        <v>2</v>
      </c>
      <c r="Q19">
        <v>0</v>
      </c>
      <c r="R19">
        <v>1300000</v>
      </c>
      <c r="S19">
        <v>0</v>
      </c>
      <c r="T19">
        <v>1300000</v>
      </c>
    </row>
    <row r="20" spans="1:20" x14ac:dyDescent="0.25">
      <c r="A20">
        <v>19</v>
      </c>
      <c r="B20" s="5">
        <v>44946</v>
      </c>
      <c r="C20">
        <v>6</v>
      </c>
      <c r="D20">
        <v>2</v>
      </c>
      <c r="E20">
        <v>39</v>
      </c>
      <c r="F20" s="4" t="s">
        <v>80</v>
      </c>
      <c r="G20" s="4" t="s">
        <v>81</v>
      </c>
      <c r="H20" s="4" t="s">
        <v>19</v>
      </c>
      <c r="I20" s="4" t="s">
        <v>624</v>
      </c>
      <c r="J20" s="4" t="s">
        <v>52</v>
      </c>
      <c r="K20" s="4" t="s">
        <v>28</v>
      </c>
      <c r="L20" s="4" t="s">
        <v>29</v>
      </c>
      <c r="M20" s="4" t="s">
        <v>46</v>
      </c>
      <c r="N20" s="4" t="s">
        <v>53</v>
      </c>
      <c r="O20">
        <v>750000</v>
      </c>
      <c r="P20">
        <v>1</v>
      </c>
      <c r="Q20">
        <v>1</v>
      </c>
      <c r="R20">
        <v>750000</v>
      </c>
      <c r="S20">
        <v>7500</v>
      </c>
      <c r="T20">
        <v>742500</v>
      </c>
    </row>
    <row r="21" spans="1:20" x14ac:dyDescent="0.25">
      <c r="A21">
        <v>20</v>
      </c>
      <c r="B21" s="5">
        <v>44947</v>
      </c>
      <c r="C21">
        <v>46</v>
      </c>
      <c r="D21">
        <v>5</v>
      </c>
      <c r="E21">
        <v>224</v>
      </c>
      <c r="F21" s="4" t="s">
        <v>82</v>
      </c>
      <c r="G21" s="4" t="s">
        <v>83</v>
      </c>
      <c r="H21" s="4" t="s">
        <v>19</v>
      </c>
      <c r="I21" s="4" t="s">
        <v>612</v>
      </c>
      <c r="J21" s="4" t="s">
        <v>84</v>
      </c>
      <c r="K21" s="4" t="s">
        <v>85</v>
      </c>
      <c r="L21" s="4" t="s">
        <v>38</v>
      </c>
      <c r="M21" s="4" t="s">
        <v>39</v>
      </c>
      <c r="N21" s="4" t="s">
        <v>24</v>
      </c>
      <c r="O21">
        <v>35000</v>
      </c>
      <c r="P21">
        <v>3</v>
      </c>
      <c r="Q21">
        <v>1</v>
      </c>
      <c r="R21">
        <v>105000</v>
      </c>
      <c r="S21">
        <v>1050</v>
      </c>
      <c r="T21">
        <v>103950</v>
      </c>
    </row>
    <row r="22" spans="1:20" x14ac:dyDescent="0.25">
      <c r="A22">
        <v>21</v>
      </c>
      <c r="B22" s="5">
        <v>44948</v>
      </c>
      <c r="C22">
        <v>18</v>
      </c>
      <c r="D22">
        <v>1</v>
      </c>
      <c r="E22">
        <v>172</v>
      </c>
      <c r="F22" s="4" t="s">
        <v>86</v>
      </c>
      <c r="G22" s="4" t="s">
        <v>87</v>
      </c>
      <c r="H22" s="4" t="s">
        <v>19</v>
      </c>
      <c r="I22" s="4" t="s">
        <v>631</v>
      </c>
      <c r="J22" s="4" t="s">
        <v>27</v>
      </c>
      <c r="K22" s="4" t="s">
        <v>28</v>
      </c>
      <c r="L22" s="4" t="s">
        <v>22</v>
      </c>
      <c r="M22" s="4" t="s">
        <v>23</v>
      </c>
      <c r="N22" s="4" t="s">
        <v>24</v>
      </c>
      <c r="O22">
        <v>15000</v>
      </c>
      <c r="P22">
        <v>1</v>
      </c>
      <c r="Q22">
        <v>0</v>
      </c>
      <c r="R22">
        <v>15000</v>
      </c>
      <c r="S22">
        <v>0</v>
      </c>
      <c r="T22">
        <v>15000</v>
      </c>
    </row>
    <row r="23" spans="1:20" x14ac:dyDescent="0.25">
      <c r="A23">
        <v>22</v>
      </c>
      <c r="B23" s="5">
        <v>44949</v>
      </c>
      <c r="C23">
        <v>4</v>
      </c>
      <c r="D23">
        <v>3</v>
      </c>
      <c r="E23">
        <v>40</v>
      </c>
      <c r="F23" s="4" t="s">
        <v>88</v>
      </c>
      <c r="G23" s="4" t="s">
        <v>89</v>
      </c>
      <c r="H23" s="4" t="s">
        <v>19</v>
      </c>
      <c r="I23" s="4" t="s">
        <v>625</v>
      </c>
      <c r="J23" s="4" t="s">
        <v>52</v>
      </c>
      <c r="K23" s="4" t="s">
        <v>28</v>
      </c>
      <c r="L23" s="4" t="s">
        <v>38</v>
      </c>
      <c r="M23" s="4" t="s">
        <v>39</v>
      </c>
      <c r="N23" s="4" t="s">
        <v>24</v>
      </c>
      <c r="O23">
        <v>35000</v>
      </c>
      <c r="P23">
        <v>3</v>
      </c>
      <c r="Q23">
        <v>0</v>
      </c>
      <c r="R23">
        <v>105000</v>
      </c>
      <c r="S23">
        <v>0</v>
      </c>
      <c r="T23">
        <v>105000</v>
      </c>
    </row>
    <row r="24" spans="1:20" x14ac:dyDescent="0.25">
      <c r="A24">
        <v>23</v>
      </c>
      <c r="B24" s="5">
        <v>44950</v>
      </c>
      <c r="C24">
        <v>16</v>
      </c>
      <c r="D24">
        <v>3</v>
      </c>
      <c r="E24">
        <v>232</v>
      </c>
      <c r="F24" s="4" t="s">
        <v>90</v>
      </c>
      <c r="G24" s="4" t="s">
        <v>91</v>
      </c>
      <c r="H24" s="4" t="s">
        <v>19</v>
      </c>
      <c r="I24" s="4" t="s">
        <v>625</v>
      </c>
      <c r="J24" s="4" t="s">
        <v>20</v>
      </c>
      <c r="K24" s="4" t="s">
        <v>21</v>
      </c>
      <c r="L24" s="4" t="s">
        <v>38</v>
      </c>
      <c r="M24" s="4" t="s">
        <v>23</v>
      </c>
      <c r="N24" s="4" t="s">
        <v>24</v>
      </c>
      <c r="O24">
        <v>15000</v>
      </c>
      <c r="P24">
        <v>1</v>
      </c>
      <c r="Q24">
        <v>5</v>
      </c>
      <c r="R24">
        <v>15000</v>
      </c>
      <c r="S24">
        <v>750</v>
      </c>
      <c r="T24">
        <v>14250</v>
      </c>
    </row>
    <row r="25" spans="1:20" x14ac:dyDescent="0.25">
      <c r="A25">
        <v>24</v>
      </c>
      <c r="B25" s="5">
        <v>44951</v>
      </c>
      <c r="C25">
        <v>4</v>
      </c>
      <c r="D25">
        <v>3</v>
      </c>
      <c r="E25">
        <v>23</v>
      </c>
      <c r="F25" s="4" t="s">
        <v>92</v>
      </c>
      <c r="G25" s="4" t="s">
        <v>93</v>
      </c>
      <c r="H25" s="4" t="s">
        <v>42</v>
      </c>
      <c r="I25" s="4" t="s">
        <v>610</v>
      </c>
      <c r="J25" s="4" t="s">
        <v>52</v>
      </c>
      <c r="K25" s="4" t="s">
        <v>28</v>
      </c>
      <c r="L25" s="4" t="s">
        <v>38</v>
      </c>
      <c r="M25" s="4" t="s">
        <v>39</v>
      </c>
      <c r="N25" s="4" t="s">
        <v>24</v>
      </c>
      <c r="O25">
        <v>35000</v>
      </c>
      <c r="P25">
        <v>3</v>
      </c>
      <c r="Q25">
        <v>5</v>
      </c>
      <c r="R25">
        <v>105000</v>
      </c>
      <c r="S25">
        <v>5250</v>
      </c>
      <c r="T25">
        <v>99750</v>
      </c>
    </row>
    <row r="26" spans="1:20" x14ac:dyDescent="0.25">
      <c r="A26">
        <v>25</v>
      </c>
      <c r="B26" s="5">
        <v>44952</v>
      </c>
      <c r="C26">
        <v>52</v>
      </c>
      <c r="D26">
        <v>0</v>
      </c>
      <c r="E26">
        <v>132</v>
      </c>
      <c r="F26" s="4" t="s">
        <v>94</v>
      </c>
      <c r="G26" s="4" t="s">
        <v>95</v>
      </c>
      <c r="H26" s="4" t="s">
        <v>42</v>
      </c>
      <c r="I26" s="4" t="s">
        <v>610</v>
      </c>
      <c r="J26" s="4" t="s">
        <v>27</v>
      </c>
      <c r="K26" s="4" t="s">
        <v>28</v>
      </c>
      <c r="L26" s="4" t="s">
        <v>29</v>
      </c>
      <c r="M26" s="4" t="s">
        <v>56</v>
      </c>
      <c r="N26" s="4" t="s">
        <v>57</v>
      </c>
      <c r="O26">
        <v>25000</v>
      </c>
      <c r="P26">
        <v>3</v>
      </c>
      <c r="Q26">
        <v>0</v>
      </c>
      <c r="R26">
        <v>75000</v>
      </c>
      <c r="S26">
        <v>0</v>
      </c>
      <c r="T26">
        <v>75000</v>
      </c>
    </row>
    <row r="27" spans="1:20" x14ac:dyDescent="0.25">
      <c r="A27">
        <v>26</v>
      </c>
      <c r="B27" s="5">
        <v>44953</v>
      </c>
      <c r="C27">
        <v>49</v>
      </c>
      <c r="D27">
        <v>1</v>
      </c>
      <c r="E27">
        <v>114</v>
      </c>
      <c r="F27" s="4" t="s">
        <v>96</v>
      </c>
      <c r="G27" s="4" t="s">
        <v>97</v>
      </c>
      <c r="H27" s="4" t="s">
        <v>42</v>
      </c>
      <c r="I27" s="4" t="s">
        <v>640</v>
      </c>
      <c r="J27" s="4" t="s">
        <v>43</v>
      </c>
      <c r="K27" s="4" t="s">
        <v>43</v>
      </c>
      <c r="L27" s="4" t="s">
        <v>38</v>
      </c>
      <c r="M27" s="4" t="s">
        <v>98</v>
      </c>
      <c r="N27" s="4" t="s">
        <v>151</v>
      </c>
      <c r="O27">
        <v>55000</v>
      </c>
      <c r="P27">
        <v>1</v>
      </c>
      <c r="Q27">
        <v>1</v>
      </c>
      <c r="R27">
        <v>55000</v>
      </c>
      <c r="S27">
        <v>550</v>
      </c>
      <c r="T27">
        <v>54450</v>
      </c>
    </row>
    <row r="28" spans="1:20" x14ac:dyDescent="0.25">
      <c r="A28">
        <v>27</v>
      </c>
      <c r="B28" s="5">
        <v>44954</v>
      </c>
      <c r="C28">
        <v>36</v>
      </c>
      <c r="D28">
        <v>4</v>
      </c>
      <c r="E28">
        <v>252</v>
      </c>
      <c r="F28" s="4" t="s">
        <v>99</v>
      </c>
      <c r="G28" s="4" t="s">
        <v>100</v>
      </c>
      <c r="H28" s="4" t="s">
        <v>42</v>
      </c>
      <c r="I28" s="4" t="s">
        <v>637</v>
      </c>
      <c r="J28" s="4" t="s">
        <v>101</v>
      </c>
      <c r="K28" s="4" t="s">
        <v>109</v>
      </c>
      <c r="L28" s="4" t="s">
        <v>29</v>
      </c>
      <c r="M28" s="4" t="s">
        <v>102</v>
      </c>
      <c r="N28" s="4" t="s">
        <v>57</v>
      </c>
      <c r="O28">
        <v>12000</v>
      </c>
      <c r="P28">
        <v>1</v>
      </c>
      <c r="Q28">
        <v>0</v>
      </c>
      <c r="R28">
        <v>12000</v>
      </c>
      <c r="S28">
        <v>0</v>
      </c>
      <c r="T28">
        <v>12000</v>
      </c>
    </row>
    <row r="29" spans="1:20" x14ac:dyDescent="0.25">
      <c r="A29">
        <v>28</v>
      </c>
      <c r="B29" s="5">
        <v>44955</v>
      </c>
      <c r="C29">
        <v>70</v>
      </c>
      <c r="D29">
        <v>6</v>
      </c>
      <c r="E29">
        <v>220</v>
      </c>
      <c r="F29" s="4" t="s">
        <v>103</v>
      </c>
      <c r="G29" s="4" t="s">
        <v>104</v>
      </c>
      <c r="H29" s="4" t="s">
        <v>19</v>
      </c>
      <c r="I29" s="4" t="s">
        <v>610</v>
      </c>
      <c r="J29" s="4" t="s">
        <v>27</v>
      </c>
      <c r="K29" s="4" t="s">
        <v>28</v>
      </c>
      <c r="L29" s="4" t="s">
        <v>38</v>
      </c>
      <c r="M29" s="4" t="s">
        <v>46</v>
      </c>
      <c r="N29" s="4" t="s">
        <v>53</v>
      </c>
      <c r="O29">
        <v>750000</v>
      </c>
      <c r="P29">
        <v>2</v>
      </c>
      <c r="Q29">
        <v>0</v>
      </c>
      <c r="R29">
        <v>1500000</v>
      </c>
      <c r="S29">
        <v>0</v>
      </c>
      <c r="T29">
        <v>1500000</v>
      </c>
    </row>
    <row r="30" spans="1:20" x14ac:dyDescent="0.25">
      <c r="A30">
        <v>29</v>
      </c>
      <c r="B30" s="5">
        <v>44956</v>
      </c>
      <c r="C30">
        <v>62</v>
      </c>
      <c r="D30">
        <v>4</v>
      </c>
      <c r="E30">
        <v>110</v>
      </c>
      <c r="F30" s="4" t="s">
        <v>105</v>
      </c>
      <c r="G30" s="4" t="s">
        <v>106</v>
      </c>
      <c r="H30" s="4" t="s">
        <v>42</v>
      </c>
      <c r="I30" s="4" t="s">
        <v>641</v>
      </c>
      <c r="J30" s="4" t="s">
        <v>76</v>
      </c>
      <c r="K30" s="4" t="s">
        <v>77</v>
      </c>
      <c r="L30" s="4" t="s">
        <v>29</v>
      </c>
      <c r="M30" s="4" t="s">
        <v>102</v>
      </c>
      <c r="N30" s="4" t="s">
        <v>57</v>
      </c>
      <c r="O30">
        <v>12000</v>
      </c>
      <c r="P30">
        <v>2</v>
      </c>
      <c r="Q30">
        <v>0</v>
      </c>
      <c r="R30">
        <v>24000</v>
      </c>
      <c r="S30">
        <v>0</v>
      </c>
      <c r="T30">
        <v>24000</v>
      </c>
    </row>
    <row r="31" spans="1:20" x14ac:dyDescent="0.25">
      <c r="A31">
        <v>30</v>
      </c>
      <c r="B31" s="5">
        <v>44957</v>
      </c>
      <c r="C31">
        <v>63</v>
      </c>
      <c r="D31">
        <v>5</v>
      </c>
      <c r="E31">
        <v>122</v>
      </c>
      <c r="F31" s="4" t="s">
        <v>107</v>
      </c>
      <c r="G31" s="4" t="s">
        <v>108</v>
      </c>
      <c r="H31" s="4" t="s">
        <v>42</v>
      </c>
      <c r="I31" s="4" t="s">
        <v>616</v>
      </c>
      <c r="J31" s="4" t="s">
        <v>101</v>
      </c>
      <c r="K31" s="4" t="s">
        <v>109</v>
      </c>
      <c r="L31" s="4" t="s">
        <v>29</v>
      </c>
      <c r="M31" s="4" t="s">
        <v>39</v>
      </c>
      <c r="N31" s="4" t="s">
        <v>24</v>
      </c>
      <c r="O31">
        <v>35000</v>
      </c>
      <c r="P31">
        <v>3</v>
      </c>
      <c r="Q31">
        <v>0</v>
      </c>
      <c r="R31">
        <v>105000</v>
      </c>
      <c r="S31">
        <v>0</v>
      </c>
      <c r="T31">
        <v>105000</v>
      </c>
    </row>
    <row r="32" spans="1:20" x14ac:dyDescent="0.25">
      <c r="A32">
        <v>31</v>
      </c>
      <c r="B32" s="5">
        <v>44958</v>
      </c>
      <c r="C32">
        <v>45</v>
      </c>
      <c r="D32">
        <v>2</v>
      </c>
      <c r="E32">
        <v>162</v>
      </c>
      <c r="F32" s="4" t="s">
        <v>110</v>
      </c>
      <c r="G32" s="4" t="s">
        <v>111</v>
      </c>
      <c r="H32" s="4" t="s">
        <v>42</v>
      </c>
      <c r="I32" s="4" t="s">
        <v>621</v>
      </c>
      <c r="J32" s="4" t="s">
        <v>27</v>
      </c>
      <c r="K32" s="4" t="s">
        <v>28</v>
      </c>
      <c r="L32" s="4" t="s">
        <v>22</v>
      </c>
      <c r="M32" s="4" t="s">
        <v>62</v>
      </c>
      <c r="N32" s="4" t="s">
        <v>31</v>
      </c>
      <c r="O32">
        <v>650000</v>
      </c>
      <c r="P32">
        <v>1</v>
      </c>
      <c r="Q32">
        <v>1</v>
      </c>
      <c r="R32">
        <v>650000</v>
      </c>
      <c r="S32">
        <v>6500</v>
      </c>
      <c r="T32">
        <v>643500</v>
      </c>
    </row>
    <row r="33" spans="1:20" x14ac:dyDescent="0.25">
      <c r="A33">
        <v>32</v>
      </c>
      <c r="B33" s="5">
        <v>44959</v>
      </c>
      <c r="C33">
        <v>65</v>
      </c>
      <c r="D33">
        <v>0</v>
      </c>
      <c r="E33">
        <v>43</v>
      </c>
      <c r="F33" s="4" t="s">
        <v>112</v>
      </c>
      <c r="G33" s="4" t="s">
        <v>113</v>
      </c>
      <c r="H33" s="4" t="s">
        <v>19</v>
      </c>
      <c r="I33" s="4" t="s">
        <v>635</v>
      </c>
      <c r="J33" s="4" t="s">
        <v>101</v>
      </c>
      <c r="K33" s="4" t="s">
        <v>109</v>
      </c>
      <c r="L33" s="4" t="s">
        <v>22</v>
      </c>
      <c r="M33" s="4" t="s">
        <v>62</v>
      </c>
      <c r="N33" s="4" t="s">
        <v>31</v>
      </c>
      <c r="O33">
        <v>650000</v>
      </c>
      <c r="P33">
        <v>2</v>
      </c>
      <c r="Q33">
        <v>0</v>
      </c>
      <c r="R33">
        <v>1300000</v>
      </c>
      <c r="S33">
        <v>0</v>
      </c>
      <c r="T33">
        <v>1300000</v>
      </c>
    </row>
    <row r="34" spans="1:20" x14ac:dyDescent="0.25">
      <c r="A34">
        <v>33</v>
      </c>
      <c r="B34" s="5">
        <v>44960</v>
      </c>
      <c r="C34">
        <v>12</v>
      </c>
      <c r="D34">
        <v>0</v>
      </c>
      <c r="E34">
        <v>2</v>
      </c>
      <c r="F34" s="4" t="s">
        <v>114</v>
      </c>
      <c r="G34" s="4" t="s">
        <v>115</v>
      </c>
      <c r="H34" s="4" t="s">
        <v>19</v>
      </c>
      <c r="I34" s="4" t="s">
        <v>635</v>
      </c>
      <c r="J34" s="4" t="s">
        <v>116</v>
      </c>
      <c r="K34" s="4" t="s">
        <v>37</v>
      </c>
      <c r="L34" s="4" t="s">
        <v>38</v>
      </c>
      <c r="M34" s="4" t="s">
        <v>69</v>
      </c>
      <c r="N34" s="4" t="s">
        <v>53</v>
      </c>
      <c r="O34">
        <v>450000</v>
      </c>
      <c r="P34">
        <v>2</v>
      </c>
      <c r="Q34">
        <v>0</v>
      </c>
      <c r="R34">
        <v>900000</v>
      </c>
      <c r="S34">
        <v>0</v>
      </c>
      <c r="T34">
        <v>900000</v>
      </c>
    </row>
    <row r="35" spans="1:20" x14ac:dyDescent="0.25">
      <c r="A35">
        <v>34</v>
      </c>
      <c r="B35" s="5">
        <v>44961</v>
      </c>
      <c r="C35">
        <v>18</v>
      </c>
      <c r="D35">
        <v>1</v>
      </c>
      <c r="E35">
        <v>127</v>
      </c>
      <c r="F35" s="4" t="s">
        <v>117</v>
      </c>
      <c r="G35" s="4" t="s">
        <v>118</v>
      </c>
      <c r="H35" s="4" t="s">
        <v>42</v>
      </c>
      <c r="I35" s="4" t="s">
        <v>608</v>
      </c>
      <c r="J35" s="4" t="s">
        <v>27</v>
      </c>
      <c r="K35" s="4" t="s">
        <v>28</v>
      </c>
      <c r="L35" s="4" t="s">
        <v>38</v>
      </c>
      <c r="M35" s="4" t="s">
        <v>39</v>
      </c>
      <c r="N35" s="4" t="s">
        <v>24</v>
      </c>
      <c r="O35">
        <v>35000</v>
      </c>
      <c r="P35">
        <v>1</v>
      </c>
      <c r="Q35">
        <v>1</v>
      </c>
      <c r="R35">
        <v>35000</v>
      </c>
      <c r="S35">
        <v>350</v>
      </c>
      <c r="T35">
        <v>34650</v>
      </c>
    </row>
    <row r="36" spans="1:20" x14ac:dyDescent="0.25">
      <c r="A36">
        <v>35</v>
      </c>
      <c r="B36" s="5">
        <v>44962</v>
      </c>
      <c r="C36">
        <v>19</v>
      </c>
      <c r="D36">
        <v>5</v>
      </c>
      <c r="E36">
        <v>246</v>
      </c>
      <c r="F36" s="4" t="s">
        <v>119</v>
      </c>
      <c r="G36" s="4" t="s">
        <v>120</v>
      </c>
      <c r="H36" s="4" t="s">
        <v>19</v>
      </c>
      <c r="I36" s="4" t="s">
        <v>626</v>
      </c>
      <c r="J36" s="4" t="s">
        <v>20</v>
      </c>
      <c r="K36" s="4" t="s">
        <v>21</v>
      </c>
      <c r="L36" s="4" t="s">
        <v>22</v>
      </c>
      <c r="M36" s="4" t="s">
        <v>30</v>
      </c>
      <c r="N36" s="4" t="s">
        <v>31</v>
      </c>
      <c r="O36">
        <v>700000</v>
      </c>
      <c r="P36">
        <v>2</v>
      </c>
      <c r="Q36">
        <v>0</v>
      </c>
      <c r="R36">
        <v>1400000</v>
      </c>
      <c r="S36">
        <v>0</v>
      </c>
      <c r="T36">
        <v>1400000</v>
      </c>
    </row>
    <row r="37" spans="1:20" x14ac:dyDescent="0.25">
      <c r="A37">
        <v>36</v>
      </c>
      <c r="B37" s="5">
        <v>44963</v>
      </c>
      <c r="C37">
        <v>43</v>
      </c>
      <c r="D37">
        <v>0</v>
      </c>
      <c r="E37">
        <v>45</v>
      </c>
      <c r="F37" s="4" t="s">
        <v>121</v>
      </c>
      <c r="G37" s="4" t="s">
        <v>122</v>
      </c>
      <c r="H37" s="4" t="s">
        <v>19</v>
      </c>
      <c r="I37" s="4" t="s">
        <v>642</v>
      </c>
      <c r="J37" s="4" t="s">
        <v>34</v>
      </c>
      <c r="K37" s="4" t="s">
        <v>272</v>
      </c>
      <c r="L37" s="4" t="s">
        <v>38</v>
      </c>
      <c r="M37" s="4" t="s">
        <v>30</v>
      </c>
      <c r="N37" s="4" t="s">
        <v>31</v>
      </c>
      <c r="O37">
        <v>700000</v>
      </c>
      <c r="P37">
        <v>1</v>
      </c>
      <c r="Q37">
        <v>0</v>
      </c>
      <c r="R37">
        <v>700000</v>
      </c>
      <c r="S37">
        <v>0</v>
      </c>
      <c r="T37">
        <v>700000</v>
      </c>
    </row>
    <row r="38" spans="1:20" x14ac:dyDescent="0.25">
      <c r="A38">
        <v>37</v>
      </c>
      <c r="B38" s="5">
        <v>44964</v>
      </c>
      <c r="C38">
        <v>17</v>
      </c>
      <c r="D38">
        <v>0</v>
      </c>
      <c r="E38">
        <v>50</v>
      </c>
      <c r="F38" s="4" t="s">
        <v>63</v>
      </c>
      <c r="G38" s="4" t="s">
        <v>64</v>
      </c>
      <c r="H38" s="4" t="s">
        <v>19</v>
      </c>
      <c r="I38" s="4" t="s">
        <v>612</v>
      </c>
      <c r="J38" s="4" t="s">
        <v>34</v>
      </c>
      <c r="K38" s="4" t="s">
        <v>272</v>
      </c>
      <c r="L38" s="4" t="s">
        <v>29</v>
      </c>
      <c r="M38" s="4" t="s">
        <v>49</v>
      </c>
      <c r="N38" s="4" t="s">
        <v>31</v>
      </c>
      <c r="O38">
        <v>800000</v>
      </c>
      <c r="P38">
        <v>1</v>
      </c>
      <c r="Q38">
        <v>0</v>
      </c>
      <c r="R38">
        <v>800000</v>
      </c>
      <c r="S38">
        <v>0</v>
      </c>
      <c r="T38">
        <v>800000</v>
      </c>
    </row>
    <row r="39" spans="1:20" x14ac:dyDescent="0.25">
      <c r="A39">
        <v>38</v>
      </c>
      <c r="B39" s="5">
        <v>44965</v>
      </c>
      <c r="C39">
        <v>24</v>
      </c>
      <c r="D39">
        <v>3</v>
      </c>
      <c r="E39">
        <v>212</v>
      </c>
      <c r="F39" s="4" t="s">
        <v>123</v>
      </c>
      <c r="G39" s="4" t="s">
        <v>124</v>
      </c>
      <c r="H39" s="4" t="s">
        <v>19</v>
      </c>
      <c r="I39" s="4" t="s">
        <v>644</v>
      </c>
      <c r="J39" s="4" t="s">
        <v>84</v>
      </c>
      <c r="K39" s="4" t="s">
        <v>85</v>
      </c>
      <c r="L39" s="4" t="s">
        <v>29</v>
      </c>
      <c r="M39" s="4" t="s">
        <v>46</v>
      </c>
      <c r="N39" s="4" t="s">
        <v>53</v>
      </c>
      <c r="O39">
        <v>750000</v>
      </c>
      <c r="P39">
        <v>3</v>
      </c>
      <c r="Q39">
        <v>0</v>
      </c>
      <c r="R39">
        <v>2250000</v>
      </c>
      <c r="S39">
        <v>0</v>
      </c>
      <c r="T39">
        <v>2250000</v>
      </c>
    </row>
    <row r="40" spans="1:20" x14ac:dyDescent="0.25">
      <c r="A40">
        <v>39</v>
      </c>
      <c r="B40" s="5">
        <v>44966</v>
      </c>
      <c r="C40">
        <v>20</v>
      </c>
      <c r="D40">
        <v>0</v>
      </c>
      <c r="E40">
        <v>178</v>
      </c>
      <c r="F40" s="4" t="s">
        <v>125</v>
      </c>
      <c r="G40" s="4" t="s">
        <v>126</v>
      </c>
      <c r="H40" s="4" t="s">
        <v>42</v>
      </c>
      <c r="I40" s="4" t="s">
        <v>628</v>
      </c>
      <c r="J40" s="4" t="s">
        <v>20</v>
      </c>
      <c r="K40" s="4" t="s">
        <v>21</v>
      </c>
      <c r="L40" s="4" t="s">
        <v>22</v>
      </c>
      <c r="M40" s="4" t="s">
        <v>46</v>
      </c>
      <c r="N40" s="4" t="s">
        <v>53</v>
      </c>
      <c r="O40">
        <v>750000</v>
      </c>
      <c r="P40">
        <v>2</v>
      </c>
      <c r="Q40">
        <v>5</v>
      </c>
      <c r="R40">
        <v>1500000</v>
      </c>
      <c r="S40">
        <v>75000</v>
      </c>
      <c r="T40">
        <v>1425000</v>
      </c>
    </row>
    <row r="41" spans="1:20" x14ac:dyDescent="0.25">
      <c r="A41">
        <v>40</v>
      </c>
      <c r="B41" s="5">
        <v>44967</v>
      </c>
      <c r="C41">
        <v>10</v>
      </c>
      <c r="D41">
        <v>7</v>
      </c>
      <c r="E41">
        <v>271</v>
      </c>
      <c r="F41" s="4" t="s">
        <v>127</v>
      </c>
      <c r="G41" s="4" t="s">
        <v>128</v>
      </c>
      <c r="H41" s="4" t="s">
        <v>42</v>
      </c>
      <c r="I41" s="4" t="s">
        <v>628</v>
      </c>
      <c r="J41" s="4" t="s">
        <v>37</v>
      </c>
      <c r="K41" s="4" t="s">
        <v>37</v>
      </c>
      <c r="L41" s="4" t="s">
        <v>38</v>
      </c>
      <c r="M41" s="4" t="s">
        <v>62</v>
      </c>
      <c r="N41" s="4" t="s">
        <v>31</v>
      </c>
      <c r="O41">
        <v>650000</v>
      </c>
      <c r="P41">
        <v>1</v>
      </c>
      <c r="Q41">
        <v>0</v>
      </c>
      <c r="R41">
        <v>650000</v>
      </c>
      <c r="S41">
        <v>0</v>
      </c>
      <c r="T41">
        <v>650000</v>
      </c>
    </row>
    <row r="42" spans="1:20" x14ac:dyDescent="0.25">
      <c r="A42">
        <v>41</v>
      </c>
      <c r="B42" s="5">
        <v>44968</v>
      </c>
      <c r="C42">
        <v>25</v>
      </c>
      <c r="D42">
        <v>3</v>
      </c>
      <c r="E42">
        <v>238</v>
      </c>
      <c r="F42" s="4" t="s">
        <v>129</v>
      </c>
      <c r="G42" s="4" t="s">
        <v>130</v>
      </c>
      <c r="H42" s="4" t="s">
        <v>19</v>
      </c>
      <c r="I42" s="4" t="s">
        <v>625</v>
      </c>
      <c r="J42" s="4" t="s">
        <v>76</v>
      </c>
      <c r="K42" s="4" t="s">
        <v>77</v>
      </c>
      <c r="L42" s="4" t="s">
        <v>38</v>
      </c>
      <c r="M42" s="4" t="s">
        <v>39</v>
      </c>
      <c r="N42" s="4" t="s">
        <v>24</v>
      </c>
      <c r="O42">
        <v>35000</v>
      </c>
      <c r="P42">
        <v>1</v>
      </c>
      <c r="Q42">
        <v>0</v>
      </c>
      <c r="R42">
        <v>35000</v>
      </c>
      <c r="S42">
        <v>0</v>
      </c>
      <c r="T42">
        <v>35000</v>
      </c>
    </row>
    <row r="43" spans="1:20" x14ac:dyDescent="0.25">
      <c r="A43">
        <v>42</v>
      </c>
      <c r="B43" s="5">
        <v>44969</v>
      </c>
      <c r="C43">
        <v>23</v>
      </c>
      <c r="D43">
        <v>0</v>
      </c>
      <c r="E43">
        <v>102</v>
      </c>
      <c r="F43" s="4" t="s">
        <v>25</v>
      </c>
      <c r="G43" s="4" t="s">
        <v>26</v>
      </c>
      <c r="H43" s="4" t="s">
        <v>19</v>
      </c>
      <c r="I43" s="4" t="s">
        <v>639</v>
      </c>
      <c r="J43" s="4" t="s">
        <v>52</v>
      </c>
      <c r="K43" s="4" t="s">
        <v>28</v>
      </c>
      <c r="L43" s="4" t="s">
        <v>38</v>
      </c>
      <c r="M43" s="4" t="s">
        <v>30</v>
      </c>
      <c r="N43" s="4" t="s">
        <v>31</v>
      </c>
      <c r="O43">
        <v>700000</v>
      </c>
      <c r="P43">
        <v>3</v>
      </c>
      <c r="Q43">
        <v>0</v>
      </c>
      <c r="R43">
        <v>2100000</v>
      </c>
      <c r="S43">
        <v>0</v>
      </c>
      <c r="T43">
        <v>2100000</v>
      </c>
    </row>
    <row r="44" spans="1:20" x14ac:dyDescent="0.25">
      <c r="A44">
        <v>43</v>
      </c>
      <c r="B44" s="5">
        <v>44970</v>
      </c>
      <c r="C44">
        <v>32</v>
      </c>
      <c r="D44">
        <v>5</v>
      </c>
      <c r="E44">
        <v>254</v>
      </c>
      <c r="F44" s="4" t="s">
        <v>17</v>
      </c>
      <c r="G44" s="4" t="s">
        <v>18</v>
      </c>
      <c r="H44" s="4" t="s">
        <v>19</v>
      </c>
      <c r="I44" s="4" t="s">
        <v>619</v>
      </c>
      <c r="J44" s="4" t="s">
        <v>76</v>
      </c>
      <c r="K44" s="4" t="s">
        <v>77</v>
      </c>
      <c r="L44" s="4" t="s">
        <v>22</v>
      </c>
      <c r="M44" s="4" t="s">
        <v>69</v>
      </c>
      <c r="N44" s="4" t="s">
        <v>53</v>
      </c>
      <c r="O44">
        <v>450000</v>
      </c>
      <c r="P44">
        <v>2</v>
      </c>
      <c r="Q44">
        <v>0</v>
      </c>
      <c r="R44">
        <v>900000</v>
      </c>
      <c r="S44">
        <v>0</v>
      </c>
      <c r="T44">
        <v>900000</v>
      </c>
    </row>
    <row r="45" spans="1:20" x14ac:dyDescent="0.25">
      <c r="A45">
        <v>44</v>
      </c>
      <c r="B45" s="5">
        <v>44971</v>
      </c>
      <c r="C45">
        <v>10</v>
      </c>
      <c r="D45">
        <v>7</v>
      </c>
      <c r="E45">
        <v>41</v>
      </c>
      <c r="F45" s="4" t="s">
        <v>131</v>
      </c>
      <c r="G45" s="4" t="s">
        <v>132</v>
      </c>
      <c r="H45" s="4" t="s">
        <v>42</v>
      </c>
      <c r="I45" s="4" t="s">
        <v>636</v>
      </c>
      <c r="J45" s="4" t="s">
        <v>37</v>
      </c>
      <c r="K45" s="4" t="s">
        <v>37</v>
      </c>
      <c r="L45" s="4" t="s">
        <v>29</v>
      </c>
      <c r="M45" s="4" t="s">
        <v>98</v>
      </c>
      <c r="N45" s="4" t="s">
        <v>151</v>
      </c>
      <c r="O45">
        <v>55000</v>
      </c>
      <c r="P45">
        <v>3</v>
      </c>
      <c r="Q45">
        <v>5</v>
      </c>
      <c r="R45">
        <v>165000</v>
      </c>
      <c r="S45">
        <v>8250</v>
      </c>
      <c r="T45">
        <v>156750</v>
      </c>
    </row>
    <row r="46" spans="1:20" x14ac:dyDescent="0.25">
      <c r="A46">
        <v>45</v>
      </c>
      <c r="B46" s="5">
        <v>44972</v>
      </c>
      <c r="C46">
        <v>42</v>
      </c>
      <c r="D46">
        <v>4</v>
      </c>
      <c r="E46">
        <v>118</v>
      </c>
      <c r="F46" s="4" t="s">
        <v>133</v>
      </c>
      <c r="G46" s="4" t="s">
        <v>134</v>
      </c>
      <c r="H46" s="4" t="s">
        <v>42</v>
      </c>
      <c r="I46" s="4" t="s">
        <v>618</v>
      </c>
      <c r="J46" s="4" t="s">
        <v>27</v>
      </c>
      <c r="K46" s="4" t="s">
        <v>28</v>
      </c>
      <c r="L46" s="4" t="s">
        <v>22</v>
      </c>
      <c r="M46" s="4" t="s">
        <v>102</v>
      </c>
      <c r="N46" s="4" t="s">
        <v>57</v>
      </c>
      <c r="O46">
        <v>12000</v>
      </c>
      <c r="P46">
        <v>1</v>
      </c>
      <c r="Q46">
        <v>1</v>
      </c>
      <c r="R46">
        <v>12000</v>
      </c>
      <c r="S46">
        <v>120</v>
      </c>
      <c r="T46">
        <v>11880</v>
      </c>
    </row>
    <row r="47" spans="1:20" x14ac:dyDescent="0.25">
      <c r="A47">
        <v>46</v>
      </c>
      <c r="B47" s="5">
        <v>44973</v>
      </c>
      <c r="C47">
        <v>64</v>
      </c>
      <c r="D47">
        <v>4</v>
      </c>
      <c r="E47">
        <v>68</v>
      </c>
      <c r="F47" s="4" t="s">
        <v>135</v>
      </c>
      <c r="G47" s="4" t="s">
        <v>136</v>
      </c>
      <c r="H47" s="4" t="s">
        <v>19</v>
      </c>
      <c r="I47" s="4" t="s">
        <v>619</v>
      </c>
      <c r="J47" s="4" t="s">
        <v>20</v>
      </c>
      <c r="K47" s="4" t="s">
        <v>21</v>
      </c>
      <c r="L47" s="4" t="s">
        <v>38</v>
      </c>
      <c r="M47" s="4" t="s">
        <v>49</v>
      </c>
      <c r="N47" s="4" t="s">
        <v>31</v>
      </c>
      <c r="O47">
        <v>800000</v>
      </c>
      <c r="P47">
        <v>3</v>
      </c>
      <c r="Q47">
        <v>5</v>
      </c>
      <c r="R47">
        <v>2400000</v>
      </c>
      <c r="S47">
        <v>120000</v>
      </c>
      <c r="T47">
        <v>2280000</v>
      </c>
    </row>
    <row r="48" spans="1:20" x14ac:dyDescent="0.25">
      <c r="A48">
        <v>47</v>
      </c>
      <c r="B48" s="5">
        <v>44974</v>
      </c>
      <c r="C48">
        <v>25</v>
      </c>
      <c r="D48">
        <v>3</v>
      </c>
      <c r="E48">
        <v>268</v>
      </c>
      <c r="F48" s="4" t="s">
        <v>137</v>
      </c>
      <c r="G48" s="4" t="s">
        <v>138</v>
      </c>
      <c r="H48" s="4" t="s">
        <v>19</v>
      </c>
      <c r="I48" s="4" t="s">
        <v>642</v>
      </c>
      <c r="J48" s="4" t="s">
        <v>76</v>
      </c>
      <c r="K48" s="4" t="s">
        <v>77</v>
      </c>
      <c r="L48" s="4" t="s">
        <v>29</v>
      </c>
      <c r="M48" s="4" t="s">
        <v>69</v>
      </c>
      <c r="N48" s="4" t="s">
        <v>53</v>
      </c>
      <c r="O48">
        <v>450000</v>
      </c>
      <c r="P48">
        <v>3</v>
      </c>
      <c r="Q48">
        <v>0</v>
      </c>
      <c r="R48">
        <v>1350000</v>
      </c>
      <c r="S48">
        <v>0</v>
      </c>
      <c r="T48">
        <v>1350000</v>
      </c>
    </row>
    <row r="49" spans="1:20" x14ac:dyDescent="0.25">
      <c r="A49">
        <v>48</v>
      </c>
      <c r="B49" s="5">
        <v>44975</v>
      </c>
      <c r="C49">
        <v>37</v>
      </c>
      <c r="D49">
        <v>1</v>
      </c>
      <c r="E49">
        <v>204</v>
      </c>
      <c r="F49" s="4" t="s">
        <v>139</v>
      </c>
      <c r="G49" s="4" t="s">
        <v>140</v>
      </c>
      <c r="H49" s="4" t="s">
        <v>19</v>
      </c>
      <c r="I49" s="4" t="s">
        <v>619</v>
      </c>
      <c r="J49" s="4" t="s">
        <v>116</v>
      </c>
      <c r="K49" s="4" t="s">
        <v>37</v>
      </c>
      <c r="L49" s="4" t="s">
        <v>38</v>
      </c>
      <c r="M49" s="4" t="s">
        <v>30</v>
      </c>
      <c r="N49" s="4" t="s">
        <v>31</v>
      </c>
      <c r="O49">
        <v>700000</v>
      </c>
      <c r="P49">
        <v>2</v>
      </c>
      <c r="Q49">
        <v>0</v>
      </c>
      <c r="R49">
        <v>1400000</v>
      </c>
      <c r="S49">
        <v>0</v>
      </c>
      <c r="T49">
        <v>1400000</v>
      </c>
    </row>
    <row r="50" spans="1:20" x14ac:dyDescent="0.25">
      <c r="A50">
        <v>49</v>
      </c>
      <c r="B50" s="5">
        <v>44976</v>
      </c>
      <c r="C50">
        <v>51</v>
      </c>
      <c r="D50">
        <v>7</v>
      </c>
      <c r="E50">
        <v>239</v>
      </c>
      <c r="F50" s="4" t="s">
        <v>141</v>
      </c>
      <c r="G50" s="4" t="s">
        <v>142</v>
      </c>
      <c r="H50" s="4" t="s">
        <v>42</v>
      </c>
      <c r="I50" s="4" t="s">
        <v>643</v>
      </c>
      <c r="J50" s="4" t="s">
        <v>101</v>
      </c>
      <c r="K50" s="4" t="s">
        <v>109</v>
      </c>
      <c r="L50" s="4" t="s">
        <v>38</v>
      </c>
      <c r="M50" s="4" t="s">
        <v>102</v>
      </c>
      <c r="N50" s="4" t="s">
        <v>57</v>
      </c>
      <c r="O50">
        <v>12000</v>
      </c>
      <c r="P50">
        <v>2</v>
      </c>
      <c r="Q50">
        <v>1</v>
      </c>
      <c r="R50">
        <v>24000</v>
      </c>
      <c r="S50">
        <v>240</v>
      </c>
      <c r="T50">
        <v>23760</v>
      </c>
    </row>
    <row r="51" spans="1:20" x14ac:dyDescent="0.25">
      <c r="A51">
        <v>50</v>
      </c>
      <c r="B51" s="5">
        <v>44977</v>
      </c>
      <c r="C51">
        <v>10</v>
      </c>
      <c r="D51">
        <v>7</v>
      </c>
      <c r="E51">
        <v>30</v>
      </c>
      <c r="F51" s="4" t="s">
        <v>143</v>
      </c>
      <c r="G51" s="4" t="s">
        <v>144</v>
      </c>
      <c r="H51" s="4" t="s">
        <v>19</v>
      </c>
      <c r="I51" s="4" t="s">
        <v>611</v>
      </c>
      <c r="J51" s="4" t="s">
        <v>37</v>
      </c>
      <c r="K51" s="4" t="s">
        <v>37</v>
      </c>
      <c r="L51" s="4" t="s">
        <v>22</v>
      </c>
      <c r="M51" s="4" t="s">
        <v>23</v>
      </c>
      <c r="N51" s="4" t="s">
        <v>24</v>
      </c>
      <c r="O51">
        <v>15000</v>
      </c>
      <c r="P51">
        <v>3</v>
      </c>
      <c r="Q51">
        <v>0</v>
      </c>
      <c r="R51">
        <v>45000</v>
      </c>
      <c r="S51">
        <v>0</v>
      </c>
      <c r="T51">
        <v>45000</v>
      </c>
    </row>
    <row r="52" spans="1:20" x14ac:dyDescent="0.25">
      <c r="A52">
        <v>51</v>
      </c>
      <c r="B52" s="5">
        <v>44978</v>
      </c>
      <c r="C52">
        <v>17</v>
      </c>
      <c r="D52">
        <v>0</v>
      </c>
      <c r="E52">
        <v>221</v>
      </c>
      <c r="F52" s="4" t="s">
        <v>145</v>
      </c>
      <c r="G52" s="4" t="s">
        <v>146</v>
      </c>
      <c r="H52" s="4" t="s">
        <v>42</v>
      </c>
      <c r="I52" s="4" t="s">
        <v>647</v>
      </c>
      <c r="J52" s="4" t="s">
        <v>34</v>
      </c>
      <c r="K52" s="4" t="s">
        <v>272</v>
      </c>
      <c r="L52" s="4" t="s">
        <v>22</v>
      </c>
      <c r="M52" s="4" t="s">
        <v>39</v>
      </c>
      <c r="N52" s="4" t="s">
        <v>24</v>
      </c>
      <c r="O52">
        <v>35000</v>
      </c>
      <c r="P52">
        <v>3</v>
      </c>
      <c r="Q52">
        <v>5</v>
      </c>
      <c r="R52">
        <v>105000</v>
      </c>
      <c r="S52">
        <v>5250</v>
      </c>
      <c r="T52">
        <v>99750</v>
      </c>
    </row>
    <row r="53" spans="1:20" x14ac:dyDescent="0.25">
      <c r="A53">
        <v>52</v>
      </c>
      <c r="B53" s="5">
        <v>44979</v>
      </c>
      <c r="C53">
        <v>20</v>
      </c>
      <c r="D53">
        <v>0</v>
      </c>
      <c r="E53">
        <v>255</v>
      </c>
      <c r="F53" s="4" t="s">
        <v>54</v>
      </c>
      <c r="G53" s="4" t="s">
        <v>55</v>
      </c>
      <c r="H53" s="4" t="s">
        <v>19</v>
      </c>
      <c r="I53" s="4" t="s">
        <v>652</v>
      </c>
      <c r="J53" s="4" t="s">
        <v>20</v>
      </c>
      <c r="K53" s="4" t="s">
        <v>21</v>
      </c>
      <c r="L53" s="4" t="s">
        <v>22</v>
      </c>
      <c r="M53" s="4" t="s">
        <v>69</v>
      </c>
      <c r="N53" s="4" t="s">
        <v>53</v>
      </c>
      <c r="O53">
        <v>450000</v>
      </c>
      <c r="P53">
        <v>2</v>
      </c>
      <c r="Q53">
        <v>1</v>
      </c>
      <c r="R53">
        <v>900000</v>
      </c>
      <c r="S53">
        <v>9000</v>
      </c>
      <c r="T53">
        <v>891000</v>
      </c>
    </row>
    <row r="54" spans="1:20" x14ac:dyDescent="0.25">
      <c r="A54">
        <v>53</v>
      </c>
      <c r="B54" s="5">
        <v>44980</v>
      </c>
      <c r="C54">
        <v>5</v>
      </c>
      <c r="D54">
        <v>1</v>
      </c>
      <c r="E54">
        <v>132</v>
      </c>
      <c r="F54" s="4" t="s">
        <v>94</v>
      </c>
      <c r="G54" s="4" t="s">
        <v>95</v>
      </c>
      <c r="H54" s="4" t="s">
        <v>42</v>
      </c>
      <c r="I54" s="4" t="s">
        <v>610</v>
      </c>
      <c r="J54" s="4" t="s">
        <v>27</v>
      </c>
      <c r="K54" s="4" t="s">
        <v>28</v>
      </c>
      <c r="L54" s="4" t="s">
        <v>38</v>
      </c>
      <c r="M54" s="4" t="s">
        <v>46</v>
      </c>
      <c r="N54" s="4" t="s">
        <v>53</v>
      </c>
      <c r="O54">
        <v>750000</v>
      </c>
      <c r="P54">
        <v>1</v>
      </c>
      <c r="Q54">
        <v>0</v>
      </c>
      <c r="R54">
        <v>750000</v>
      </c>
      <c r="S54">
        <v>0</v>
      </c>
      <c r="T54">
        <v>750000</v>
      </c>
    </row>
    <row r="55" spans="1:20" x14ac:dyDescent="0.25">
      <c r="A55">
        <v>54</v>
      </c>
      <c r="B55" s="5">
        <v>44981</v>
      </c>
      <c r="C55">
        <v>48</v>
      </c>
      <c r="D55">
        <v>6</v>
      </c>
      <c r="E55">
        <v>99</v>
      </c>
      <c r="F55" s="4" t="s">
        <v>147</v>
      </c>
      <c r="G55" s="4" t="s">
        <v>148</v>
      </c>
      <c r="H55" s="4" t="s">
        <v>19</v>
      </c>
      <c r="I55" s="4" t="s">
        <v>610</v>
      </c>
      <c r="J55" s="4" t="s">
        <v>37</v>
      </c>
      <c r="K55" s="4" t="s">
        <v>37</v>
      </c>
      <c r="L55" s="4" t="s">
        <v>38</v>
      </c>
      <c r="M55" s="4" t="s">
        <v>102</v>
      </c>
      <c r="N55" s="4" t="s">
        <v>57</v>
      </c>
      <c r="O55">
        <v>12000</v>
      </c>
      <c r="P55">
        <v>3</v>
      </c>
      <c r="Q55">
        <v>0</v>
      </c>
      <c r="R55">
        <v>36000</v>
      </c>
      <c r="S55">
        <v>0</v>
      </c>
      <c r="T55">
        <v>36000</v>
      </c>
    </row>
    <row r="56" spans="1:20" x14ac:dyDescent="0.25">
      <c r="A56">
        <v>55</v>
      </c>
      <c r="B56" s="5">
        <v>44982</v>
      </c>
      <c r="C56">
        <v>60</v>
      </c>
      <c r="D56">
        <v>1</v>
      </c>
      <c r="E56">
        <v>117</v>
      </c>
      <c r="F56" s="4" t="s">
        <v>149</v>
      </c>
      <c r="G56" s="4" t="s">
        <v>150</v>
      </c>
      <c r="H56" s="4" t="s">
        <v>42</v>
      </c>
      <c r="I56" s="4"/>
      <c r="J56" s="4" t="s">
        <v>37</v>
      </c>
      <c r="K56" s="4" t="s">
        <v>37</v>
      </c>
      <c r="L56" s="4" t="s">
        <v>38</v>
      </c>
      <c r="M56" s="4" t="s">
        <v>98</v>
      </c>
      <c r="N56" s="4" t="s">
        <v>151</v>
      </c>
      <c r="O56">
        <v>55000</v>
      </c>
      <c r="P56">
        <v>3</v>
      </c>
      <c r="Q56">
        <v>0</v>
      </c>
      <c r="R56">
        <v>165000</v>
      </c>
      <c r="S56">
        <v>0</v>
      </c>
      <c r="T56">
        <v>165000</v>
      </c>
    </row>
    <row r="57" spans="1:20" x14ac:dyDescent="0.25">
      <c r="A57">
        <v>56</v>
      </c>
      <c r="B57" s="5">
        <v>44983</v>
      </c>
      <c r="C57">
        <v>16</v>
      </c>
      <c r="D57">
        <v>3</v>
      </c>
      <c r="E57">
        <v>186</v>
      </c>
      <c r="F57" s="4" t="s">
        <v>152</v>
      </c>
      <c r="G57" s="4" t="s">
        <v>153</v>
      </c>
      <c r="H57" s="4" t="s">
        <v>42</v>
      </c>
      <c r="I57" s="4" t="s">
        <v>636</v>
      </c>
      <c r="J57" s="4" t="s">
        <v>20</v>
      </c>
      <c r="K57" s="4" t="s">
        <v>21</v>
      </c>
      <c r="L57" s="4" t="s">
        <v>29</v>
      </c>
      <c r="M57" s="4" t="s">
        <v>69</v>
      </c>
      <c r="N57" s="4" t="s">
        <v>53</v>
      </c>
      <c r="O57">
        <v>450000</v>
      </c>
      <c r="P57">
        <v>1</v>
      </c>
      <c r="Q57">
        <v>1</v>
      </c>
      <c r="R57">
        <v>450000</v>
      </c>
      <c r="S57">
        <v>4500</v>
      </c>
      <c r="T57">
        <v>445500</v>
      </c>
    </row>
    <row r="58" spans="1:20" x14ac:dyDescent="0.25">
      <c r="A58">
        <v>57</v>
      </c>
      <c r="B58" s="5">
        <v>44984</v>
      </c>
      <c r="C58">
        <v>42</v>
      </c>
      <c r="D58">
        <v>4</v>
      </c>
      <c r="E58">
        <v>261</v>
      </c>
      <c r="F58" s="4" t="s">
        <v>154</v>
      </c>
      <c r="G58" s="4" t="s">
        <v>155</v>
      </c>
      <c r="H58" s="4" t="s">
        <v>19</v>
      </c>
      <c r="I58" s="4" t="s">
        <v>608</v>
      </c>
      <c r="J58" s="4" t="s">
        <v>27</v>
      </c>
      <c r="K58" s="4" t="s">
        <v>28</v>
      </c>
      <c r="L58" s="4" t="s">
        <v>38</v>
      </c>
      <c r="M58" s="4" t="s">
        <v>69</v>
      </c>
      <c r="N58" s="4" t="s">
        <v>53</v>
      </c>
      <c r="O58">
        <v>450000</v>
      </c>
      <c r="P58">
        <v>3</v>
      </c>
      <c r="Q58">
        <v>0</v>
      </c>
      <c r="R58">
        <v>1350000</v>
      </c>
      <c r="S58">
        <v>0</v>
      </c>
      <c r="T58">
        <v>1350000</v>
      </c>
    </row>
    <row r="59" spans="1:20" x14ac:dyDescent="0.25">
      <c r="A59">
        <v>58</v>
      </c>
      <c r="B59" s="5">
        <v>44985</v>
      </c>
      <c r="C59">
        <v>20</v>
      </c>
      <c r="D59">
        <v>0</v>
      </c>
      <c r="E59">
        <v>167</v>
      </c>
      <c r="F59" s="4" t="s">
        <v>156</v>
      </c>
      <c r="G59" s="4" t="s">
        <v>157</v>
      </c>
      <c r="H59" s="4" t="s">
        <v>42</v>
      </c>
      <c r="I59" s="4" t="s">
        <v>621</v>
      </c>
      <c r="J59" s="4" t="s">
        <v>20</v>
      </c>
      <c r="K59" s="4" t="s">
        <v>21</v>
      </c>
      <c r="L59" s="4" t="s">
        <v>22</v>
      </c>
      <c r="M59" s="4" t="s">
        <v>49</v>
      </c>
      <c r="N59" s="4" t="s">
        <v>31</v>
      </c>
      <c r="O59">
        <v>800000</v>
      </c>
      <c r="P59">
        <v>2</v>
      </c>
      <c r="Q59">
        <v>0</v>
      </c>
      <c r="R59">
        <v>1600000</v>
      </c>
      <c r="S59">
        <v>0</v>
      </c>
      <c r="T59">
        <v>1600000</v>
      </c>
    </row>
    <row r="60" spans="1:20" x14ac:dyDescent="0.25">
      <c r="A60">
        <v>59</v>
      </c>
      <c r="B60" s="5">
        <v>44986</v>
      </c>
      <c r="C60">
        <v>2</v>
      </c>
      <c r="D60">
        <v>2</v>
      </c>
      <c r="E60">
        <v>123</v>
      </c>
      <c r="F60" s="4" t="s">
        <v>158</v>
      </c>
      <c r="G60" s="4" t="s">
        <v>159</v>
      </c>
      <c r="H60" s="4" t="s">
        <v>19</v>
      </c>
      <c r="I60" s="4" t="s">
        <v>633</v>
      </c>
      <c r="J60" s="4" t="s">
        <v>101</v>
      </c>
      <c r="K60" s="4" t="s">
        <v>109</v>
      </c>
      <c r="L60" s="4" t="s">
        <v>22</v>
      </c>
      <c r="M60" s="4" t="s">
        <v>23</v>
      </c>
      <c r="N60" s="4" t="s">
        <v>24</v>
      </c>
      <c r="O60">
        <v>15000</v>
      </c>
      <c r="P60">
        <v>1</v>
      </c>
      <c r="Q60">
        <v>1</v>
      </c>
      <c r="R60">
        <v>15000</v>
      </c>
      <c r="S60">
        <v>150</v>
      </c>
      <c r="T60">
        <v>14850</v>
      </c>
    </row>
    <row r="61" spans="1:20" x14ac:dyDescent="0.25">
      <c r="A61">
        <v>60</v>
      </c>
      <c r="B61" s="5">
        <v>44987</v>
      </c>
      <c r="C61">
        <v>61</v>
      </c>
      <c r="D61">
        <v>3</v>
      </c>
      <c r="E61">
        <v>195</v>
      </c>
      <c r="F61" s="4" t="s">
        <v>160</v>
      </c>
      <c r="G61" s="4" t="s">
        <v>161</v>
      </c>
      <c r="H61" s="4" t="s">
        <v>42</v>
      </c>
      <c r="I61" s="4" t="s">
        <v>625</v>
      </c>
      <c r="J61" s="4" t="s">
        <v>52</v>
      </c>
      <c r="K61" s="4" t="s">
        <v>28</v>
      </c>
      <c r="L61" s="4" t="s">
        <v>29</v>
      </c>
      <c r="M61" s="4" t="s">
        <v>98</v>
      </c>
      <c r="N61" s="4" t="s">
        <v>151</v>
      </c>
      <c r="O61">
        <v>55000</v>
      </c>
      <c r="P61">
        <v>3</v>
      </c>
      <c r="Q61">
        <v>0</v>
      </c>
      <c r="R61">
        <v>165000</v>
      </c>
      <c r="S61">
        <v>0</v>
      </c>
      <c r="T61">
        <v>165000</v>
      </c>
    </row>
    <row r="62" spans="1:20" x14ac:dyDescent="0.25">
      <c r="A62">
        <v>61</v>
      </c>
      <c r="B62" s="5">
        <v>44988</v>
      </c>
      <c r="C62">
        <v>22</v>
      </c>
      <c r="D62">
        <v>1</v>
      </c>
      <c r="E62">
        <v>196</v>
      </c>
      <c r="F62" s="4" t="s">
        <v>32</v>
      </c>
      <c r="G62" s="4" t="s">
        <v>33</v>
      </c>
      <c r="H62" s="4" t="s">
        <v>19</v>
      </c>
      <c r="I62" s="4" t="s">
        <v>627</v>
      </c>
      <c r="J62" s="4" t="s">
        <v>116</v>
      </c>
      <c r="K62" s="4" t="s">
        <v>37</v>
      </c>
      <c r="L62" s="4" t="s">
        <v>38</v>
      </c>
      <c r="M62" s="4" t="s">
        <v>102</v>
      </c>
      <c r="N62" s="4" t="s">
        <v>57</v>
      </c>
      <c r="O62">
        <v>12000</v>
      </c>
      <c r="P62">
        <v>1</v>
      </c>
      <c r="Q62">
        <v>1</v>
      </c>
      <c r="R62">
        <v>12000</v>
      </c>
      <c r="S62">
        <v>120</v>
      </c>
      <c r="T62">
        <v>11880</v>
      </c>
    </row>
    <row r="63" spans="1:20" x14ac:dyDescent="0.25">
      <c r="A63">
        <v>62</v>
      </c>
      <c r="B63" s="5">
        <v>44989</v>
      </c>
      <c r="C63">
        <v>38</v>
      </c>
      <c r="D63">
        <v>8</v>
      </c>
      <c r="E63">
        <v>249</v>
      </c>
      <c r="F63" s="4" t="s">
        <v>162</v>
      </c>
      <c r="G63" s="4" t="s">
        <v>163</v>
      </c>
      <c r="H63" s="4" t="s">
        <v>42</v>
      </c>
      <c r="I63" s="4" t="s">
        <v>634</v>
      </c>
      <c r="J63" s="4" t="s">
        <v>52</v>
      </c>
      <c r="K63" s="4" t="s">
        <v>28</v>
      </c>
      <c r="L63" s="4" t="s">
        <v>22</v>
      </c>
      <c r="M63" s="4" t="s">
        <v>39</v>
      </c>
      <c r="N63" s="4" t="s">
        <v>24</v>
      </c>
      <c r="O63">
        <v>35000</v>
      </c>
      <c r="P63">
        <v>2</v>
      </c>
      <c r="Q63">
        <v>0</v>
      </c>
      <c r="R63">
        <v>70000</v>
      </c>
      <c r="S63">
        <v>0</v>
      </c>
      <c r="T63">
        <v>70000</v>
      </c>
    </row>
    <row r="64" spans="1:20" x14ac:dyDescent="0.25">
      <c r="A64">
        <v>63</v>
      </c>
      <c r="B64" s="5">
        <v>44990</v>
      </c>
      <c r="C64">
        <v>41</v>
      </c>
      <c r="D64">
        <v>4</v>
      </c>
      <c r="E64">
        <v>184</v>
      </c>
      <c r="F64" s="4" t="s">
        <v>164</v>
      </c>
      <c r="G64" s="4" t="s">
        <v>165</v>
      </c>
      <c r="H64" s="4" t="s">
        <v>19</v>
      </c>
      <c r="I64" s="4" t="s">
        <v>609</v>
      </c>
      <c r="J64" s="4" t="s">
        <v>43</v>
      </c>
      <c r="K64" s="4" t="s">
        <v>43</v>
      </c>
      <c r="L64" s="4" t="s">
        <v>29</v>
      </c>
      <c r="M64" s="4" t="s">
        <v>62</v>
      </c>
      <c r="N64" s="4" t="s">
        <v>31</v>
      </c>
      <c r="O64">
        <v>650000</v>
      </c>
      <c r="P64">
        <v>3</v>
      </c>
      <c r="Q64">
        <v>0</v>
      </c>
      <c r="R64">
        <v>1950000</v>
      </c>
      <c r="S64">
        <v>0</v>
      </c>
      <c r="T64">
        <v>1950000</v>
      </c>
    </row>
    <row r="65" spans="1:20" x14ac:dyDescent="0.25">
      <c r="A65">
        <v>64</v>
      </c>
      <c r="B65" s="5">
        <v>44991</v>
      </c>
      <c r="C65">
        <v>30</v>
      </c>
      <c r="D65">
        <v>0</v>
      </c>
      <c r="E65">
        <v>263</v>
      </c>
      <c r="F65" s="4" t="s">
        <v>166</v>
      </c>
      <c r="G65" s="4" t="s">
        <v>167</v>
      </c>
      <c r="H65" s="4" t="s">
        <v>42</v>
      </c>
      <c r="I65" s="4" t="s">
        <v>612</v>
      </c>
      <c r="J65" s="4" t="s">
        <v>37</v>
      </c>
      <c r="K65" s="4" t="s">
        <v>37</v>
      </c>
      <c r="L65" s="4" t="s">
        <v>38</v>
      </c>
      <c r="M65" s="4" t="s">
        <v>30</v>
      </c>
      <c r="N65" s="4" t="s">
        <v>31</v>
      </c>
      <c r="O65">
        <v>700000</v>
      </c>
      <c r="P65">
        <v>2</v>
      </c>
      <c r="Q65">
        <v>0</v>
      </c>
      <c r="R65">
        <v>1400000</v>
      </c>
      <c r="S65">
        <v>0</v>
      </c>
      <c r="T65">
        <v>1400000</v>
      </c>
    </row>
    <row r="66" spans="1:20" x14ac:dyDescent="0.25">
      <c r="A66">
        <v>65</v>
      </c>
      <c r="B66" s="5">
        <v>44992</v>
      </c>
      <c r="C66">
        <v>43</v>
      </c>
      <c r="D66">
        <v>0</v>
      </c>
      <c r="E66">
        <v>193</v>
      </c>
      <c r="F66" s="4" t="s">
        <v>168</v>
      </c>
      <c r="G66" s="4" t="s">
        <v>169</v>
      </c>
      <c r="H66" s="4" t="s">
        <v>19</v>
      </c>
      <c r="I66" s="4" t="s">
        <v>625</v>
      </c>
      <c r="J66" s="4" t="s">
        <v>34</v>
      </c>
      <c r="K66" s="4" t="s">
        <v>272</v>
      </c>
      <c r="L66" s="4" t="s">
        <v>22</v>
      </c>
      <c r="M66" s="4" t="s">
        <v>69</v>
      </c>
      <c r="N66" s="4" t="s">
        <v>53</v>
      </c>
      <c r="O66">
        <v>450000</v>
      </c>
      <c r="P66">
        <v>2</v>
      </c>
      <c r="Q66">
        <v>1</v>
      </c>
      <c r="R66">
        <v>900000</v>
      </c>
      <c r="S66">
        <v>9000</v>
      </c>
      <c r="T66">
        <v>891000</v>
      </c>
    </row>
    <row r="67" spans="1:20" x14ac:dyDescent="0.25">
      <c r="A67">
        <v>66</v>
      </c>
      <c r="B67" s="5">
        <v>44993</v>
      </c>
      <c r="C67">
        <v>56</v>
      </c>
      <c r="D67">
        <v>2</v>
      </c>
      <c r="E67">
        <v>176</v>
      </c>
      <c r="F67" s="4" t="s">
        <v>170</v>
      </c>
      <c r="G67" s="4" t="s">
        <v>171</v>
      </c>
      <c r="H67" s="4" t="s">
        <v>42</v>
      </c>
      <c r="I67" s="4" t="s">
        <v>621</v>
      </c>
      <c r="J67" s="4" t="s">
        <v>27</v>
      </c>
      <c r="K67" s="4" t="s">
        <v>28</v>
      </c>
      <c r="L67" s="4" t="s">
        <v>22</v>
      </c>
      <c r="M67" s="4" t="s">
        <v>39</v>
      </c>
      <c r="N67" s="4" t="s">
        <v>24</v>
      </c>
      <c r="O67">
        <v>35000</v>
      </c>
      <c r="P67">
        <v>2</v>
      </c>
      <c r="Q67">
        <v>0</v>
      </c>
      <c r="R67">
        <v>70000</v>
      </c>
      <c r="S67">
        <v>0</v>
      </c>
      <c r="T67">
        <v>70000</v>
      </c>
    </row>
    <row r="68" spans="1:20" x14ac:dyDescent="0.25">
      <c r="A68">
        <v>67</v>
      </c>
      <c r="B68" s="5">
        <v>44994</v>
      </c>
      <c r="C68">
        <v>40</v>
      </c>
      <c r="D68">
        <v>1</v>
      </c>
      <c r="E68">
        <v>222</v>
      </c>
      <c r="F68" s="4" t="s">
        <v>172</v>
      </c>
      <c r="G68" s="4" t="s">
        <v>173</v>
      </c>
      <c r="H68" s="4" t="s">
        <v>42</v>
      </c>
      <c r="I68" s="4" t="s">
        <v>612</v>
      </c>
      <c r="J68" s="4" t="s">
        <v>27</v>
      </c>
      <c r="K68" s="4" t="s">
        <v>28</v>
      </c>
      <c r="L68" s="4" t="s">
        <v>29</v>
      </c>
      <c r="M68" s="4" t="s">
        <v>49</v>
      </c>
      <c r="N68" s="4" t="s">
        <v>31</v>
      </c>
      <c r="O68">
        <v>800000</v>
      </c>
      <c r="P68">
        <v>3</v>
      </c>
      <c r="Q68">
        <v>1</v>
      </c>
      <c r="R68">
        <v>2400000</v>
      </c>
      <c r="S68">
        <v>24000</v>
      </c>
      <c r="T68">
        <v>2376000</v>
      </c>
    </row>
    <row r="69" spans="1:20" x14ac:dyDescent="0.25">
      <c r="A69">
        <v>68</v>
      </c>
      <c r="B69" s="5">
        <v>44995</v>
      </c>
      <c r="C69">
        <v>42</v>
      </c>
      <c r="D69">
        <v>4</v>
      </c>
      <c r="E69">
        <v>260</v>
      </c>
      <c r="F69" s="4" t="s">
        <v>174</v>
      </c>
      <c r="G69" s="4" t="s">
        <v>175</v>
      </c>
      <c r="H69" s="4" t="s">
        <v>42</v>
      </c>
      <c r="I69" s="4" t="s">
        <v>621</v>
      </c>
      <c r="J69" s="4" t="s">
        <v>27</v>
      </c>
      <c r="K69" s="4" t="s">
        <v>28</v>
      </c>
      <c r="L69" s="4" t="s">
        <v>38</v>
      </c>
      <c r="M69" s="4" t="s">
        <v>56</v>
      </c>
      <c r="N69" s="4" t="s">
        <v>57</v>
      </c>
      <c r="O69">
        <v>25000</v>
      </c>
      <c r="P69">
        <v>3</v>
      </c>
      <c r="Q69">
        <v>0</v>
      </c>
      <c r="R69">
        <v>75000</v>
      </c>
      <c r="S69">
        <v>0</v>
      </c>
      <c r="T69">
        <v>75000</v>
      </c>
    </row>
    <row r="70" spans="1:20" x14ac:dyDescent="0.25">
      <c r="A70">
        <v>69</v>
      </c>
      <c r="B70" s="5">
        <v>44996</v>
      </c>
      <c r="C70">
        <v>30</v>
      </c>
      <c r="D70">
        <v>0</v>
      </c>
      <c r="E70">
        <v>148</v>
      </c>
      <c r="F70" s="4" t="s">
        <v>176</v>
      </c>
      <c r="G70" s="4" t="s">
        <v>177</v>
      </c>
      <c r="H70" s="4" t="s">
        <v>19</v>
      </c>
      <c r="I70" s="4" t="s">
        <v>624</v>
      </c>
      <c r="J70" s="4" t="s">
        <v>37</v>
      </c>
      <c r="K70" s="4" t="s">
        <v>37</v>
      </c>
      <c r="L70" s="4" t="s">
        <v>29</v>
      </c>
      <c r="M70" s="4" t="s">
        <v>49</v>
      </c>
      <c r="N70" s="4" t="s">
        <v>31</v>
      </c>
      <c r="O70">
        <v>800000</v>
      </c>
      <c r="P70">
        <v>2</v>
      </c>
      <c r="Q70">
        <v>1</v>
      </c>
      <c r="R70">
        <v>1600000</v>
      </c>
      <c r="S70">
        <v>16000</v>
      </c>
      <c r="T70">
        <v>1584000</v>
      </c>
    </row>
    <row r="71" spans="1:20" x14ac:dyDescent="0.25">
      <c r="A71">
        <v>70</v>
      </c>
      <c r="B71" s="5">
        <v>44997</v>
      </c>
      <c r="C71">
        <v>41</v>
      </c>
      <c r="D71">
        <v>4</v>
      </c>
      <c r="E71">
        <v>103</v>
      </c>
      <c r="F71" s="4" t="s">
        <v>178</v>
      </c>
      <c r="G71" s="4" t="s">
        <v>179</v>
      </c>
      <c r="H71" s="4" t="s">
        <v>19</v>
      </c>
      <c r="I71" s="4" t="s">
        <v>626</v>
      </c>
      <c r="J71" s="4" t="s">
        <v>43</v>
      </c>
      <c r="K71" s="4" t="s">
        <v>43</v>
      </c>
      <c r="L71" s="4" t="s">
        <v>29</v>
      </c>
      <c r="M71" s="4" t="s">
        <v>102</v>
      </c>
      <c r="N71" s="4" t="s">
        <v>57</v>
      </c>
      <c r="O71">
        <v>12000</v>
      </c>
      <c r="P71">
        <v>1</v>
      </c>
      <c r="Q71">
        <v>5</v>
      </c>
      <c r="R71">
        <v>12000</v>
      </c>
      <c r="S71">
        <v>600</v>
      </c>
      <c r="T71">
        <v>11400</v>
      </c>
    </row>
    <row r="72" spans="1:20" x14ac:dyDescent="0.25">
      <c r="A72">
        <v>71</v>
      </c>
      <c r="B72" s="5">
        <v>44998</v>
      </c>
      <c r="C72">
        <v>14</v>
      </c>
      <c r="D72">
        <v>0</v>
      </c>
      <c r="E72">
        <v>44</v>
      </c>
      <c r="F72" s="4" t="s">
        <v>180</v>
      </c>
      <c r="G72" s="4" t="s">
        <v>181</v>
      </c>
      <c r="H72" s="4" t="s">
        <v>19</v>
      </c>
      <c r="I72" s="4" t="s">
        <v>611</v>
      </c>
      <c r="J72" s="4" t="s">
        <v>34</v>
      </c>
      <c r="K72" s="4" t="s">
        <v>272</v>
      </c>
      <c r="L72" s="4" t="s">
        <v>38</v>
      </c>
      <c r="M72" s="4" t="s">
        <v>30</v>
      </c>
      <c r="N72" s="4" t="s">
        <v>31</v>
      </c>
      <c r="O72">
        <v>700000</v>
      </c>
      <c r="P72">
        <v>3</v>
      </c>
      <c r="Q72">
        <v>0</v>
      </c>
      <c r="R72">
        <v>2100000</v>
      </c>
      <c r="S72">
        <v>0</v>
      </c>
      <c r="T72">
        <v>2100000</v>
      </c>
    </row>
    <row r="73" spans="1:20" x14ac:dyDescent="0.25">
      <c r="A73">
        <v>72</v>
      </c>
      <c r="B73" s="5">
        <v>44999</v>
      </c>
      <c r="C73">
        <v>35</v>
      </c>
      <c r="D73">
        <v>1</v>
      </c>
      <c r="E73">
        <v>165</v>
      </c>
      <c r="F73" s="4" t="s">
        <v>182</v>
      </c>
      <c r="G73" s="4" t="s">
        <v>183</v>
      </c>
      <c r="H73" s="4" t="s">
        <v>42</v>
      </c>
      <c r="I73" s="4" t="s">
        <v>637</v>
      </c>
      <c r="J73" s="4" t="s">
        <v>43</v>
      </c>
      <c r="K73" s="4" t="s">
        <v>43</v>
      </c>
      <c r="L73" s="4" t="s">
        <v>38</v>
      </c>
      <c r="M73" s="4" t="s">
        <v>62</v>
      </c>
      <c r="N73" s="4" t="s">
        <v>31</v>
      </c>
      <c r="O73">
        <v>650000</v>
      </c>
      <c r="P73">
        <v>2</v>
      </c>
      <c r="Q73">
        <v>1</v>
      </c>
      <c r="R73">
        <v>1300000</v>
      </c>
      <c r="S73">
        <v>13000</v>
      </c>
      <c r="T73">
        <v>1287000</v>
      </c>
    </row>
    <row r="74" spans="1:20" x14ac:dyDescent="0.25">
      <c r="A74">
        <v>73</v>
      </c>
      <c r="B74" s="5">
        <v>45000</v>
      </c>
      <c r="C74">
        <v>68</v>
      </c>
      <c r="D74">
        <v>2</v>
      </c>
      <c r="E74">
        <v>144</v>
      </c>
      <c r="F74" s="4" t="s">
        <v>184</v>
      </c>
      <c r="G74" s="4" t="s">
        <v>185</v>
      </c>
      <c r="H74" s="4" t="s">
        <v>42</v>
      </c>
      <c r="I74" s="4" t="s">
        <v>625</v>
      </c>
      <c r="J74" s="4" t="s">
        <v>34</v>
      </c>
      <c r="K74" s="4" t="s">
        <v>272</v>
      </c>
      <c r="L74" s="4" t="s">
        <v>38</v>
      </c>
      <c r="M74" s="4" t="s">
        <v>46</v>
      </c>
      <c r="N74" s="4" t="s">
        <v>53</v>
      </c>
      <c r="O74">
        <v>750000</v>
      </c>
      <c r="P74">
        <v>2</v>
      </c>
      <c r="Q74">
        <v>0</v>
      </c>
      <c r="R74">
        <v>1500000</v>
      </c>
      <c r="S74">
        <v>0</v>
      </c>
      <c r="T74">
        <v>1500000</v>
      </c>
    </row>
    <row r="75" spans="1:20" x14ac:dyDescent="0.25">
      <c r="A75">
        <v>74</v>
      </c>
      <c r="B75" s="5">
        <v>45001</v>
      </c>
      <c r="C75">
        <v>33</v>
      </c>
      <c r="D75">
        <v>13</v>
      </c>
      <c r="E75">
        <v>26</v>
      </c>
      <c r="F75" s="4" t="s">
        <v>186</v>
      </c>
      <c r="G75" s="4" t="s">
        <v>187</v>
      </c>
      <c r="H75" s="4" t="s">
        <v>42</v>
      </c>
      <c r="I75" s="4" t="s">
        <v>622</v>
      </c>
      <c r="J75" s="4" t="s">
        <v>101</v>
      </c>
      <c r="K75" s="4" t="s">
        <v>109</v>
      </c>
      <c r="L75" s="4" t="s">
        <v>38</v>
      </c>
      <c r="M75" s="4" t="s">
        <v>46</v>
      </c>
      <c r="N75" s="4" t="s">
        <v>53</v>
      </c>
      <c r="O75">
        <v>750000</v>
      </c>
      <c r="P75">
        <v>2</v>
      </c>
      <c r="Q75">
        <v>0</v>
      </c>
      <c r="R75">
        <v>1500000</v>
      </c>
      <c r="S75">
        <v>0</v>
      </c>
      <c r="T75">
        <v>1500000</v>
      </c>
    </row>
    <row r="76" spans="1:20" x14ac:dyDescent="0.25">
      <c r="A76">
        <v>75</v>
      </c>
      <c r="B76" s="5">
        <v>45002</v>
      </c>
      <c r="C76">
        <v>43</v>
      </c>
      <c r="D76">
        <v>0</v>
      </c>
      <c r="E76">
        <v>69</v>
      </c>
      <c r="F76" s="4" t="s">
        <v>188</v>
      </c>
      <c r="G76" s="4" t="s">
        <v>189</v>
      </c>
      <c r="H76" s="4" t="s">
        <v>42</v>
      </c>
      <c r="I76" s="4" t="s">
        <v>627</v>
      </c>
      <c r="J76" s="4" t="s">
        <v>34</v>
      </c>
      <c r="K76" s="4" t="s">
        <v>272</v>
      </c>
      <c r="L76" s="4" t="s">
        <v>29</v>
      </c>
      <c r="M76" s="4" t="s">
        <v>23</v>
      </c>
      <c r="N76" s="4" t="s">
        <v>24</v>
      </c>
      <c r="O76">
        <v>15000</v>
      </c>
      <c r="P76">
        <v>1</v>
      </c>
      <c r="Q76">
        <v>0</v>
      </c>
      <c r="R76">
        <v>15000</v>
      </c>
      <c r="S76">
        <v>0</v>
      </c>
      <c r="T76">
        <v>15000</v>
      </c>
    </row>
    <row r="77" spans="1:20" x14ac:dyDescent="0.25">
      <c r="A77">
        <v>76</v>
      </c>
      <c r="B77" s="5">
        <v>45003</v>
      </c>
      <c r="C77">
        <v>3</v>
      </c>
      <c r="D77">
        <v>1</v>
      </c>
      <c r="E77">
        <v>137</v>
      </c>
      <c r="F77" s="4" t="s">
        <v>190</v>
      </c>
      <c r="G77" s="4" t="s">
        <v>191</v>
      </c>
      <c r="H77" s="4" t="s">
        <v>19</v>
      </c>
      <c r="I77" s="4" t="s">
        <v>631</v>
      </c>
      <c r="J77" s="4" t="s">
        <v>37</v>
      </c>
      <c r="K77" s="4" t="s">
        <v>37</v>
      </c>
      <c r="L77" s="4" t="s">
        <v>29</v>
      </c>
      <c r="M77" s="4" t="s">
        <v>62</v>
      </c>
      <c r="N77" s="4" t="s">
        <v>31</v>
      </c>
      <c r="O77">
        <v>650000</v>
      </c>
      <c r="P77">
        <v>3</v>
      </c>
      <c r="Q77">
        <v>0</v>
      </c>
      <c r="R77">
        <v>1950000</v>
      </c>
      <c r="S77">
        <v>0</v>
      </c>
      <c r="T77">
        <v>1950000</v>
      </c>
    </row>
    <row r="78" spans="1:20" x14ac:dyDescent="0.25">
      <c r="A78">
        <v>77</v>
      </c>
      <c r="B78" s="5">
        <v>45004</v>
      </c>
      <c r="C78">
        <v>15</v>
      </c>
      <c r="D78">
        <v>0</v>
      </c>
      <c r="E78">
        <v>162</v>
      </c>
      <c r="F78" s="4" t="s">
        <v>110</v>
      </c>
      <c r="G78" s="4" t="s">
        <v>111</v>
      </c>
      <c r="H78" s="4" t="s">
        <v>42</v>
      </c>
      <c r="I78" s="4" t="s">
        <v>621</v>
      </c>
      <c r="J78" s="4" t="s">
        <v>34</v>
      </c>
      <c r="K78" s="4" t="s">
        <v>272</v>
      </c>
      <c r="L78" s="4" t="s">
        <v>29</v>
      </c>
      <c r="M78" s="4" t="s">
        <v>62</v>
      </c>
      <c r="N78" s="4" t="s">
        <v>31</v>
      </c>
      <c r="O78">
        <v>650000</v>
      </c>
      <c r="P78">
        <v>3</v>
      </c>
      <c r="Q78">
        <v>0</v>
      </c>
      <c r="R78">
        <v>1950000</v>
      </c>
      <c r="S78">
        <v>0</v>
      </c>
      <c r="T78">
        <v>1950000</v>
      </c>
    </row>
    <row r="79" spans="1:20" x14ac:dyDescent="0.25">
      <c r="A79">
        <v>78</v>
      </c>
      <c r="B79" s="5">
        <v>45005</v>
      </c>
      <c r="C79">
        <v>65</v>
      </c>
      <c r="D79">
        <v>0</v>
      </c>
      <c r="E79">
        <v>110</v>
      </c>
      <c r="F79" s="4" t="s">
        <v>105</v>
      </c>
      <c r="G79" s="4" t="s">
        <v>106</v>
      </c>
      <c r="H79" s="4" t="s">
        <v>42</v>
      </c>
      <c r="I79" s="4" t="s">
        <v>641</v>
      </c>
      <c r="J79" s="4" t="s">
        <v>101</v>
      </c>
      <c r="K79" s="4" t="s">
        <v>109</v>
      </c>
      <c r="L79" s="4" t="s">
        <v>22</v>
      </c>
      <c r="M79" s="4" t="s">
        <v>49</v>
      </c>
      <c r="N79" s="4" t="s">
        <v>31</v>
      </c>
      <c r="O79">
        <v>800000</v>
      </c>
      <c r="P79">
        <v>1</v>
      </c>
      <c r="Q79">
        <v>1</v>
      </c>
      <c r="R79">
        <v>800000</v>
      </c>
      <c r="S79">
        <v>8000</v>
      </c>
      <c r="T79">
        <v>792000</v>
      </c>
    </row>
    <row r="80" spans="1:20" x14ac:dyDescent="0.25">
      <c r="A80">
        <v>79</v>
      </c>
      <c r="B80" s="5">
        <v>45006</v>
      </c>
      <c r="C80">
        <v>16</v>
      </c>
      <c r="D80">
        <v>3</v>
      </c>
      <c r="E80">
        <v>226</v>
      </c>
      <c r="F80" s="4" t="s">
        <v>192</v>
      </c>
      <c r="G80" s="4" t="s">
        <v>193</v>
      </c>
      <c r="H80" s="4" t="s">
        <v>19</v>
      </c>
      <c r="I80" s="4" t="s">
        <v>644</v>
      </c>
      <c r="J80" s="4" t="s">
        <v>20</v>
      </c>
      <c r="K80" s="4" t="s">
        <v>21</v>
      </c>
      <c r="L80" s="4" t="s">
        <v>22</v>
      </c>
      <c r="M80" s="4" t="s">
        <v>39</v>
      </c>
      <c r="N80" s="4" t="s">
        <v>24</v>
      </c>
      <c r="O80">
        <v>35000</v>
      </c>
      <c r="P80">
        <v>1</v>
      </c>
      <c r="Q80">
        <v>0</v>
      </c>
      <c r="R80">
        <v>35000</v>
      </c>
      <c r="S80">
        <v>0</v>
      </c>
      <c r="T80">
        <v>35000</v>
      </c>
    </row>
    <row r="81" spans="1:20" x14ac:dyDescent="0.25">
      <c r="A81">
        <v>80</v>
      </c>
      <c r="B81" s="5">
        <v>45007</v>
      </c>
      <c r="C81">
        <v>39</v>
      </c>
      <c r="D81">
        <v>6</v>
      </c>
      <c r="E81">
        <v>121</v>
      </c>
      <c r="F81" s="4" t="s">
        <v>194</v>
      </c>
      <c r="G81" s="4" t="s">
        <v>195</v>
      </c>
      <c r="H81" s="4" t="s">
        <v>19</v>
      </c>
      <c r="I81" s="4" t="s">
        <v>621</v>
      </c>
      <c r="J81" s="4" t="s">
        <v>43</v>
      </c>
      <c r="K81" s="4" t="s">
        <v>43</v>
      </c>
      <c r="L81" s="4" t="s">
        <v>38</v>
      </c>
      <c r="M81" s="4" t="s">
        <v>62</v>
      </c>
      <c r="N81" s="4" t="s">
        <v>31</v>
      </c>
      <c r="O81">
        <v>650000</v>
      </c>
      <c r="P81">
        <v>2</v>
      </c>
      <c r="Q81">
        <v>1</v>
      </c>
      <c r="R81">
        <v>1300000</v>
      </c>
      <c r="S81">
        <v>13000</v>
      </c>
      <c r="T81">
        <v>1287000</v>
      </c>
    </row>
    <row r="82" spans="1:20" x14ac:dyDescent="0.25">
      <c r="A82">
        <v>81</v>
      </c>
      <c r="B82" s="5">
        <v>45008</v>
      </c>
      <c r="C82">
        <v>23</v>
      </c>
      <c r="D82">
        <v>0</v>
      </c>
      <c r="E82">
        <v>221</v>
      </c>
      <c r="F82" s="4" t="s">
        <v>145</v>
      </c>
      <c r="G82" s="4" t="s">
        <v>146</v>
      </c>
      <c r="H82" s="4" t="s">
        <v>42</v>
      </c>
      <c r="I82" s="4" t="s">
        <v>647</v>
      </c>
      <c r="J82" s="4" t="s">
        <v>52</v>
      </c>
      <c r="K82" s="4" t="s">
        <v>28</v>
      </c>
      <c r="L82" s="4" t="s">
        <v>29</v>
      </c>
      <c r="M82" s="4" t="s">
        <v>98</v>
      </c>
      <c r="N82" s="4" t="s">
        <v>151</v>
      </c>
      <c r="O82">
        <v>55000</v>
      </c>
      <c r="P82">
        <v>3</v>
      </c>
      <c r="Q82">
        <v>0</v>
      </c>
      <c r="R82">
        <v>165000</v>
      </c>
      <c r="S82">
        <v>0</v>
      </c>
      <c r="T82">
        <v>165000</v>
      </c>
    </row>
    <row r="83" spans="1:20" x14ac:dyDescent="0.25">
      <c r="A83">
        <v>82</v>
      </c>
      <c r="B83" s="5">
        <v>45009</v>
      </c>
      <c r="C83">
        <v>54</v>
      </c>
      <c r="D83">
        <v>9</v>
      </c>
      <c r="E83">
        <v>145</v>
      </c>
      <c r="F83" s="4" t="s">
        <v>196</v>
      </c>
      <c r="G83" s="4" t="s">
        <v>197</v>
      </c>
      <c r="H83" s="4" t="s">
        <v>19</v>
      </c>
      <c r="I83" s="4" t="s">
        <v>623</v>
      </c>
      <c r="J83" s="4" t="s">
        <v>27</v>
      </c>
      <c r="K83" s="4" t="s">
        <v>28</v>
      </c>
      <c r="L83" s="4" t="s">
        <v>29</v>
      </c>
      <c r="M83" s="4" t="s">
        <v>46</v>
      </c>
      <c r="N83" s="4" t="s">
        <v>53</v>
      </c>
      <c r="O83">
        <v>750000</v>
      </c>
      <c r="P83">
        <v>3</v>
      </c>
      <c r="Q83">
        <v>0</v>
      </c>
      <c r="R83">
        <v>2250000</v>
      </c>
      <c r="S83">
        <v>0</v>
      </c>
      <c r="T83">
        <v>2250000</v>
      </c>
    </row>
    <row r="84" spans="1:20" x14ac:dyDescent="0.25">
      <c r="A84">
        <v>83</v>
      </c>
      <c r="B84" s="5">
        <v>45010</v>
      </c>
      <c r="C84">
        <v>26</v>
      </c>
      <c r="D84">
        <v>6</v>
      </c>
      <c r="E84">
        <v>80</v>
      </c>
      <c r="F84" s="4" t="s">
        <v>198</v>
      </c>
      <c r="G84" s="4" t="s">
        <v>199</v>
      </c>
      <c r="H84" s="4" t="s">
        <v>42</v>
      </c>
      <c r="I84" s="4" t="s">
        <v>612</v>
      </c>
      <c r="J84" s="4" t="s">
        <v>101</v>
      </c>
      <c r="K84" s="4" t="s">
        <v>109</v>
      </c>
      <c r="L84" s="4" t="s">
        <v>29</v>
      </c>
      <c r="M84" s="4" t="s">
        <v>98</v>
      </c>
      <c r="N84" s="4" t="s">
        <v>151</v>
      </c>
      <c r="O84">
        <v>55000</v>
      </c>
      <c r="P84">
        <v>3</v>
      </c>
      <c r="Q84">
        <v>5</v>
      </c>
      <c r="R84">
        <v>165000</v>
      </c>
      <c r="S84">
        <v>8250</v>
      </c>
      <c r="T84">
        <v>156750</v>
      </c>
    </row>
    <row r="85" spans="1:20" x14ac:dyDescent="0.25">
      <c r="A85">
        <v>84</v>
      </c>
      <c r="B85" s="5">
        <v>45011</v>
      </c>
      <c r="C85">
        <v>39</v>
      </c>
      <c r="D85">
        <v>6</v>
      </c>
      <c r="E85">
        <v>68</v>
      </c>
      <c r="F85" s="4" t="s">
        <v>135</v>
      </c>
      <c r="G85" s="4" t="s">
        <v>136</v>
      </c>
      <c r="H85" s="4" t="s">
        <v>19</v>
      </c>
      <c r="I85" s="4" t="s">
        <v>619</v>
      </c>
      <c r="J85" s="4" t="s">
        <v>43</v>
      </c>
      <c r="K85" s="4" t="s">
        <v>43</v>
      </c>
      <c r="L85" s="4" t="s">
        <v>38</v>
      </c>
      <c r="M85" s="4" t="s">
        <v>46</v>
      </c>
      <c r="N85" s="4" t="s">
        <v>53</v>
      </c>
      <c r="O85">
        <v>750000</v>
      </c>
      <c r="P85">
        <v>2</v>
      </c>
      <c r="Q85">
        <v>1</v>
      </c>
      <c r="R85">
        <v>1500000</v>
      </c>
      <c r="S85">
        <v>15000</v>
      </c>
      <c r="T85">
        <v>1485000</v>
      </c>
    </row>
    <row r="86" spans="1:20" x14ac:dyDescent="0.25">
      <c r="A86">
        <v>85</v>
      </c>
      <c r="B86" s="5">
        <v>45012</v>
      </c>
      <c r="C86">
        <v>47</v>
      </c>
      <c r="D86">
        <v>1</v>
      </c>
      <c r="E86">
        <v>38</v>
      </c>
      <c r="F86" s="4" t="s">
        <v>200</v>
      </c>
      <c r="G86" s="4" t="s">
        <v>201</v>
      </c>
      <c r="H86" s="4" t="s">
        <v>19</v>
      </c>
      <c r="I86" s="4" t="s">
        <v>612</v>
      </c>
      <c r="J86" s="4" t="s">
        <v>116</v>
      </c>
      <c r="K86" s="4" t="s">
        <v>37</v>
      </c>
      <c r="L86" s="4" t="s">
        <v>38</v>
      </c>
      <c r="M86" s="4" t="s">
        <v>69</v>
      </c>
      <c r="N86" s="4" t="s">
        <v>53</v>
      </c>
      <c r="O86">
        <v>450000</v>
      </c>
      <c r="P86">
        <v>1</v>
      </c>
      <c r="Q86">
        <v>1</v>
      </c>
      <c r="R86">
        <v>450000</v>
      </c>
      <c r="S86">
        <v>4500</v>
      </c>
      <c r="T86">
        <v>445500</v>
      </c>
    </row>
    <row r="87" spans="1:20" x14ac:dyDescent="0.25">
      <c r="A87">
        <v>86</v>
      </c>
      <c r="B87" s="5">
        <v>45013</v>
      </c>
      <c r="C87">
        <v>67</v>
      </c>
      <c r="D87">
        <v>0</v>
      </c>
      <c r="E87">
        <v>191</v>
      </c>
      <c r="F87" s="4" t="s">
        <v>202</v>
      </c>
      <c r="G87" s="4" t="s">
        <v>203</v>
      </c>
      <c r="H87" s="4" t="s">
        <v>42</v>
      </c>
      <c r="I87" s="4" t="s">
        <v>639</v>
      </c>
      <c r="J87" s="4" t="s">
        <v>27</v>
      </c>
      <c r="K87" s="4" t="s">
        <v>28</v>
      </c>
      <c r="L87" s="4" t="s">
        <v>22</v>
      </c>
      <c r="M87" s="4" t="s">
        <v>49</v>
      </c>
      <c r="N87" s="4" t="s">
        <v>31</v>
      </c>
      <c r="O87">
        <v>800000</v>
      </c>
      <c r="P87">
        <v>1</v>
      </c>
      <c r="Q87">
        <v>0</v>
      </c>
      <c r="R87">
        <v>800000</v>
      </c>
      <c r="S87">
        <v>0</v>
      </c>
      <c r="T87">
        <v>800000</v>
      </c>
    </row>
    <row r="88" spans="1:20" x14ac:dyDescent="0.25">
      <c r="A88">
        <v>87</v>
      </c>
      <c r="B88" s="5">
        <v>45014</v>
      </c>
      <c r="C88">
        <v>2</v>
      </c>
      <c r="D88">
        <v>2</v>
      </c>
      <c r="E88">
        <v>58</v>
      </c>
      <c r="F88" s="4" t="s">
        <v>204</v>
      </c>
      <c r="G88" s="4" t="s">
        <v>205</v>
      </c>
      <c r="H88" s="4" t="s">
        <v>19</v>
      </c>
      <c r="I88" s="4" t="s">
        <v>611</v>
      </c>
      <c r="J88" s="4" t="s">
        <v>101</v>
      </c>
      <c r="K88" s="4" t="s">
        <v>109</v>
      </c>
      <c r="L88" s="4" t="s">
        <v>38</v>
      </c>
      <c r="M88" s="4" t="s">
        <v>69</v>
      </c>
      <c r="N88" s="4" t="s">
        <v>53</v>
      </c>
      <c r="O88">
        <v>450000</v>
      </c>
      <c r="P88">
        <v>2</v>
      </c>
      <c r="Q88">
        <v>5</v>
      </c>
      <c r="R88">
        <v>900000</v>
      </c>
      <c r="S88">
        <v>45000</v>
      </c>
      <c r="T88">
        <v>855000</v>
      </c>
    </row>
    <row r="89" spans="1:20" x14ac:dyDescent="0.25">
      <c r="A89">
        <v>88</v>
      </c>
      <c r="B89" s="5">
        <v>45015</v>
      </c>
      <c r="C89">
        <v>68</v>
      </c>
      <c r="D89">
        <v>2</v>
      </c>
      <c r="E89">
        <v>125</v>
      </c>
      <c r="F89" s="4" t="s">
        <v>206</v>
      </c>
      <c r="G89" s="4" t="s">
        <v>207</v>
      </c>
      <c r="H89" s="4" t="s">
        <v>42</v>
      </c>
      <c r="I89" s="4" t="s">
        <v>617</v>
      </c>
      <c r="J89" s="4" t="s">
        <v>34</v>
      </c>
      <c r="K89" s="4" t="s">
        <v>272</v>
      </c>
      <c r="L89" s="4" t="s">
        <v>38</v>
      </c>
      <c r="M89" s="4" t="s">
        <v>56</v>
      </c>
      <c r="N89" s="4" t="s">
        <v>57</v>
      </c>
      <c r="O89">
        <v>25000</v>
      </c>
      <c r="P89">
        <v>1</v>
      </c>
      <c r="Q89">
        <v>0</v>
      </c>
      <c r="R89">
        <v>25000</v>
      </c>
      <c r="S89">
        <v>0</v>
      </c>
      <c r="T89">
        <v>25000</v>
      </c>
    </row>
    <row r="90" spans="1:20" x14ac:dyDescent="0.25">
      <c r="A90">
        <v>89</v>
      </c>
      <c r="B90" s="5">
        <v>45016</v>
      </c>
      <c r="C90">
        <v>70</v>
      </c>
      <c r="D90">
        <v>6</v>
      </c>
      <c r="E90">
        <v>104</v>
      </c>
      <c r="F90" s="4" t="s">
        <v>208</v>
      </c>
      <c r="G90" s="4" t="s">
        <v>209</v>
      </c>
      <c r="H90" s="4" t="s">
        <v>42</v>
      </c>
      <c r="I90" s="4" t="s">
        <v>631</v>
      </c>
      <c r="J90" s="4" t="s">
        <v>27</v>
      </c>
      <c r="K90" s="4" t="s">
        <v>28</v>
      </c>
      <c r="L90" s="4" t="s">
        <v>29</v>
      </c>
      <c r="M90" s="4" t="s">
        <v>98</v>
      </c>
      <c r="N90" s="4" t="s">
        <v>151</v>
      </c>
      <c r="O90">
        <v>55000</v>
      </c>
      <c r="P90">
        <v>3</v>
      </c>
      <c r="Q90">
        <v>0</v>
      </c>
      <c r="R90">
        <v>165000</v>
      </c>
      <c r="S90">
        <v>0</v>
      </c>
      <c r="T90">
        <v>165000</v>
      </c>
    </row>
    <row r="91" spans="1:20" x14ac:dyDescent="0.25">
      <c r="A91">
        <v>90</v>
      </c>
      <c r="B91" s="5">
        <v>45017</v>
      </c>
      <c r="C91">
        <v>31</v>
      </c>
      <c r="D91">
        <v>4</v>
      </c>
      <c r="E91">
        <v>205</v>
      </c>
      <c r="F91" s="4" t="s">
        <v>210</v>
      </c>
      <c r="G91" s="4" t="s">
        <v>211</v>
      </c>
      <c r="H91" s="4" t="s">
        <v>19</v>
      </c>
      <c r="I91" s="4" t="s">
        <v>629</v>
      </c>
      <c r="J91" s="4" t="s">
        <v>101</v>
      </c>
      <c r="K91" s="4" t="s">
        <v>109</v>
      </c>
      <c r="L91" s="4" t="s">
        <v>38</v>
      </c>
      <c r="M91" s="4" t="s">
        <v>46</v>
      </c>
      <c r="N91" s="4" t="s">
        <v>53</v>
      </c>
      <c r="O91">
        <v>750000</v>
      </c>
      <c r="P91">
        <v>3</v>
      </c>
      <c r="Q91">
        <v>0</v>
      </c>
      <c r="R91">
        <v>2250000</v>
      </c>
      <c r="S91">
        <v>0</v>
      </c>
      <c r="T91">
        <v>2250000</v>
      </c>
    </row>
    <row r="92" spans="1:20" x14ac:dyDescent="0.25">
      <c r="A92">
        <v>91</v>
      </c>
      <c r="B92" s="5">
        <v>45018</v>
      </c>
      <c r="C92">
        <v>6</v>
      </c>
      <c r="D92">
        <v>2</v>
      </c>
      <c r="E92">
        <v>103</v>
      </c>
      <c r="F92" s="4" t="s">
        <v>178</v>
      </c>
      <c r="G92" s="4" t="s">
        <v>179</v>
      </c>
      <c r="H92" s="4" t="s">
        <v>19</v>
      </c>
      <c r="I92" s="4" t="s">
        <v>626</v>
      </c>
      <c r="J92" s="4" t="s">
        <v>52</v>
      </c>
      <c r="K92" s="4" t="s">
        <v>28</v>
      </c>
      <c r="L92" s="4" t="s">
        <v>38</v>
      </c>
      <c r="M92" s="4" t="s">
        <v>102</v>
      </c>
      <c r="N92" s="4" t="s">
        <v>57</v>
      </c>
      <c r="O92">
        <v>12000</v>
      </c>
      <c r="P92">
        <v>3</v>
      </c>
      <c r="Q92">
        <v>5</v>
      </c>
      <c r="R92">
        <v>36000</v>
      </c>
      <c r="S92">
        <v>1800</v>
      </c>
      <c r="T92">
        <v>34200</v>
      </c>
    </row>
    <row r="93" spans="1:20" x14ac:dyDescent="0.25">
      <c r="A93">
        <v>92</v>
      </c>
      <c r="B93" s="5">
        <v>45019</v>
      </c>
      <c r="C93">
        <v>51</v>
      </c>
      <c r="D93">
        <v>7</v>
      </c>
      <c r="E93">
        <v>130</v>
      </c>
      <c r="F93" s="4" t="s">
        <v>212</v>
      </c>
      <c r="G93" s="4" t="s">
        <v>213</v>
      </c>
      <c r="H93" s="4" t="s">
        <v>19</v>
      </c>
      <c r="I93" s="4" t="s">
        <v>630</v>
      </c>
      <c r="J93" s="4" t="s">
        <v>101</v>
      </c>
      <c r="K93" s="4" t="s">
        <v>109</v>
      </c>
      <c r="L93" s="4" t="s">
        <v>22</v>
      </c>
      <c r="M93" s="4" t="s">
        <v>62</v>
      </c>
      <c r="N93" s="4" t="s">
        <v>31</v>
      </c>
      <c r="O93">
        <v>650000</v>
      </c>
      <c r="P93">
        <v>3</v>
      </c>
      <c r="Q93">
        <v>5</v>
      </c>
      <c r="R93">
        <v>1950000</v>
      </c>
      <c r="S93">
        <v>97500</v>
      </c>
      <c r="T93">
        <v>1852500</v>
      </c>
    </row>
    <row r="94" spans="1:20" x14ac:dyDescent="0.25">
      <c r="A94">
        <v>93</v>
      </c>
      <c r="B94" s="5">
        <v>45020</v>
      </c>
      <c r="C94">
        <v>16</v>
      </c>
      <c r="D94">
        <v>3</v>
      </c>
      <c r="E94">
        <v>86</v>
      </c>
      <c r="F94" s="4" t="s">
        <v>214</v>
      </c>
      <c r="G94" s="4" t="s">
        <v>215</v>
      </c>
      <c r="H94" s="4" t="s">
        <v>19</v>
      </c>
      <c r="I94" s="4" t="s">
        <v>630</v>
      </c>
      <c r="J94" s="4" t="s">
        <v>20</v>
      </c>
      <c r="K94" s="4" t="s">
        <v>21</v>
      </c>
      <c r="L94" s="4" t="s">
        <v>38</v>
      </c>
      <c r="M94" s="4" t="s">
        <v>62</v>
      </c>
      <c r="N94" s="4" t="s">
        <v>31</v>
      </c>
      <c r="O94">
        <v>650000</v>
      </c>
      <c r="P94">
        <v>2</v>
      </c>
      <c r="Q94">
        <v>5</v>
      </c>
      <c r="R94">
        <v>1300000</v>
      </c>
      <c r="S94">
        <v>65000</v>
      </c>
      <c r="T94">
        <v>1235000</v>
      </c>
    </row>
    <row r="95" spans="1:20" x14ac:dyDescent="0.25">
      <c r="A95">
        <v>94</v>
      </c>
      <c r="B95" s="5">
        <v>45021</v>
      </c>
      <c r="C95">
        <v>62</v>
      </c>
      <c r="D95">
        <v>4</v>
      </c>
      <c r="E95">
        <v>95</v>
      </c>
      <c r="F95" s="4" t="s">
        <v>216</v>
      </c>
      <c r="G95" s="4" t="s">
        <v>217</v>
      </c>
      <c r="H95" s="4" t="s">
        <v>42</v>
      </c>
      <c r="I95" s="4" t="s">
        <v>626</v>
      </c>
      <c r="J95" s="4" t="s">
        <v>76</v>
      </c>
      <c r="K95" s="4" t="s">
        <v>77</v>
      </c>
      <c r="L95" s="4" t="s">
        <v>38</v>
      </c>
      <c r="M95" s="4" t="s">
        <v>49</v>
      </c>
      <c r="N95" s="4" t="s">
        <v>31</v>
      </c>
      <c r="O95">
        <v>800000</v>
      </c>
      <c r="P95">
        <v>2</v>
      </c>
      <c r="Q95">
        <v>5</v>
      </c>
      <c r="R95">
        <v>1600000</v>
      </c>
      <c r="S95">
        <v>80000</v>
      </c>
      <c r="T95">
        <v>1520000</v>
      </c>
    </row>
    <row r="96" spans="1:20" x14ac:dyDescent="0.25">
      <c r="A96">
        <v>95</v>
      </c>
      <c r="B96" s="5">
        <v>45022</v>
      </c>
      <c r="C96">
        <v>5</v>
      </c>
      <c r="D96">
        <v>1</v>
      </c>
      <c r="E96">
        <v>1</v>
      </c>
      <c r="F96" s="4" t="s">
        <v>218</v>
      </c>
      <c r="G96" s="4" t="s">
        <v>219</v>
      </c>
      <c r="H96" s="4" t="s">
        <v>19</v>
      </c>
      <c r="I96" s="4" t="s">
        <v>609</v>
      </c>
      <c r="J96" s="4" t="s">
        <v>27</v>
      </c>
      <c r="K96" s="4" t="s">
        <v>28</v>
      </c>
      <c r="L96" s="4" t="s">
        <v>22</v>
      </c>
      <c r="M96" s="4" t="s">
        <v>46</v>
      </c>
      <c r="N96" s="4" t="s">
        <v>53</v>
      </c>
      <c r="O96">
        <v>750000</v>
      </c>
      <c r="P96">
        <v>2</v>
      </c>
      <c r="Q96">
        <v>0</v>
      </c>
      <c r="R96">
        <v>1500000</v>
      </c>
      <c r="S96">
        <v>0</v>
      </c>
      <c r="T96">
        <v>1500000</v>
      </c>
    </row>
    <row r="97" spans="1:20" x14ac:dyDescent="0.25">
      <c r="A97">
        <v>96</v>
      </c>
      <c r="B97" s="5">
        <v>45023</v>
      </c>
      <c r="C97">
        <v>34</v>
      </c>
      <c r="D97">
        <v>1</v>
      </c>
      <c r="E97">
        <v>167</v>
      </c>
      <c r="F97" s="4" t="s">
        <v>156</v>
      </c>
      <c r="G97" s="4" t="s">
        <v>157</v>
      </c>
      <c r="H97" s="4" t="s">
        <v>42</v>
      </c>
      <c r="I97" s="4" t="s">
        <v>621</v>
      </c>
      <c r="J97" s="4" t="s">
        <v>52</v>
      </c>
      <c r="K97" s="4" t="s">
        <v>28</v>
      </c>
      <c r="L97" s="4" t="s">
        <v>22</v>
      </c>
      <c r="M97" s="4" t="s">
        <v>98</v>
      </c>
      <c r="N97" s="4" t="s">
        <v>151</v>
      </c>
      <c r="O97">
        <v>55000</v>
      </c>
      <c r="P97">
        <v>2</v>
      </c>
      <c r="Q97">
        <v>5</v>
      </c>
      <c r="R97">
        <v>110000</v>
      </c>
      <c r="S97">
        <v>5500</v>
      </c>
      <c r="T97">
        <v>104500</v>
      </c>
    </row>
    <row r="98" spans="1:20" x14ac:dyDescent="0.25">
      <c r="A98">
        <v>97</v>
      </c>
      <c r="B98" s="5">
        <v>45024</v>
      </c>
      <c r="C98">
        <v>51</v>
      </c>
      <c r="D98">
        <v>7</v>
      </c>
      <c r="E98">
        <v>4</v>
      </c>
      <c r="F98" s="4" t="s">
        <v>220</v>
      </c>
      <c r="G98" s="4" t="s">
        <v>221</v>
      </c>
      <c r="H98" s="4" t="s">
        <v>19</v>
      </c>
      <c r="I98" s="4" t="s">
        <v>646</v>
      </c>
      <c r="J98" s="4" t="s">
        <v>101</v>
      </c>
      <c r="K98" s="4" t="s">
        <v>109</v>
      </c>
      <c r="L98" s="4" t="s">
        <v>22</v>
      </c>
      <c r="M98" s="4" t="s">
        <v>56</v>
      </c>
      <c r="N98" s="4" t="s">
        <v>57</v>
      </c>
      <c r="O98">
        <v>25000</v>
      </c>
      <c r="P98">
        <v>2</v>
      </c>
      <c r="Q98">
        <v>0</v>
      </c>
      <c r="R98">
        <v>50000</v>
      </c>
      <c r="S98">
        <v>0</v>
      </c>
      <c r="T98">
        <v>50000</v>
      </c>
    </row>
    <row r="99" spans="1:20" x14ac:dyDescent="0.25">
      <c r="A99">
        <v>98</v>
      </c>
      <c r="B99" s="5">
        <v>45025</v>
      </c>
      <c r="C99">
        <v>6</v>
      </c>
      <c r="D99">
        <v>2</v>
      </c>
      <c r="E99">
        <v>61</v>
      </c>
      <c r="F99" s="4" t="s">
        <v>222</v>
      </c>
      <c r="G99" s="4" t="s">
        <v>223</v>
      </c>
      <c r="H99" s="4" t="s">
        <v>42</v>
      </c>
      <c r="I99" s="4" t="s">
        <v>639</v>
      </c>
      <c r="J99" s="4" t="s">
        <v>52</v>
      </c>
      <c r="K99" s="4" t="s">
        <v>28</v>
      </c>
      <c r="L99" s="4" t="s">
        <v>22</v>
      </c>
      <c r="M99" s="4" t="s">
        <v>62</v>
      </c>
      <c r="N99" s="4" t="s">
        <v>31</v>
      </c>
      <c r="O99">
        <v>650000</v>
      </c>
      <c r="P99">
        <v>1</v>
      </c>
      <c r="Q99">
        <v>0</v>
      </c>
      <c r="R99">
        <v>650000</v>
      </c>
      <c r="S99">
        <v>0</v>
      </c>
      <c r="T99">
        <v>650000</v>
      </c>
    </row>
    <row r="100" spans="1:20" x14ac:dyDescent="0.25">
      <c r="A100">
        <v>99</v>
      </c>
      <c r="B100" s="5">
        <v>45026</v>
      </c>
      <c r="C100">
        <v>28</v>
      </c>
      <c r="D100">
        <v>5</v>
      </c>
      <c r="E100">
        <v>6</v>
      </c>
      <c r="F100" s="4" t="s">
        <v>224</v>
      </c>
      <c r="G100" s="4" t="s">
        <v>225</v>
      </c>
      <c r="H100" s="4" t="s">
        <v>42</v>
      </c>
      <c r="I100" s="4" t="s">
        <v>613</v>
      </c>
      <c r="J100" s="4" t="s">
        <v>116</v>
      </c>
      <c r="K100" s="4" t="s">
        <v>37</v>
      </c>
      <c r="L100" s="4" t="s">
        <v>38</v>
      </c>
      <c r="M100" s="4" t="s">
        <v>98</v>
      </c>
      <c r="N100" s="4" t="s">
        <v>151</v>
      </c>
      <c r="O100">
        <v>55000</v>
      </c>
      <c r="P100">
        <v>2</v>
      </c>
      <c r="Q100">
        <v>5</v>
      </c>
      <c r="R100">
        <v>110000</v>
      </c>
      <c r="S100">
        <v>5500</v>
      </c>
      <c r="T100">
        <v>104500</v>
      </c>
    </row>
    <row r="101" spans="1:20" x14ac:dyDescent="0.25">
      <c r="A101">
        <v>100</v>
      </c>
      <c r="B101" s="5">
        <v>45027</v>
      </c>
      <c r="C101">
        <v>50</v>
      </c>
      <c r="D101">
        <v>0</v>
      </c>
      <c r="E101">
        <v>35</v>
      </c>
      <c r="F101" s="4" t="s">
        <v>58</v>
      </c>
      <c r="G101" s="4" t="s">
        <v>59</v>
      </c>
      <c r="H101" s="4" t="s">
        <v>42</v>
      </c>
      <c r="I101" s="4" t="s">
        <v>621</v>
      </c>
      <c r="J101" s="4" t="s">
        <v>20</v>
      </c>
      <c r="K101" s="4" t="s">
        <v>21</v>
      </c>
      <c r="L101" s="4" t="s">
        <v>22</v>
      </c>
      <c r="M101" s="4" t="s">
        <v>69</v>
      </c>
      <c r="N101" s="4" t="s">
        <v>53</v>
      </c>
      <c r="O101">
        <v>450000</v>
      </c>
      <c r="P101">
        <v>2</v>
      </c>
      <c r="Q101">
        <v>1</v>
      </c>
      <c r="R101">
        <v>900000</v>
      </c>
      <c r="S101">
        <v>9000</v>
      </c>
      <c r="T101">
        <v>891000</v>
      </c>
    </row>
    <row r="102" spans="1:20" x14ac:dyDescent="0.25">
      <c r="A102">
        <v>101</v>
      </c>
      <c r="B102" s="5">
        <v>45028</v>
      </c>
      <c r="C102">
        <v>39</v>
      </c>
      <c r="D102">
        <v>6</v>
      </c>
      <c r="E102">
        <v>274</v>
      </c>
      <c r="F102" s="4" t="s">
        <v>226</v>
      </c>
      <c r="G102" s="4" t="s">
        <v>227</v>
      </c>
      <c r="H102" s="4" t="s">
        <v>42</v>
      </c>
      <c r="I102" s="4" t="s">
        <v>610</v>
      </c>
      <c r="J102" s="4" t="s">
        <v>43</v>
      </c>
      <c r="K102" s="4" t="s">
        <v>43</v>
      </c>
      <c r="L102" s="4" t="s">
        <v>29</v>
      </c>
      <c r="M102" s="4" t="s">
        <v>23</v>
      </c>
      <c r="N102" s="4" t="s">
        <v>24</v>
      </c>
      <c r="O102">
        <v>15000</v>
      </c>
      <c r="P102">
        <v>2</v>
      </c>
      <c r="Q102">
        <v>5</v>
      </c>
      <c r="R102">
        <v>30000</v>
      </c>
      <c r="S102">
        <v>1500</v>
      </c>
      <c r="T102">
        <v>28500</v>
      </c>
    </row>
    <row r="103" spans="1:20" x14ac:dyDescent="0.25">
      <c r="A103">
        <v>102</v>
      </c>
      <c r="B103" s="5">
        <v>45029</v>
      </c>
      <c r="C103">
        <v>54</v>
      </c>
      <c r="D103">
        <v>9</v>
      </c>
      <c r="E103">
        <v>105</v>
      </c>
      <c r="F103" s="4" t="s">
        <v>228</v>
      </c>
      <c r="G103" s="4" t="s">
        <v>229</v>
      </c>
      <c r="H103" s="4" t="s">
        <v>19</v>
      </c>
      <c r="I103" s="4" t="s">
        <v>635</v>
      </c>
      <c r="J103" s="4" t="s">
        <v>27</v>
      </c>
      <c r="K103" s="4" t="s">
        <v>28</v>
      </c>
      <c r="L103" s="4" t="s">
        <v>38</v>
      </c>
      <c r="M103" s="4" t="s">
        <v>69</v>
      </c>
      <c r="N103" s="4" t="s">
        <v>53</v>
      </c>
      <c r="O103">
        <v>450000</v>
      </c>
      <c r="P103">
        <v>1</v>
      </c>
      <c r="Q103">
        <v>1</v>
      </c>
      <c r="R103">
        <v>450000</v>
      </c>
      <c r="S103">
        <v>4500</v>
      </c>
      <c r="T103">
        <v>445500</v>
      </c>
    </row>
    <row r="104" spans="1:20" x14ac:dyDescent="0.25">
      <c r="A104">
        <v>103</v>
      </c>
      <c r="B104" s="5">
        <v>45030</v>
      </c>
      <c r="C104">
        <v>55</v>
      </c>
      <c r="D104">
        <v>9</v>
      </c>
      <c r="E104">
        <v>169</v>
      </c>
      <c r="F104" s="4" t="s">
        <v>230</v>
      </c>
      <c r="G104" s="4" t="s">
        <v>231</v>
      </c>
      <c r="H104" s="4" t="s">
        <v>42</v>
      </c>
      <c r="I104" s="4" t="s">
        <v>613</v>
      </c>
      <c r="J104" s="4" t="s">
        <v>43</v>
      </c>
      <c r="K104" s="4" t="s">
        <v>43</v>
      </c>
      <c r="L104" s="4" t="s">
        <v>38</v>
      </c>
      <c r="M104" s="4" t="s">
        <v>39</v>
      </c>
      <c r="N104" s="4" t="s">
        <v>24</v>
      </c>
      <c r="O104">
        <v>35000</v>
      </c>
      <c r="P104">
        <v>1</v>
      </c>
      <c r="Q104">
        <v>5</v>
      </c>
      <c r="R104">
        <v>35000</v>
      </c>
      <c r="S104">
        <v>1750</v>
      </c>
      <c r="T104">
        <v>33250</v>
      </c>
    </row>
    <row r="105" spans="1:20" x14ac:dyDescent="0.25">
      <c r="A105">
        <v>104</v>
      </c>
      <c r="B105" s="5">
        <v>45031</v>
      </c>
      <c r="C105">
        <v>9</v>
      </c>
      <c r="D105">
        <v>9</v>
      </c>
      <c r="E105">
        <v>64</v>
      </c>
      <c r="F105" s="4" t="s">
        <v>232</v>
      </c>
      <c r="G105" s="4" t="s">
        <v>233</v>
      </c>
      <c r="H105" s="4" t="s">
        <v>19</v>
      </c>
      <c r="I105" s="4" t="s">
        <v>618</v>
      </c>
      <c r="J105" s="4" t="s">
        <v>37</v>
      </c>
      <c r="K105" s="4" t="s">
        <v>37</v>
      </c>
      <c r="L105" s="4" t="s">
        <v>38</v>
      </c>
      <c r="M105" s="4" t="s">
        <v>23</v>
      </c>
      <c r="N105" s="4" t="s">
        <v>24</v>
      </c>
      <c r="O105">
        <v>15000</v>
      </c>
      <c r="P105">
        <v>3</v>
      </c>
      <c r="Q105">
        <v>5</v>
      </c>
      <c r="R105">
        <v>45000</v>
      </c>
      <c r="S105">
        <v>2250</v>
      </c>
      <c r="T105">
        <v>42750</v>
      </c>
    </row>
    <row r="106" spans="1:20" x14ac:dyDescent="0.25">
      <c r="A106">
        <v>105</v>
      </c>
      <c r="B106" s="5">
        <v>45032</v>
      </c>
      <c r="C106">
        <v>47</v>
      </c>
      <c r="D106">
        <v>1</v>
      </c>
      <c r="E106">
        <v>53</v>
      </c>
      <c r="F106" s="4" t="s">
        <v>234</v>
      </c>
      <c r="G106" s="4" t="s">
        <v>235</v>
      </c>
      <c r="H106" s="4" t="s">
        <v>42</v>
      </c>
      <c r="I106" s="4" t="s">
        <v>614</v>
      </c>
      <c r="J106" s="4" t="s">
        <v>116</v>
      </c>
      <c r="K106" s="4" t="s">
        <v>37</v>
      </c>
      <c r="L106" s="4" t="s">
        <v>22</v>
      </c>
      <c r="M106" s="4" t="s">
        <v>62</v>
      </c>
      <c r="N106" s="4" t="s">
        <v>31</v>
      </c>
      <c r="O106">
        <v>650000</v>
      </c>
      <c r="P106">
        <v>1</v>
      </c>
      <c r="Q106">
        <v>0</v>
      </c>
      <c r="R106">
        <v>650000</v>
      </c>
      <c r="S106">
        <v>0</v>
      </c>
      <c r="T106">
        <v>650000</v>
      </c>
    </row>
    <row r="107" spans="1:20" x14ac:dyDescent="0.25">
      <c r="A107">
        <v>106</v>
      </c>
      <c r="B107" s="5">
        <v>45033</v>
      </c>
      <c r="C107">
        <v>21</v>
      </c>
      <c r="D107">
        <v>5</v>
      </c>
      <c r="E107">
        <v>228</v>
      </c>
      <c r="F107" s="4" t="s">
        <v>236</v>
      </c>
      <c r="G107" s="4" t="s">
        <v>237</v>
      </c>
      <c r="H107" s="4" t="s">
        <v>42</v>
      </c>
      <c r="I107" s="4" t="s">
        <v>615</v>
      </c>
      <c r="J107" s="4" t="s">
        <v>76</v>
      </c>
      <c r="K107" s="4" t="s">
        <v>77</v>
      </c>
      <c r="L107" s="4" t="s">
        <v>38</v>
      </c>
      <c r="M107" s="4" t="s">
        <v>98</v>
      </c>
      <c r="N107" s="4" t="s">
        <v>151</v>
      </c>
      <c r="O107">
        <v>55000</v>
      </c>
      <c r="P107">
        <v>3</v>
      </c>
      <c r="Q107">
        <v>0</v>
      </c>
      <c r="R107">
        <v>165000</v>
      </c>
      <c r="S107">
        <v>0</v>
      </c>
      <c r="T107">
        <v>165000</v>
      </c>
    </row>
    <row r="108" spans="1:20" x14ac:dyDescent="0.25">
      <c r="A108">
        <v>107</v>
      </c>
      <c r="B108" s="5">
        <v>45034</v>
      </c>
      <c r="C108">
        <v>2</v>
      </c>
      <c r="D108">
        <v>2</v>
      </c>
      <c r="E108">
        <v>256</v>
      </c>
      <c r="F108" s="4" t="s">
        <v>238</v>
      </c>
      <c r="G108" s="4" t="s">
        <v>239</v>
      </c>
      <c r="H108" s="4" t="s">
        <v>19</v>
      </c>
      <c r="I108" s="4" t="s">
        <v>639</v>
      </c>
      <c r="J108" s="4" t="s">
        <v>101</v>
      </c>
      <c r="K108" s="4" t="s">
        <v>109</v>
      </c>
      <c r="L108" s="4" t="s">
        <v>29</v>
      </c>
      <c r="M108" s="4" t="s">
        <v>39</v>
      </c>
      <c r="N108" s="4" t="s">
        <v>24</v>
      </c>
      <c r="O108">
        <v>35000</v>
      </c>
      <c r="P108">
        <v>1</v>
      </c>
      <c r="Q108">
        <v>0</v>
      </c>
      <c r="R108">
        <v>35000</v>
      </c>
      <c r="S108">
        <v>0</v>
      </c>
      <c r="T108">
        <v>35000</v>
      </c>
    </row>
    <row r="109" spans="1:20" x14ac:dyDescent="0.25">
      <c r="A109">
        <v>108</v>
      </c>
      <c r="B109" s="5">
        <v>45035</v>
      </c>
      <c r="C109">
        <v>58</v>
      </c>
      <c r="D109">
        <v>1</v>
      </c>
      <c r="E109">
        <v>75</v>
      </c>
      <c r="F109" s="4" t="s">
        <v>240</v>
      </c>
      <c r="G109" s="4" t="s">
        <v>241</v>
      </c>
      <c r="H109" s="4" t="s">
        <v>19</v>
      </c>
      <c r="I109" s="4" t="s">
        <v>612</v>
      </c>
      <c r="J109" s="4" t="s">
        <v>76</v>
      </c>
      <c r="K109" s="4" t="s">
        <v>77</v>
      </c>
      <c r="L109" s="4" t="s">
        <v>29</v>
      </c>
      <c r="M109" s="4" t="s">
        <v>56</v>
      </c>
      <c r="N109" s="4" t="s">
        <v>57</v>
      </c>
      <c r="O109">
        <v>25000</v>
      </c>
      <c r="P109">
        <v>2</v>
      </c>
      <c r="Q109">
        <v>0</v>
      </c>
      <c r="R109">
        <v>50000</v>
      </c>
      <c r="S109">
        <v>0</v>
      </c>
      <c r="T109">
        <v>50000</v>
      </c>
    </row>
    <row r="110" spans="1:20" x14ac:dyDescent="0.25">
      <c r="A110">
        <v>109</v>
      </c>
      <c r="B110" s="5">
        <v>45036</v>
      </c>
      <c r="C110">
        <v>47</v>
      </c>
      <c r="D110">
        <v>1</v>
      </c>
      <c r="E110">
        <v>109</v>
      </c>
      <c r="F110" s="4" t="s">
        <v>242</v>
      </c>
      <c r="G110" s="4" t="s">
        <v>243</v>
      </c>
      <c r="H110" s="4" t="s">
        <v>19</v>
      </c>
      <c r="I110" s="4" t="s">
        <v>623</v>
      </c>
      <c r="J110" s="4" t="s">
        <v>116</v>
      </c>
      <c r="K110" s="4" t="s">
        <v>37</v>
      </c>
      <c r="L110" s="4" t="s">
        <v>22</v>
      </c>
      <c r="M110" s="4" t="s">
        <v>39</v>
      </c>
      <c r="N110" s="4" t="s">
        <v>24</v>
      </c>
      <c r="O110">
        <v>35000</v>
      </c>
      <c r="P110">
        <v>3</v>
      </c>
      <c r="Q110">
        <v>0</v>
      </c>
      <c r="R110">
        <v>105000</v>
      </c>
      <c r="S110">
        <v>0</v>
      </c>
      <c r="T110">
        <v>105000</v>
      </c>
    </row>
    <row r="111" spans="1:20" x14ac:dyDescent="0.25">
      <c r="A111">
        <v>110</v>
      </c>
      <c r="B111" s="5">
        <v>45037</v>
      </c>
      <c r="C111">
        <v>50</v>
      </c>
      <c r="D111">
        <v>0</v>
      </c>
      <c r="E111">
        <v>216</v>
      </c>
      <c r="F111" s="4" t="s">
        <v>244</v>
      </c>
      <c r="G111" s="4" t="s">
        <v>245</v>
      </c>
      <c r="H111" s="4" t="s">
        <v>19</v>
      </c>
      <c r="I111" s="4" t="s">
        <v>621</v>
      </c>
      <c r="J111" s="4" t="s">
        <v>20</v>
      </c>
      <c r="K111" s="4" t="s">
        <v>21</v>
      </c>
      <c r="L111" s="4" t="s">
        <v>38</v>
      </c>
      <c r="M111" s="4" t="s">
        <v>49</v>
      </c>
      <c r="N111" s="4" t="s">
        <v>31</v>
      </c>
      <c r="O111">
        <v>800000</v>
      </c>
      <c r="P111">
        <v>2</v>
      </c>
      <c r="Q111">
        <v>0</v>
      </c>
      <c r="R111">
        <v>1600000</v>
      </c>
      <c r="S111">
        <v>0</v>
      </c>
      <c r="T111">
        <v>1600000</v>
      </c>
    </row>
    <row r="112" spans="1:20" x14ac:dyDescent="0.25">
      <c r="A112">
        <v>111</v>
      </c>
      <c r="B112" s="5">
        <v>45038</v>
      </c>
      <c r="C112">
        <v>68</v>
      </c>
      <c r="D112">
        <v>2</v>
      </c>
      <c r="E112">
        <v>97</v>
      </c>
      <c r="F112" s="4" t="s">
        <v>246</v>
      </c>
      <c r="G112" s="4" t="s">
        <v>247</v>
      </c>
      <c r="H112" s="4" t="s">
        <v>42</v>
      </c>
      <c r="I112" s="4" t="s">
        <v>623</v>
      </c>
      <c r="J112" s="4" t="s">
        <v>34</v>
      </c>
      <c r="K112" s="4" t="s">
        <v>272</v>
      </c>
      <c r="L112" s="4" t="s">
        <v>22</v>
      </c>
      <c r="M112" s="4" t="s">
        <v>23</v>
      </c>
      <c r="N112" s="4" t="s">
        <v>24</v>
      </c>
      <c r="O112">
        <v>15000</v>
      </c>
      <c r="P112">
        <v>3</v>
      </c>
      <c r="Q112">
        <v>0</v>
      </c>
      <c r="R112">
        <v>45000</v>
      </c>
      <c r="S112">
        <v>0</v>
      </c>
      <c r="T112">
        <v>45000</v>
      </c>
    </row>
    <row r="113" spans="1:20" x14ac:dyDescent="0.25">
      <c r="A113">
        <v>112</v>
      </c>
      <c r="B113" s="5">
        <v>45039</v>
      </c>
      <c r="C113">
        <v>25</v>
      </c>
      <c r="D113">
        <v>3</v>
      </c>
      <c r="E113">
        <v>67</v>
      </c>
      <c r="F113" s="4" t="s">
        <v>70</v>
      </c>
      <c r="G113" s="4" t="s">
        <v>71</v>
      </c>
      <c r="H113" s="4" t="s">
        <v>19</v>
      </c>
      <c r="I113" s="4" t="s">
        <v>641</v>
      </c>
      <c r="J113" s="4" t="s">
        <v>76</v>
      </c>
      <c r="K113" s="4" t="s">
        <v>77</v>
      </c>
      <c r="L113" s="4" t="s">
        <v>22</v>
      </c>
      <c r="M113" s="4" t="s">
        <v>49</v>
      </c>
      <c r="N113" s="4" t="s">
        <v>31</v>
      </c>
      <c r="O113">
        <v>800000</v>
      </c>
      <c r="P113">
        <v>3</v>
      </c>
      <c r="Q113">
        <v>0</v>
      </c>
      <c r="R113">
        <v>2400000</v>
      </c>
      <c r="S113">
        <v>0</v>
      </c>
      <c r="T113">
        <v>2400000</v>
      </c>
    </row>
    <row r="114" spans="1:20" x14ac:dyDescent="0.25">
      <c r="A114">
        <v>113</v>
      </c>
      <c r="B114" s="5">
        <v>45040</v>
      </c>
      <c r="C114">
        <v>56</v>
      </c>
      <c r="D114">
        <v>2</v>
      </c>
      <c r="E114">
        <v>225</v>
      </c>
      <c r="F114" s="4" t="s">
        <v>248</v>
      </c>
      <c r="G114" s="4" t="s">
        <v>249</v>
      </c>
      <c r="H114" s="4" t="s">
        <v>19</v>
      </c>
      <c r="I114" s="4" t="s">
        <v>639</v>
      </c>
      <c r="J114" s="4" t="s">
        <v>27</v>
      </c>
      <c r="K114" s="4" t="s">
        <v>28</v>
      </c>
      <c r="L114" s="4" t="s">
        <v>22</v>
      </c>
      <c r="M114" s="4" t="s">
        <v>69</v>
      </c>
      <c r="N114" s="4" t="s">
        <v>53</v>
      </c>
      <c r="O114">
        <v>450000</v>
      </c>
      <c r="P114">
        <v>2</v>
      </c>
      <c r="Q114">
        <v>1</v>
      </c>
      <c r="R114">
        <v>900000</v>
      </c>
      <c r="S114">
        <v>9000</v>
      </c>
      <c r="T114">
        <v>891000</v>
      </c>
    </row>
    <row r="115" spans="1:20" x14ac:dyDescent="0.25">
      <c r="A115">
        <v>114</v>
      </c>
      <c r="B115" s="5">
        <v>45041</v>
      </c>
      <c r="C115">
        <v>38</v>
      </c>
      <c r="D115">
        <v>8</v>
      </c>
      <c r="E115">
        <v>37</v>
      </c>
      <c r="F115" s="4" t="s">
        <v>250</v>
      </c>
      <c r="G115" s="4" t="s">
        <v>251</v>
      </c>
      <c r="H115" s="4" t="s">
        <v>19</v>
      </c>
      <c r="I115" s="4" t="s">
        <v>625</v>
      </c>
      <c r="J115" s="4" t="s">
        <v>52</v>
      </c>
      <c r="K115" s="4" t="s">
        <v>28</v>
      </c>
      <c r="L115" s="4" t="s">
        <v>29</v>
      </c>
      <c r="M115" s="4" t="s">
        <v>98</v>
      </c>
      <c r="N115" s="4" t="s">
        <v>151</v>
      </c>
      <c r="O115">
        <v>55000</v>
      </c>
      <c r="P115">
        <v>1</v>
      </c>
      <c r="Q115">
        <v>1</v>
      </c>
      <c r="R115">
        <v>55000</v>
      </c>
      <c r="S115">
        <v>550</v>
      </c>
      <c r="T115">
        <v>54450</v>
      </c>
    </row>
    <row r="116" spans="1:20" x14ac:dyDescent="0.25">
      <c r="A116">
        <v>115</v>
      </c>
      <c r="B116" s="5">
        <v>45042</v>
      </c>
      <c r="C116">
        <v>51</v>
      </c>
      <c r="D116">
        <v>7</v>
      </c>
      <c r="E116">
        <v>267</v>
      </c>
      <c r="F116" s="4" t="s">
        <v>252</v>
      </c>
      <c r="G116" s="4" t="s">
        <v>253</v>
      </c>
      <c r="H116" s="4" t="s">
        <v>42</v>
      </c>
      <c r="I116" s="4" t="s">
        <v>653</v>
      </c>
      <c r="J116" s="4" t="s">
        <v>101</v>
      </c>
      <c r="K116" s="4" t="s">
        <v>109</v>
      </c>
      <c r="L116" s="4" t="s">
        <v>29</v>
      </c>
      <c r="M116" s="4" t="s">
        <v>56</v>
      </c>
      <c r="N116" s="4" t="s">
        <v>57</v>
      </c>
      <c r="O116">
        <v>25000</v>
      </c>
      <c r="P116">
        <v>3</v>
      </c>
      <c r="Q116">
        <v>1</v>
      </c>
      <c r="R116">
        <v>75000</v>
      </c>
      <c r="S116">
        <v>750</v>
      </c>
      <c r="T116">
        <v>74250</v>
      </c>
    </row>
    <row r="117" spans="1:20" x14ac:dyDescent="0.25">
      <c r="A117">
        <v>116</v>
      </c>
      <c r="B117" s="5">
        <v>45043</v>
      </c>
      <c r="C117">
        <v>63</v>
      </c>
      <c r="D117">
        <v>5</v>
      </c>
      <c r="E117">
        <v>278</v>
      </c>
      <c r="F117" s="4" t="s">
        <v>254</v>
      </c>
      <c r="G117" s="4" t="s">
        <v>255</v>
      </c>
      <c r="H117" s="4" t="s">
        <v>19</v>
      </c>
      <c r="I117" s="4" t="s">
        <v>643</v>
      </c>
      <c r="J117" s="4" t="s">
        <v>101</v>
      </c>
      <c r="K117" s="4" t="s">
        <v>109</v>
      </c>
      <c r="L117" s="4" t="s">
        <v>38</v>
      </c>
      <c r="M117" s="4" t="s">
        <v>102</v>
      </c>
      <c r="N117" s="4" t="s">
        <v>57</v>
      </c>
      <c r="O117">
        <v>12000</v>
      </c>
      <c r="P117">
        <v>3</v>
      </c>
      <c r="Q117">
        <v>5</v>
      </c>
      <c r="R117">
        <v>36000</v>
      </c>
      <c r="S117">
        <v>1800</v>
      </c>
      <c r="T117">
        <v>34200</v>
      </c>
    </row>
    <row r="118" spans="1:20" x14ac:dyDescent="0.25">
      <c r="A118">
        <v>117</v>
      </c>
      <c r="B118" s="5">
        <v>45044</v>
      </c>
      <c r="C118">
        <v>51</v>
      </c>
      <c r="D118">
        <v>7</v>
      </c>
      <c r="E118">
        <v>202</v>
      </c>
      <c r="F118" s="4" t="s">
        <v>44</v>
      </c>
      <c r="G118" s="4" t="s">
        <v>45</v>
      </c>
      <c r="H118" s="4" t="s">
        <v>42</v>
      </c>
      <c r="I118" s="4" t="s">
        <v>620</v>
      </c>
      <c r="J118" s="4" t="s">
        <v>101</v>
      </c>
      <c r="K118" s="4" t="s">
        <v>109</v>
      </c>
      <c r="L118" s="4" t="s">
        <v>22</v>
      </c>
      <c r="M118" s="4" t="s">
        <v>62</v>
      </c>
      <c r="N118" s="4" t="s">
        <v>31</v>
      </c>
      <c r="O118">
        <v>650000</v>
      </c>
      <c r="P118">
        <v>1</v>
      </c>
      <c r="Q118">
        <v>5</v>
      </c>
      <c r="R118">
        <v>650000</v>
      </c>
      <c r="S118">
        <v>32500</v>
      </c>
      <c r="T118">
        <v>617500</v>
      </c>
    </row>
    <row r="119" spans="1:20" x14ac:dyDescent="0.25">
      <c r="A119">
        <v>118</v>
      </c>
      <c r="B119" s="5">
        <v>45045</v>
      </c>
      <c r="C119">
        <v>51</v>
      </c>
      <c r="D119">
        <v>7</v>
      </c>
      <c r="E119">
        <v>45</v>
      </c>
      <c r="F119" s="4" t="s">
        <v>121</v>
      </c>
      <c r="G119" s="4" t="s">
        <v>122</v>
      </c>
      <c r="H119" s="4" t="s">
        <v>19</v>
      </c>
      <c r="I119" s="4" t="s">
        <v>642</v>
      </c>
      <c r="J119" s="4" t="s">
        <v>101</v>
      </c>
      <c r="K119" s="4" t="s">
        <v>109</v>
      </c>
      <c r="L119" s="4" t="s">
        <v>22</v>
      </c>
      <c r="M119" s="4" t="s">
        <v>39</v>
      </c>
      <c r="N119" s="4" t="s">
        <v>24</v>
      </c>
      <c r="O119">
        <v>35000</v>
      </c>
      <c r="P119">
        <v>1</v>
      </c>
      <c r="Q119">
        <v>1</v>
      </c>
      <c r="R119">
        <v>35000</v>
      </c>
      <c r="S119">
        <v>350</v>
      </c>
      <c r="T119">
        <v>34650</v>
      </c>
    </row>
    <row r="120" spans="1:20" x14ac:dyDescent="0.25">
      <c r="A120">
        <v>119</v>
      </c>
      <c r="B120" s="5">
        <v>45046</v>
      </c>
      <c r="C120">
        <v>34</v>
      </c>
      <c r="D120">
        <v>1</v>
      </c>
      <c r="E120">
        <v>116</v>
      </c>
      <c r="F120" s="4" t="s">
        <v>256</v>
      </c>
      <c r="G120" s="4" t="s">
        <v>257</v>
      </c>
      <c r="H120" s="4" t="s">
        <v>42</v>
      </c>
      <c r="I120" s="4" t="s">
        <v>623</v>
      </c>
      <c r="J120" s="4" t="s">
        <v>52</v>
      </c>
      <c r="K120" s="4" t="s">
        <v>28</v>
      </c>
      <c r="L120" s="4" t="s">
        <v>22</v>
      </c>
      <c r="M120" s="4" t="s">
        <v>56</v>
      </c>
      <c r="N120" s="4" t="s">
        <v>57</v>
      </c>
      <c r="O120">
        <v>25000</v>
      </c>
      <c r="P120">
        <v>1</v>
      </c>
      <c r="Q120">
        <v>1</v>
      </c>
      <c r="R120">
        <v>25000</v>
      </c>
      <c r="S120">
        <v>250</v>
      </c>
      <c r="T120">
        <v>24750</v>
      </c>
    </row>
    <row r="121" spans="1:20" x14ac:dyDescent="0.25">
      <c r="A121">
        <v>120</v>
      </c>
      <c r="B121" s="5">
        <v>45047</v>
      </c>
      <c r="C121">
        <v>12</v>
      </c>
      <c r="D121">
        <v>0</v>
      </c>
      <c r="E121">
        <v>225</v>
      </c>
      <c r="F121" s="4" t="s">
        <v>248</v>
      </c>
      <c r="G121" s="4" t="s">
        <v>249</v>
      </c>
      <c r="H121" s="4" t="s">
        <v>19</v>
      </c>
      <c r="I121" s="4" t="s">
        <v>639</v>
      </c>
      <c r="J121" s="4" t="s">
        <v>116</v>
      </c>
      <c r="K121" s="4" t="s">
        <v>37</v>
      </c>
      <c r="L121" s="4" t="s">
        <v>29</v>
      </c>
      <c r="M121" s="4" t="s">
        <v>98</v>
      </c>
      <c r="N121" s="4" t="s">
        <v>151</v>
      </c>
      <c r="O121">
        <v>55000</v>
      </c>
      <c r="P121">
        <v>3</v>
      </c>
      <c r="Q121">
        <v>0</v>
      </c>
      <c r="R121">
        <v>165000</v>
      </c>
      <c r="S121">
        <v>0</v>
      </c>
      <c r="T121">
        <v>165000</v>
      </c>
    </row>
    <row r="122" spans="1:20" x14ac:dyDescent="0.25">
      <c r="A122">
        <v>121</v>
      </c>
      <c r="B122" s="5">
        <v>45048</v>
      </c>
      <c r="C122">
        <v>66</v>
      </c>
      <c r="D122">
        <v>2</v>
      </c>
      <c r="E122">
        <v>118</v>
      </c>
      <c r="F122" s="4" t="s">
        <v>133</v>
      </c>
      <c r="G122" s="4" t="s">
        <v>134</v>
      </c>
      <c r="H122" s="4" t="s">
        <v>42</v>
      </c>
      <c r="I122" s="4" t="s">
        <v>618</v>
      </c>
      <c r="J122" s="4" t="s">
        <v>27</v>
      </c>
      <c r="K122" s="4" t="s">
        <v>28</v>
      </c>
      <c r="L122" s="4" t="s">
        <v>38</v>
      </c>
      <c r="M122" s="4" t="s">
        <v>98</v>
      </c>
      <c r="N122" s="4" t="s">
        <v>151</v>
      </c>
      <c r="O122">
        <v>55000</v>
      </c>
      <c r="P122">
        <v>2</v>
      </c>
      <c r="Q122">
        <v>1</v>
      </c>
      <c r="R122">
        <v>110000</v>
      </c>
      <c r="S122">
        <v>1100</v>
      </c>
      <c r="T122">
        <v>108900</v>
      </c>
    </row>
    <row r="123" spans="1:20" x14ac:dyDescent="0.25">
      <c r="A123">
        <v>122</v>
      </c>
      <c r="B123" s="5">
        <v>45049</v>
      </c>
      <c r="C123">
        <v>22</v>
      </c>
      <c r="D123">
        <v>1</v>
      </c>
      <c r="E123">
        <v>224</v>
      </c>
      <c r="F123" s="4" t="s">
        <v>82</v>
      </c>
      <c r="G123" s="4" t="s">
        <v>83</v>
      </c>
      <c r="H123" s="4" t="s">
        <v>19</v>
      </c>
      <c r="I123" s="4" t="s">
        <v>612</v>
      </c>
      <c r="J123" s="4" t="s">
        <v>116</v>
      </c>
      <c r="K123" s="4" t="s">
        <v>37</v>
      </c>
      <c r="L123" s="4" t="s">
        <v>29</v>
      </c>
      <c r="M123" s="4" t="s">
        <v>23</v>
      </c>
      <c r="N123" s="4" t="s">
        <v>24</v>
      </c>
      <c r="O123">
        <v>15000</v>
      </c>
      <c r="P123">
        <v>1</v>
      </c>
      <c r="Q123">
        <v>1</v>
      </c>
      <c r="R123">
        <v>15000</v>
      </c>
      <c r="S123">
        <v>150</v>
      </c>
      <c r="T123">
        <v>14850</v>
      </c>
    </row>
    <row r="124" spans="1:20" x14ac:dyDescent="0.25">
      <c r="A124">
        <v>123</v>
      </c>
      <c r="B124" s="5">
        <v>45050</v>
      </c>
      <c r="C124">
        <v>28</v>
      </c>
      <c r="D124">
        <v>5</v>
      </c>
      <c r="E124">
        <v>206</v>
      </c>
      <c r="F124" s="4" t="s">
        <v>258</v>
      </c>
      <c r="G124" s="4" t="s">
        <v>259</v>
      </c>
      <c r="H124" s="4" t="s">
        <v>42</v>
      </c>
      <c r="I124" s="4" t="s">
        <v>608</v>
      </c>
      <c r="J124" s="4" t="s">
        <v>116</v>
      </c>
      <c r="K124" s="4" t="s">
        <v>37</v>
      </c>
      <c r="L124" s="4" t="s">
        <v>38</v>
      </c>
      <c r="M124" s="4" t="s">
        <v>69</v>
      </c>
      <c r="N124" s="4" t="s">
        <v>53</v>
      </c>
      <c r="O124">
        <v>450000</v>
      </c>
      <c r="P124">
        <v>2</v>
      </c>
      <c r="Q124">
        <v>1</v>
      </c>
      <c r="R124">
        <v>900000</v>
      </c>
      <c r="S124">
        <v>9000</v>
      </c>
      <c r="T124">
        <v>891000</v>
      </c>
    </row>
    <row r="125" spans="1:20" x14ac:dyDescent="0.25">
      <c r="A125">
        <v>124</v>
      </c>
      <c r="B125" s="5">
        <v>45051</v>
      </c>
      <c r="C125">
        <v>9</v>
      </c>
      <c r="D125">
        <v>9</v>
      </c>
      <c r="E125">
        <v>18</v>
      </c>
      <c r="F125" s="4" t="s">
        <v>260</v>
      </c>
      <c r="G125" s="4" t="s">
        <v>261</v>
      </c>
      <c r="H125" s="4" t="s">
        <v>42</v>
      </c>
      <c r="I125" s="4" t="s">
        <v>623</v>
      </c>
      <c r="J125" s="4" t="s">
        <v>37</v>
      </c>
      <c r="K125" s="4" t="s">
        <v>37</v>
      </c>
      <c r="L125" s="4" t="s">
        <v>38</v>
      </c>
      <c r="M125" s="4" t="s">
        <v>102</v>
      </c>
      <c r="N125" s="4" t="s">
        <v>57</v>
      </c>
      <c r="O125">
        <v>12000</v>
      </c>
      <c r="P125">
        <v>3</v>
      </c>
      <c r="Q125">
        <v>1</v>
      </c>
      <c r="R125">
        <v>36000</v>
      </c>
      <c r="S125">
        <v>360</v>
      </c>
      <c r="T125">
        <v>35640</v>
      </c>
    </row>
    <row r="126" spans="1:20" x14ac:dyDescent="0.25">
      <c r="A126">
        <v>125</v>
      </c>
      <c r="B126" s="5">
        <v>45052</v>
      </c>
      <c r="C126">
        <v>19</v>
      </c>
      <c r="D126">
        <v>5</v>
      </c>
      <c r="E126">
        <v>118</v>
      </c>
      <c r="F126" s="4" t="s">
        <v>133</v>
      </c>
      <c r="G126" s="4" t="s">
        <v>134</v>
      </c>
      <c r="H126" s="4" t="s">
        <v>42</v>
      </c>
      <c r="I126" s="4" t="s">
        <v>618</v>
      </c>
      <c r="J126" s="4" t="s">
        <v>20</v>
      </c>
      <c r="K126" s="4" t="s">
        <v>21</v>
      </c>
      <c r="L126" s="4" t="s">
        <v>38</v>
      </c>
      <c r="M126" s="4" t="s">
        <v>39</v>
      </c>
      <c r="N126" s="4" t="s">
        <v>24</v>
      </c>
      <c r="O126">
        <v>35000</v>
      </c>
      <c r="P126">
        <v>3</v>
      </c>
      <c r="Q126">
        <v>5</v>
      </c>
      <c r="R126">
        <v>105000</v>
      </c>
      <c r="S126">
        <v>5250</v>
      </c>
      <c r="T126">
        <v>99750</v>
      </c>
    </row>
    <row r="127" spans="1:20" x14ac:dyDescent="0.25">
      <c r="A127">
        <v>126</v>
      </c>
      <c r="B127" s="5">
        <v>45053</v>
      </c>
      <c r="C127">
        <v>31</v>
      </c>
      <c r="D127">
        <v>4</v>
      </c>
      <c r="E127">
        <v>72</v>
      </c>
      <c r="F127" s="4" t="s">
        <v>262</v>
      </c>
      <c r="G127" s="4" t="s">
        <v>263</v>
      </c>
      <c r="H127" s="4" t="s">
        <v>19</v>
      </c>
      <c r="I127" s="4" t="s">
        <v>646</v>
      </c>
      <c r="J127" s="4" t="s">
        <v>101</v>
      </c>
      <c r="K127" s="4" t="s">
        <v>109</v>
      </c>
      <c r="L127" s="4" t="s">
        <v>22</v>
      </c>
      <c r="M127" s="4" t="s">
        <v>49</v>
      </c>
      <c r="N127" s="4" t="s">
        <v>31</v>
      </c>
      <c r="O127">
        <v>800000</v>
      </c>
      <c r="P127">
        <v>2</v>
      </c>
      <c r="Q127">
        <v>1</v>
      </c>
      <c r="R127">
        <v>1600000</v>
      </c>
      <c r="S127">
        <v>16000</v>
      </c>
      <c r="T127">
        <v>1584000</v>
      </c>
    </row>
    <row r="128" spans="1:20" x14ac:dyDescent="0.25">
      <c r="A128">
        <v>127</v>
      </c>
      <c r="B128" s="5">
        <v>45054</v>
      </c>
      <c r="C128">
        <v>37</v>
      </c>
      <c r="D128">
        <v>1</v>
      </c>
      <c r="E128">
        <v>40</v>
      </c>
      <c r="F128" s="4" t="s">
        <v>88</v>
      </c>
      <c r="G128" s="4" t="s">
        <v>89</v>
      </c>
      <c r="H128" s="4" t="s">
        <v>19</v>
      </c>
      <c r="I128" s="4" t="s">
        <v>625</v>
      </c>
      <c r="J128" s="4" t="s">
        <v>116</v>
      </c>
      <c r="K128" s="4" t="s">
        <v>37</v>
      </c>
      <c r="L128" s="4" t="s">
        <v>38</v>
      </c>
      <c r="M128" s="4" t="s">
        <v>98</v>
      </c>
      <c r="N128" s="4" t="s">
        <v>151</v>
      </c>
      <c r="O128">
        <v>55000</v>
      </c>
      <c r="P128">
        <v>1</v>
      </c>
      <c r="Q128">
        <v>0</v>
      </c>
      <c r="R128">
        <v>55000</v>
      </c>
      <c r="S128">
        <v>0</v>
      </c>
      <c r="T128">
        <v>55000</v>
      </c>
    </row>
    <row r="129" spans="1:20" x14ac:dyDescent="0.25">
      <c r="A129">
        <v>128</v>
      </c>
      <c r="B129" s="5">
        <v>45055</v>
      </c>
      <c r="C129">
        <v>27</v>
      </c>
      <c r="D129">
        <v>4</v>
      </c>
      <c r="E129">
        <v>88</v>
      </c>
      <c r="F129" s="4" t="s">
        <v>264</v>
      </c>
      <c r="G129" s="4" t="s">
        <v>265</v>
      </c>
      <c r="H129" s="4" t="s">
        <v>19</v>
      </c>
      <c r="I129" s="4" t="s">
        <v>623</v>
      </c>
      <c r="J129" s="4" t="s">
        <v>116</v>
      </c>
      <c r="K129" s="4" t="s">
        <v>37</v>
      </c>
      <c r="L129" s="4" t="s">
        <v>38</v>
      </c>
      <c r="M129" s="4" t="s">
        <v>46</v>
      </c>
      <c r="N129" s="4" t="s">
        <v>53</v>
      </c>
      <c r="O129">
        <v>750000</v>
      </c>
      <c r="P129">
        <v>2</v>
      </c>
      <c r="Q129">
        <v>0</v>
      </c>
      <c r="R129">
        <v>1500000</v>
      </c>
      <c r="S129">
        <v>0</v>
      </c>
      <c r="T129">
        <v>1500000</v>
      </c>
    </row>
    <row r="130" spans="1:20" x14ac:dyDescent="0.25">
      <c r="A130">
        <v>129</v>
      </c>
      <c r="B130" s="5">
        <v>45056</v>
      </c>
      <c r="C130">
        <v>2</v>
      </c>
      <c r="D130">
        <v>2</v>
      </c>
      <c r="E130">
        <v>234</v>
      </c>
      <c r="F130" s="4" t="s">
        <v>78</v>
      </c>
      <c r="G130" s="4" t="s">
        <v>79</v>
      </c>
      <c r="H130" s="4" t="s">
        <v>42</v>
      </c>
      <c r="I130" s="4" t="s">
        <v>643</v>
      </c>
      <c r="J130" s="4" t="s">
        <v>101</v>
      </c>
      <c r="K130" s="4" t="s">
        <v>109</v>
      </c>
      <c r="L130" s="4" t="s">
        <v>38</v>
      </c>
      <c r="M130" s="4" t="s">
        <v>98</v>
      </c>
      <c r="N130" s="4" t="s">
        <v>151</v>
      </c>
      <c r="O130">
        <v>55000</v>
      </c>
      <c r="P130">
        <v>1</v>
      </c>
      <c r="Q130">
        <v>0</v>
      </c>
      <c r="R130">
        <v>55000</v>
      </c>
      <c r="S130">
        <v>0</v>
      </c>
      <c r="T130">
        <v>55000</v>
      </c>
    </row>
    <row r="131" spans="1:20" x14ac:dyDescent="0.25">
      <c r="A131">
        <v>130</v>
      </c>
      <c r="B131" s="5">
        <v>45057</v>
      </c>
      <c r="C131">
        <v>59</v>
      </c>
      <c r="D131">
        <v>1</v>
      </c>
      <c r="E131">
        <v>237</v>
      </c>
      <c r="F131" s="4" t="s">
        <v>266</v>
      </c>
      <c r="G131" s="4" t="s">
        <v>267</v>
      </c>
      <c r="H131" s="4" t="s">
        <v>19</v>
      </c>
      <c r="I131" s="4" t="s">
        <v>612</v>
      </c>
      <c r="J131" s="4" t="s">
        <v>43</v>
      </c>
      <c r="K131" s="4" t="s">
        <v>43</v>
      </c>
      <c r="L131" s="4" t="s">
        <v>38</v>
      </c>
      <c r="M131" s="4" t="s">
        <v>69</v>
      </c>
      <c r="N131" s="4" t="s">
        <v>53</v>
      </c>
      <c r="O131">
        <v>450000</v>
      </c>
      <c r="P131">
        <v>3</v>
      </c>
      <c r="Q131">
        <v>5</v>
      </c>
      <c r="R131">
        <v>1350000</v>
      </c>
      <c r="S131">
        <v>67500</v>
      </c>
      <c r="T131">
        <v>1282500</v>
      </c>
    </row>
    <row r="132" spans="1:20" x14ac:dyDescent="0.25">
      <c r="A132">
        <v>131</v>
      </c>
      <c r="B132" s="5">
        <v>45058</v>
      </c>
      <c r="C132">
        <v>47</v>
      </c>
      <c r="D132">
        <v>1</v>
      </c>
      <c r="E132">
        <v>147</v>
      </c>
      <c r="F132" s="4" t="s">
        <v>268</v>
      </c>
      <c r="G132" s="4" t="s">
        <v>269</v>
      </c>
      <c r="H132" s="4" t="s">
        <v>42</v>
      </c>
      <c r="I132" s="4" t="s">
        <v>618</v>
      </c>
      <c r="J132" s="4" t="s">
        <v>116</v>
      </c>
      <c r="K132" s="4" t="s">
        <v>37</v>
      </c>
      <c r="L132" s="4" t="s">
        <v>38</v>
      </c>
      <c r="M132" s="4" t="s">
        <v>23</v>
      </c>
      <c r="N132" s="4" t="s">
        <v>24</v>
      </c>
      <c r="O132">
        <v>15000</v>
      </c>
      <c r="P132">
        <v>2</v>
      </c>
      <c r="Q132">
        <v>0</v>
      </c>
      <c r="R132">
        <v>30000</v>
      </c>
      <c r="S132">
        <v>0</v>
      </c>
      <c r="T132">
        <v>30000</v>
      </c>
    </row>
    <row r="133" spans="1:20" x14ac:dyDescent="0.25">
      <c r="A133">
        <v>132</v>
      </c>
      <c r="B133" s="5">
        <v>45059</v>
      </c>
      <c r="C133">
        <v>53</v>
      </c>
      <c r="D133">
        <v>1</v>
      </c>
      <c r="E133">
        <v>195</v>
      </c>
      <c r="F133" s="4" t="s">
        <v>160</v>
      </c>
      <c r="G133" s="4" t="s">
        <v>161</v>
      </c>
      <c r="H133" s="4" t="s">
        <v>42</v>
      </c>
      <c r="I133" s="4" t="s">
        <v>625</v>
      </c>
      <c r="J133" s="4" t="s">
        <v>76</v>
      </c>
      <c r="K133" s="4" t="s">
        <v>77</v>
      </c>
      <c r="L133" s="4" t="s">
        <v>22</v>
      </c>
      <c r="M133" s="4" t="s">
        <v>102</v>
      </c>
      <c r="N133" s="4" t="s">
        <v>57</v>
      </c>
      <c r="O133">
        <v>12000</v>
      </c>
      <c r="P133">
        <v>2</v>
      </c>
      <c r="Q133">
        <v>1</v>
      </c>
      <c r="R133">
        <v>24000</v>
      </c>
      <c r="S133">
        <v>240</v>
      </c>
      <c r="T133">
        <v>23760</v>
      </c>
    </row>
    <row r="134" spans="1:20" x14ac:dyDescent="0.25">
      <c r="A134">
        <v>133</v>
      </c>
      <c r="B134" s="5">
        <v>45060</v>
      </c>
      <c r="C134">
        <v>49</v>
      </c>
      <c r="D134">
        <v>1</v>
      </c>
      <c r="E134">
        <v>104</v>
      </c>
      <c r="F134" s="4" t="s">
        <v>208</v>
      </c>
      <c r="G134" s="4" t="s">
        <v>209</v>
      </c>
      <c r="H134" s="4" t="s">
        <v>42</v>
      </c>
      <c r="I134" s="4" t="s">
        <v>631</v>
      </c>
      <c r="J134" s="4" t="s">
        <v>43</v>
      </c>
      <c r="K134" s="4" t="s">
        <v>43</v>
      </c>
      <c r="L134" s="4" t="s">
        <v>22</v>
      </c>
      <c r="M134" s="4" t="s">
        <v>69</v>
      </c>
      <c r="N134" s="4" t="s">
        <v>53</v>
      </c>
      <c r="O134">
        <v>450000</v>
      </c>
      <c r="P134">
        <v>1</v>
      </c>
      <c r="Q134">
        <v>0</v>
      </c>
      <c r="R134">
        <v>450000</v>
      </c>
      <c r="S134">
        <v>0</v>
      </c>
      <c r="T134">
        <v>450000</v>
      </c>
    </row>
    <row r="135" spans="1:20" x14ac:dyDescent="0.25">
      <c r="A135">
        <v>134</v>
      </c>
      <c r="B135" s="5">
        <v>45061</v>
      </c>
      <c r="C135">
        <v>12</v>
      </c>
      <c r="D135">
        <v>0</v>
      </c>
      <c r="E135">
        <v>188</v>
      </c>
      <c r="F135" s="4" t="s">
        <v>270</v>
      </c>
      <c r="G135" s="4" t="s">
        <v>271</v>
      </c>
      <c r="H135" s="4" t="s">
        <v>42</v>
      </c>
      <c r="I135" s="4" t="s">
        <v>641</v>
      </c>
      <c r="J135" s="4" t="s">
        <v>116</v>
      </c>
      <c r="K135" s="4" t="s">
        <v>37</v>
      </c>
      <c r="L135" s="4" t="s">
        <v>38</v>
      </c>
      <c r="M135" s="4" t="s">
        <v>46</v>
      </c>
      <c r="N135" s="4" t="s">
        <v>53</v>
      </c>
      <c r="O135">
        <v>750000</v>
      </c>
      <c r="P135">
        <v>3</v>
      </c>
      <c r="Q135">
        <v>5</v>
      </c>
      <c r="R135">
        <v>2250000</v>
      </c>
      <c r="S135">
        <v>112500</v>
      </c>
      <c r="T135">
        <v>2137500</v>
      </c>
    </row>
    <row r="136" spans="1:20" x14ac:dyDescent="0.25">
      <c r="A136">
        <v>135</v>
      </c>
      <c r="B136" s="5">
        <v>45062</v>
      </c>
      <c r="C136">
        <v>1</v>
      </c>
      <c r="D136">
        <v>8</v>
      </c>
      <c r="E136">
        <v>191</v>
      </c>
      <c r="F136" s="4" t="s">
        <v>202</v>
      </c>
      <c r="G136" s="4" t="s">
        <v>203</v>
      </c>
      <c r="H136" s="4" t="s">
        <v>42</v>
      </c>
      <c r="I136" s="4" t="s">
        <v>639</v>
      </c>
      <c r="J136" s="4" t="s">
        <v>34</v>
      </c>
      <c r="K136" s="4" t="s">
        <v>272</v>
      </c>
      <c r="L136" s="4" t="s">
        <v>38</v>
      </c>
      <c r="M136" s="4" t="s">
        <v>49</v>
      </c>
      <c r="N136" s="4" t="s">
        <v>31</v>
      </c>
      <c r="O136">
        <v>800000</v>
      </c>
      <c r="P136">
        <v>1</v>
      </c>
      <c r="Q136">
        <v>0</v>
      </c>
      <c r="R136">
        <v>800000</v>
      </c>
      <c r="S136">
        <v>0</v>
      </c>
      <c r="T136">
        <v>800000</v>
      </c>
    </row>
    <row r="137" spans="1:20" x14ac:dyDescent="0.25">
      <c r="A137">
        <v>136</v>
      </c>
      <c r="B137" s="5">
        <v>45063</v>
      </c>
      <c r="C137">
        <v>18</v>
      </c>
      <c r="D137">
        <v>1</v>
      </c>
      <c r="E137">
        <v>234</v>
      </c>
      <c r="F137" s="4" t="s">
        <v>78</v>
      </c>
      <c r="G137" s="4" t="s">
        <v>79</v>
      </c>
      <c r="H137" s="4" t="s">
        <v>42</v>
      </c>
      <c r="I137" s="4" t="s">
        <v>643</v>
      </c>
      <c r="J137" s="4" t="s">
        <v>27</v>
      </c>
      <c r="K137" s="4" t="s">
        <v>28</v>
      </c>
      <c r="L137" s="4" t="s">
        <v>22</v>
      </c>
      <c r="M137" s="4" t="s">
        <v>102</v>
      </c>
      <c r="N137" s="4" t="s">
        <v>57</v>
      </c>
      <c r="O137">
        <v>12000</v>
      </c>
      <c r="P137">
        <v>3</v>
      </c>
      <c r="Q137">
        <v>0</v>
      </c>
      <c r="R137">
        <v>36000</v>
      </c>
      <c r="S137">
        <v>0</v>
      </c>
      <c r="T137">
        <v>36000</v>
      </c>
    </row>
    <row r="138" spans="1:20" x14ac:dyDescent="0.25">
      <c r="A138">
        <v>137</v>
      </c>
      <c r="B138" s="5">
        <v>45064</v>
      </c>
      <c r="C138">
        <v>22</v>
      </c>
      <c r="D138">
        <v>1</v>
      </c>
      <c r="E138">
        <v>13</v>
      </c>
      <c r="F138" s="4" t="s">
        <v>273</v>
      </c>
      <c r="G138" s="4" t="s">
        <v>274</v>
      </c>
      <c r="H138" s="4" t="s">
        <v>42</v>
      </c>
      <c r="I138" s="4" t="s">
        <v>625</v>
      </c>
      <c r="J138" s="4" t="s">
        <v>116</v>
      </c>
      <c r="K138" s="4" t="s">
        <v>37</v>
      </c>
      <c r="L138" s="4" t="s">
        <v>29</v>
      </c>
      <c r="M138" s="4" t="s">
        <v>98</v>
      </c>
      <c r="N138" s="4" t="s">
        <v>151</v>
      </c>
      <c r="O138">
        <v>55000</v>
      </c>
      <c r="P138">
        <v>1</v>
      </c>
      <c r="Q138">
        <v>1</v>
      </c>
      <c r="R138">
        <v>55000</v>
      </c>
      <c r="S138">
        <v>550</v>
      </c>
      <c r="T138">
        <v>54450</v>
      </c>
    </row>
    <row r="139" spans="1:20" x14ac:dyDescent="0.25">
      <c r="A139">
        <v>138</v>
      </c>
      <c r="B139" s="5">
        <v>45065</v>
      </c>
      <c r="C139">
        <v>56</v>
      </c>
      <c r="D139">
        <v>2</v>
      </c>
      <c r="E139">
        <v>178</v>
      </c>
      <c r="F139" s="4" t="s">
        <v>125</v>
      </c>
      <c r="G139" s="4" t="s">
        <v>126</v>
      </c>
      <c r="H139" s="4" t="s">
        <v>42</v>
      </c>
      <c r="I139" s="4" t="s">
        <v>628</v>
      </c>
      <c r="J139" s="4" t="s">
        <v>27</v>
      </c>
      <c r="K139" s="4" t="s">
        <v>28</v>
      </c>
      <c r="L139" s="4" t="s">
        <v>29</v>
      </c>
      <c r="M139" s="4" t="s">
        <v>62</v>
      </c>
      <c r="N139" s="4" t="s">
        <v>31</v>
      </c>
      <c r="O139">
        <v>650000</v>
      </c>
      <c r="P139">
        <v>1</v>
      </c>
      <c r="Q139">
        <v>0</v>
      </c>
      <c r="R139">
        <v>650000</v>
      </c>
      <c r="S139">
        <v>0</v>
      </c>
      <c r="T139">
        <v>650000</v>
      </c>
    </row>
    <row r="140" spans="1:20" x14ac:dyDescent="0.25">
      <c r="A140">
        <v>139</v>
      </c>
      <c r="B140" s="5">
        <v>45066</v>
      </c>
      <c r="C140">
        <v>25</v>
      </c>
      <c r="D140">
        <v>3</v>
      </c>
      <c r="E140">
        <v>160</v>
      </c>
      <c r="F140" s="4" t="s">
        <v>47</v>
      </c>
      <c r="G140" s="4" t="s">
        <v>48</v>
      </c>
      <c r="H140" s="4" t="s">
        <v>42</v>
      </c>
      <c r="I140" s="4" t="s">
        <v>617</v>
      </c>
      <c r="J140" s="4" t="s">
        <v>76</v>
      </c>
      <c r="K140" s="4" t="s">
        <v>77</v>
      </c>
      <c r="L140" s="4" t="s">
        <v>22</v>
      </c>
      <c r="M140" s="4" t="s">
        <v>102</v>
      </c>
      <c r="N140" s="4" t="s">
        <v>57</v>
      </c>
      <c r="O140">
        <v>12000</v>
      </c>
      <c r="P140">
        <v>1</v>
      </c>
      <c r="Q140">
        <v>1</v>
      </c>
      <c r="R140">
        <v>12000</v>
      </c>
      <c r="S140">
        <v>120</v>
      </c>
      <c r="T140">
        <v>11880</v>
      </c>
    </row>
    <row r="141" spans="1:20" x14ac:dyDescent="0.25">
      <c r="A141">
        <v>140</v>
      </c>
      <c r="B141" s="5">
        <v>45067</v>
      </c>
      <c r="C141">
        <v>8</v>
      </c>
      <c r="D141">
        <v>1</v>
      </c>
      <c r="E141">
        <v>69</v>
      </c>
      <c r="F141" s="4" t="s">
        <v>188</v>
      </c>
      <c r="G141" s="4" t="s">
        <v>189</v>
      </c>
      <c r="H141" s="4" t="s">
        <v>42</v>
      </c>
      <c r="I141" s="4" t="s">
        <v>627</v>
      </c>
      <c r="J141" s="4" t="s">
        <v>76</v>
      </c>
      <c r="K141" s="4" t="s">
        <v>77</v>
      </c>
      <c r="L141" s="4" t="s">
        <v>29</v>
      </c>
      <c r="M141" s="4" t="s">
        <v>46</v>
      </c>
      <c r="N141" s="4" t="s">
        <v>53</v>
      </c>
      <c r="O141">
        <v>750000</v>
      </c>
      <c r="P141">
        <v>2</v>
      </c>
      <c r="Q141">
        <v>1</v>
      </c>
      <c r="R141">
        <v>1500000</v>
      </c>
      <c r="S141">
        <v>15000</v>
      </c>
      <c r="T141">
        <v>1485000</v>
      </c>
    </row>
    <row r="142" spans="1:20" x14ac:dyDescent="0.25">
      <c r="A142">
        <v>141</v>
      </c>
      <c r="B142" s="5">
        <v>45068</v>
      </c>
      <c r="C142">
        <v>44</v>
      </c>
      <c r="D142">
        <v>7</v>
      </c>
      <c r="E142">
        <v>64</v>
      </c>
      <c r="F142" s="4" t="s">
        <v>232</v>
      </c>
      <c r="G142" s="4" t="s">
        <v>233</v>
      </c>
      <c r="H142" s="4" t="s">
        <v>19</v>
      </c>
      <c r="I142" s="4" t="s">
        <v>618</v>
      </c>
      <c r="J142" s="4" t="s">
        <v>43</v>
      </c>
      <c r="K142" s="4" t="s">
        <v>43</v>
      </c>
      <c r="L142" s="4" t="s">
        <v>22</v>
      </c>
      <c r="M142" s="4" t="s">
        <v>102</v>
      </c>
      <c r="N142" s="4" t="s">
        <v>57</v>
      </c>
      <c r="O142">
        <v>12000</v>
      </c>
      <c r="P142">
        <v>3</v>
      </c>
      <c r="Q142">
        <v>5</v>
      </c>
      <c r="R142">
        <v>36000</v>
      </c>
      <c r="S142">
        <v>1800</v>
      </c>
      <c r="T142">
        <v>34200</v>
      </c>
    </row>
    <row r="143" spans="1:20" x14ac:dyDescent="0.25">
      <c r="A143">
        <v>142</v>
      </c>
      <c r="B143" s="5">
        <v>45069</v>
      </c>
      <c r="C143">
        <v>33</v>
      </c>
      <c r="D143">
        <v>13</v>
      </c>
      <c r="E143">
        <v>248</v>
      </c>
      <c r="F143" s="4" t="s">
        <v>275</v>
      </c>
      <c r="G143" s="4" t="s">
        <v>276</v>
      </c>
      <c r="H143" s="4" t="s">
        <v>19</v>
      </c>
      <c r="I143" s="4" t="s">
        <v>643</v>
      </c>
      <c r="J143" s="4" t="s">
        <v>101</v>
      </c>
      <c r="K143" s="4" t="s">
        <v>109</v>
      </c>
      <c r="L143" s="4" t="s">
        <v>29</v>
      </c>
      <c r="M143" s="4" t="s">
        <v>46</v>
      </c>
      <c r="N143" s="4" t="s">
        <v>53</v>
      </c>
      <c r="O143">
        <v>750000</v>
      </c>
      <c r="P143">
        <v>1</v>
      </c>
      <c r="Q143">
        <v>5</v>
      </c>
      <c r="R143">
        <v>750000</v>
      </c>
      <c r="S143">
        <v>37500</v>
      </c>
      <c r="T143">
        <v>712500</v>
      </c>
    </row>
    <row r="144" spans="1:20" x14ac:dyDescent="0.25">
      <c r="A144">
        <v>143</v>
      </c>
      <c r="B144" s="5">
        <v>45070</v>
      </c>
      <c r="C144">
        <v>4</v>
      </c>
      <c r="D144">
        <v>3</v>
      </c>
      <c r="E144">
        <v>142</v>
      </c>
      <c r="F144" s="4" t="s">
        <v>277</v>
      </c>
      <c r="G144" s="4" t="s">
        <v>278</v>
      </c>
      <c r="H144" s="4" t="s">
        <v>19</v>
      </c>
      <c r="I144" s="4" t="s">
        <v>650</v>
      </c>
      <c r="J144" s="4" t="s">
        <v>52</v>
      </c>
      <c r="K144" s="4" t="s">
        <v>28</v>
      </c>
      <c r="L144" s="4" t="s">
        <v>38</v>
      </c>
      <c r="M144" s="4" t="s">
        <v>56</v>
      </c>
      <c r="N144" s="4" t="s">
        <v>57</v>
      </c>
      <c r="O144">
        <v>25000</v>
      </c>
      <c r="P144">
        <v>3</v>
      </c>
      <c r="Q144">
        <v>1</v>
      </c>
      <c r="R144">
        <v>75000</v>
      </c>
      <c r="S144">
        <v>750</v>
      </c>
      <c r="T144">
        <v>74250</v>
      </c>
    </row>
    <row r="145" spans="1:20" x14ac:dyDescent="0.25">
      <c r="A145">
        <v>144</v>
      </c>
      <c r="B145" s="5">
        <v>45071</v>
      </c>
      <c r="C145">
        <v>8</v>
      </c>
      <c r="D145">
        <v>1</v>
      </c>
      <c r="E145">
        <v>22</v>
      </c>
      <c r="F145" s="4" t="s">
        <v>279</v>
      </c>
      <c r="G145" s="4" t="s">
        <v>280</v>
      </c>
      <c r="H145" s="4" t="s">
        <v>19</v>
      </c>
      <c r="I145" s="4" t="s">
        <v>613</v>
      </c>
      <c r="J145" s="4" t="s">
        <v>76</v>
      </c>
      <c r="K145" s="4" t="s">
        <v>77</v>
      </c>
      <c r="L145" s="4" t="s">
        <v>38</v>
      </c>
      <c r="M145" s="4" t="s">
        <v>62</v>
      </c>
      <c r="N145" s="4" t="s">
        <v>31</v>
      </c>
      <c r="O145">
        <v>650000</v>
      </c>
      <c r="P145">
        <v>3</v>
      </c>
      <c r="Q145">
        <v>0</v>
      </c>
      <c r="R145">
        <v>1950000</v>
      </c>
      <c r="S145">
        <v>0</v>
      </c>
      <c r="T145">
        <v>1950000</v>
      </c>
    </row>
    <row r="146" spans="1:20" x14ac:dyDescent="0.25">
      <c r="A146">
        <v>145</v>
      </c>
      <c r="B146" s="5">
        <v>45072</v>
      </c>
      <c r="C146">
        <v>10</v>
      </c>
      <c r="D146">
        <v>7</v>
      </c>
      <c r="E146">
        <v>163</v>
      </c>
      <c r="F146" s="4" t="s">
        <v>281</v>
      </c>
      <c r="G146" s="4" t="s">
        <v>282</v>
      </c>
      <c r="H146" s="4" t="s">
        <v>19</v>
      </c>
      <c r="I146" s="4" t="s">
        <v>644</v>
      </c>
      <c r="J146" s="4" t="s">
        <v>37</v>
      </c>
      <c r="K146" s="4" t="s">
        <v>37</v>
      </c>
      <c r="L146" s="4" t="s">
        <v>29</v>
      </c>
      <c r="M146" s="4" t="s">
        <v>39</v>
      </c>
      <c r="N146" s="4" t="s">
        <v>24</v>
      </c>
      <c r="O146">
        <v>35000</v>
      </c>
      <c r="P146">
        <v>3</v>
      </c>
      <c r="Q146">
        <v>0</v>
      </c>
      <c r="R146">
        <v>105000</v>
      </c>
      <c r="S146">
        <v>0</v>
      </c>
      <c r="T146">
        <v>105000</v>
      </c>
    </row>
    <row r="147" spans="1:20" x14ac:dyDescent="0.25">
      <c r="A147">
        <v>146</v>
      </c>
      <c r="B147" s="5">
        <v>45073</v>
      </c>
      <c r="C147">
        <v>18</v>
      </c>
      <c r="D147">
        <v>1</v>
      </c>
      <c r="E147">
        <v>247</v>
      </c>
      <c r="F147" s="4" t="s">
        <v>283</v>
      </c>
      <c r="G147" s="4" t="s">
        <v>284</v>
      </c>
      <c r="H147" s="4" t="s">
        <v>42</v>
      </c>
      <c r="I147" s="4" t="s">
        <v>639</v>
      </c>
      <c r="J147" s="4" t="s">
        <v>27</v>
      </c>
      <c r="K147" s="4" t="s">
        <v>28</v>
      </c>
      <c r="L147" s="4" t="s">
        <v>22</v>
      </c>
      <c r="M147" s="4" t="s">
        <v>49</v>
      </c>
      <c r="N147" s="4" t="s">
        <v>31</v>
      </c>
      <c r="O147">
        <v>800000</v>
      </c>
      <c r="P147">
        <v>3</v>
      </c>
      <c r="Q147">
        <v>0</v>
      </c>
      <c r="R147">
        <v>2400000</v>
      </c>
      <c r="S147">
        <v>0</v>
      </c>
      <c r="T147">
        <v>2400000</v>
      </c>
    </row>
    <row r="148" spans="1:20" x14ac:dyDescent="0.25">
      <c r="A148">
        <v>147</v>
      </c>
      <c r="B148" s="5">
        <v>45074</v>
      </c>
      <c r="C148">
        <v>39</v>
      </c>
      <c r="D148">
        <v>6</v>
      </c>
      <c r="E148">
        <v>101</v>
      </c>
      <c r="F148" s="4" t="s">
        <v>285</v>
      </c>
      <c r="G148" s="4" t="s">
        <v>286</v>
      </c>
      <c r="H148" s="4" t="s">
        <v>42</v>
      </c>
      <c r="I148" s="4" t="s">
        <v>629</v>
      </c>
      <c r="J148" s="4" t="s">
        <v>43</v>
      </c>
      <c r="K148" s="4" t="s">
        <v>43</v>
      </c>
      <c r="L148" s="4" t="s">
        <v>22</v>
      </c>
      <c r="M148" s="4" t="s">
        <v>102</v>
      </c>
      <c r="N148" s="4" t="s">
        <v>57</v>
      </c>
      <c r="O148">
        <v>12000</v>
      </c>
      <c r="P148">
        <v>2</v>
      </c>
      <c r="Q148">
        <v>0</v>
      </c>
      <c r="R148">
        <v>24000</v>
      </c>
      <c r="S148">
        <v>0</v>
      </c>
      <c r="T148">
        <v>24000</v>
      </c>
    </row>
    <row r="149" spans="1:20" x14ac:dyDescent="0.25">
      <c r="A149">
        <v>148</v>
      </c>
      <c r="B149" s="5">
        <v>45075</v>
      </c>
      <c r="C149">
        <v>18</v>
      </c>
      <c r="D149">
        <v>1</v>
      </c>
      <c r="E149">
        <v>228</v>
      </c>
      <c r="F149" s="4" t="s">
        <v>236</v>
      </c>
      <c r="G149" s="4" t="s">
        <v>237</v>
      </c>
      <c r="H149" s="4" t="s">
        <v>42</v>
      </c>
      <c r="I149" s="4" t="s">
        <v>615</v>
      </c>
      <c r="J149" s="4" t="s">
        <v>27</v>
      </c>
      <c r="K149" s="4" t="s">
        <v>28</v>
      </c>
      <c r="L149" s="4" t="s">
        <v>29</v>
      </c>
      <c r="M149" s="4" t="s">
        <v>49</v>
      </c>
      <c r="N149" s="4" t="s">
        <v>31</v>
      </c>
      <c r="O149">
        <v>800000</v>
      </c>
      <c r="P149">
        <v>3</v>
      </c>
      <c r="Q149">
        <v>5</v>
      </c>
      <c r="R149">
        <v>2400000</v>
      </c>
      <c r="S149">
        <v>120000</v>
      </c>
      <c r="T149">
        <v>2280000</v>
      </c>
    </row>
    <row r="150" spans="1:20" x14ac:dyDescent="0.25">
      <c r="A150">
        <v>149</v>
      </c>
      <c r="B150" s="5">
        <v>45076</v>
      </c>
      <c r="C150">
        <v>25</v>
      </c>
      <c r="D150">
        <v>3</v>
      </c>
      <c r="E150">
        <v>185</v>
      </c>
      <c r="F150" s="4" t="s">
        <v>287</v>
      </c>
      <c r="G150" s="4" t="s">
        <v>288</v>
      </c>
      <c r="H150" s="4" t="s">
        <v>19</v>
      </c>
      <c r="I150" s="4" t="s">
        <v>613</v>
      </c>
      <c r="J150" s="4" t="s">
        <v>76</v>
      </c>
      <c r="K150" s="4" t="s">
        <v>77</v>
      </c>
      <c r="L150" s="4" t="s">
        <v>29</v>
      </c>
      <c r="M150" s="4" t="s">
        <v>102</v>
      </c>
      <c r="N150" s="4" t="s">
        <v>57</v>
      </c>
      <c r="O150">
        <v>12000</v>
      </c>
      <c r="P150">
        <v>1</v>
      </c>
      <c r="Q150">
        <v>0</v>
      </c>
      <c r="R150">
        <v>12000</v>
      </c>
      <c r="S150">
        <v>0</v>
      </c>
      <c r="T150">
        <v>12000</v>
      </c>
    </row>
    <row r="151" spans="1:20" x14ac:dyDescent="0.25">
      <c r="A151">
        <v>150</v>
      </c>
      <c r="B151" s="5">
        <v>45077</v>
      </c>
      <c r="C151">
        <v>64</v>
      </c>
      <c r="D151">
        <v>4</v>
      </c>
      <c r="E151">
        <v>157</v>
      </c>
      <c r="F151" s="4" t="s">
        <v>289</v>
      </c>
      <c r="G151" s="4" t="s">
        <v>290</v>
      </c>
      <c r="H151" s="4" t="s">
        <v>42</v>
      </c>
      <c r="I151" s="4" t="s">
        <v>651</v>
      </c>
      <c r="J151" s="4" t="s">
        <v>20</v>
      </c>
      <c r="K151" s="4" t="s">
        <v>21</v>
      </c>
      <c r="L151" s="4" t="s">
        <v>22</v>
      </c>
      <c r="M151" s="4" t="s">
        <v>49</v>
      </c>
      <c r="N151" s="4" t="s">
        <v>31</v>
      </c>
      <c r="O151">
        <v>800000</v>
      </c>
      <c r="P151">
        <v>2</v>
      </c>
      <c r="Q151">
        <v>5</v>
      </c>
      <c r="R151">
        <v>1600000</v>
      </c>
      <c r="S151">
        <v>80000</v>
      </c>
      <c r="T151">
        <v>1520000</v>
      </c>
    </row>
    <row r="152" spans="1:20" x14ac:dyDescent="0.25">
      <c r="A152">
        <v>151</v>
      </c>
      <c r="B152" s="5">
        <v>45078</v>
      </c>
      <c r="C152">
        <v>32</v>
      </c>
      <c r="D152">
        <v>5</v>
      </c>
      <c r="E152">
        <v>120</v>
      </c>
      <c r="F152" s="4" t="s">
        <v>291</v>
      </c>
      <c r="G152" s="4" t="s">
        <v>292</v>
      </c>
      <c r="H152" s="4" t="s">
        <v>42</v>
      </c>
      <c r="I152" s="4" t="s">
        <v>621</v>
      </c>
      <c r="J152" s="4" t="s">
        <v>76</v>
      </c>
      <c r="K152" s="4" t="s">
        <v>77</v>
      </c>
      <c r="L152" s="4" t="s">
        <v>22</v>
      </c>
      <c r="M152" s="4" t="s">
        <v>46</v>
      </c>
      <c r="N152" s="4" t="s">
        <v>53</v>
      </c>
      <c r="O152">
        <v>750000</v>
      </c>
      <c r="P152">
        <v>2</v>
      </c>
      <c r="Q152">
        <v>0</v>
      </c>
      <c r="R152">
        <v>1500000</v>
      </c>
      <c r="S152">
        <v>0</v>
      </c>
      <c r="T152">
        <v>1500000</v>
      </c>
    </row>
    <row r="153" spans="1:20" x14ac:dyDescent="0.25">
      <c r="A153">
        <v>152</v>
      </c>
      <c r="B153" s="5">
        <v>45079</v>
      </c>
      <c r="C153">
        <v>57</v>
      </c>
      <c r="D153">
        <v>3</v>
      </c>
      <c r="E153">
        <v>229</v>
      </c>
      <c r="F153" s="4" t="s">
        <v>293</v>
      </c>
      <c r="G153" s="4" t="s">
        <v>294</v>
      </c>
      <c r="H153" s="4" t="s">
        <v>19</v>
      </c>
      <c r="I153" s="4" t="s">
        <v>614</v>
      </c>
      <c r="J153" s="4" t="s">
        <v>52</v>
      </c>
      <c r="K153" s="4" t="s">
        <v>28</v>
      </c>
      <c r="L153" s="4" t="s">
        <v>22</v>
      </c>
      <c r="M153" s="4" t="s">
        <v>98</v>
      </c>
      <c r="N153" s="4" t="s">
        <v>151</v>
      </c>
      <c r="O153">
        <v>55000</v>
      </c>
      <c r="P153">
        <v>2</v>
      </c>
      <c r="Q153">
        <v>5</v>
      </c>
      <c r="R153">
        <v>110000</v>
      </c>
      <c r="S153">
        <v>5500</v>
      </c>
      <c r="T153">
        <v>104500</v>
      </c>
    </row>
    <row r="154" spans="1:20" x14ac:dyDescent="0.25">
      <c r="A154">
        <v>153</v>
      </c>
      <c r="B154" s="5">
        <v>45080</v>
      </c>
      <c r="C154">
        <v>12</v>
      </c>
      <c r="D154">
        <v>0</v>
      </c>
      <c r="E154">
        <v>201</v>
      </c>
      <c r="F154" s="4" t="s">
        <v>295</v>
      </c>
      <c r="G154" s="4" t="s">
        <v>296</v>
      </c>
      <c r="H154" s="4" t="s">
        <v>42</v>
      </c>
      <c r="I154" s="4" t="s">
        <v>627</v>
      </c>
      <c r="J154" s="4" t="s">
        <v>116</v>
      </c>
      <c r="K154" s="4" t="s">
        <v>37</v>
      </c>
      <c r="L154" s="4" t="s">
        <v>22</v>
      </c>
      <c r="M154" s="4" t="s">
        <v>98</v>
      </c>
      <c r="N154" s="4" t="s">
        <v>151</v>
      </c>
      <c r="O154">
        <v>55000</v>
      </c>
      <c r="P154">
        <v>3</v>
      </c>
      <c r="Q154">
        <v>5</v>
      </c>
      <c r="R154">
        <v>165000</v>
      </c>
      <c r="S154">
        <v>8250</v>
      </c>
      <c r="T154">
        <v>156750</v>
      </c>
    </row>
    <row r="155" spans="1:20" x14ac:dyDescent="0.25">
      <c r="A155">
        <v>154</v>
      </c>
      <c r="B155" s="5">
        <v>45081</v>
      </c>
      <c r="C155">
        <v>27</v>
      </c>
      <c r="D155">
        <v>4</v>
      </c>
      <c r="E155">
        <v>178</v>
      </c>
      <c r="F155" s="4" t="s">
        <v>125</v>
      </c>
      <c r="G155" s="4" t="s">
        <v>126</v>
      </c>
      <c r="H155" s="4" t="s">
        <v>42</v>
      </c>
      <c r="I155" s="4" t="s">
        <v>628</v>
      </c>
      <c r="J155" s="4" t="s">
        <v>116</v>
      </c>
      <c r="K155" s="4" t="s">
        <v>37</v>
      </c>
      <c r="L155" s="4" t="s">
        <v>38</v>
      </c>
      <c r="M155" s="4" t="s">
        <v>30</v>
      </c>
      <c r="N155" s="4" t="s">
        <v>31</v>
      </c>
      <c r="O155">
        <v>700000</v>
      </c>
      <c r="P155">
        <v>3</v>
      </c>
      <c r="Q155">
        <v>1</v>
      </c>
      <c r="R155">
        <v>2100000</v>
      </c>
      <c r="S155">
        <v>21000</v>
      </c>
      <c r="T155">
        <v>2079000</v>
      </c>
    </row>
    <row r="156" spans="1:20" x14ac:dyDescent="0.25">
      <c r="A156">
        <v>155</v>
      </c>
      <c r="B156" s="5">
        <v>45082</v>
      </c>
      <c r="C156">
        <v>43</v>
      </c>
      <c r="D156">
        <v>0</v>
      </c>
      <c r="E156">
        <v>241</v>
      </c>
      <c r="F156" s="4" t="s">
        <v>297</v>
      </c>
      <c r="G156" s="4" t="s">
        <v>298</v>
      </c>
      <c r="H156" s="4" t="s">
        <v>42</v>
      </c>
      <c r="I156" s="4" t="s">
        <v>631</v>
      </c>
      <c r="J156" s="4" t="s">
        <v>34</v>
      </c>
      <c r="K156" s="4" t="s">
        <v>272</v>
      </c>
      <c r="L156" s="4" t="s">
        <v>38</v>
      </c>
      <c r="M156" s="4" t="s">
        <v>30</v>
      </c>
      <c r="N156" s="4" t="s">
        <v>31</v>
      </c>
      <c r="O156">
        <v>700000</v>
      </c>
      <c r="P156">
        <v>3</v>
      </c>
      <c r="Q156">
        <v>1</v>
      </c>
      <c r="R156">
        <v>2100000</v>
      </c>
      <c r="S156">
        <v>21000</v>
      </c>
      <c r="T156">
        <v>2079000</v>
      </c>
    </row>
    <row r="157" spans="1:20" x14ac:dyDescent="0.25">
      <c r="A157">
        <v>156</v>
      </c>
      <c r="B157" s="5">
        <v>45083</v>
      </c>
      <c r="C157">
        <v>63</v>
      </c>
      <c r="D157">
        <v>5</v>
      </c>
      <c r="E157">
        <v>9</v>
      </c>
      <c r="F157" s="4" t="s">
        <v>299</v>
      </c>
      <c r="G157" s="4" t="s">
        <v>300</v>
      </c>
      <c r="H157" s="4" t="s">
        <v>42</v>
      </c>
      <c r="I157" s="4" t="s">
        <v>639</v>
      </c>
      <c r="J157" s="4" t="s">
        <v>101</v>
      </c>
      <c r="K157" s="4" t="s">
        <v>109</v>
      </c>
      <c r="L157" s="4" t="s">
        <v>22</v>
      </c>
      <c r="M157" s="4" t="s">
        <v>56</v>
      </c>
      <c r="N157" s="4" t="s">
        <v>57</v>
      </c>
      <c r="O157">
        <v>25000</v>
      </c>
      <c r="P157">
        <v>3</v>
      </c>
      <c r="Q157">
        <v>0</v>
      </c>
      <c r="R157">
        <v>75000</v>
      </c>
      <c r="S157">
        <v>0</v>
      </c>
      <c r="T157">
        <v>75000</v>
      </c>
    </row>
    <row r="158" spans="1:20" x14ac:dyDescent="0.25">
      <c r="A158">
        <v>157</v>
      </c>
      <c r="B158" s="5">
        <v>45084</v>
      </c>
      <c r="C158">
        <v>64</v>
      </c>
      <c r="D158">
        <v>4</v>
      </c>
      <c r="E158">
        <v>125</v>
      </c>
      <c r="F158" s="4" t="s">
        <v>206</v>
      </c>
      <c r="G158" s="4" t="s">
        <v>207</v>
      </c>
      <c r="H158" s="4" t="s">
        <v>42</v>
      </c>
      <c r="I158" s="4" t="s">
        <v>617</v>
      </c>
      <c r="J158" s="4" t="s">
        <v>20</v>
      </c>
      <c r="K158" s="4" t="s">
        <v>21</v>
      </c>
      <c r="L158" s="4" t="s">
        <v>22</v>
      </c>
      <c r="M158" s="4" t="s">
        <v>62</v>
      </c>
      <c r="N158" s="4" t="s">
        <v>31</v>
      </c>
      <c r="O158">
        <v>650000</v>
      </c>
      <c r="P158">
        <v>3</v>
      </c>
      <c r="Q158">
        <v>1</v>
      </c>
      <c r="R158">
        <v>1950000</v>
      </c>
      <c r="S158">
        <v>19500</v>
      </c>
      <c r="T158">
        <v>1930500</v>
      </c>
    </row>
    <row r="159" spans="1:20" x14ac:dyDescent="0.25">
      <c r="A159">
        <v>158</v>
      </c>
      <c r="B159" s="5">
        <v>45085</v>
      </c>
      <c r="C159">
        <v>41</v>
      </c>
      <c r="D159">
        <v>4</v>
      </c>
      <c r="E159">
        <v>34</v>
      </c>
      <c r="F159" s="4" t="s">
        <v>301</v>
      </c>
      <c r="G159" s="4" t="s">
        <v>302</v>
      </c>
      <c r="H159" s="4" t="s">
        <v>42</v>
      </c>
      <c r="I159" s="4" t="s">
        <v>615</v>
      </c>
      <c r="J159" s="4" t="s">
        <v>43</v>
      </c>
      <c r="K159" s="4" t="s">
        <v>43</v>
      </c>
      <c r="L159" s="4" t="s">
        <v>38</v>
      </c>
      <c r="M159" s="4" t="s">
        <v>62</v>
      </c>
      <c r="N159" s="4" t="s">
        <v>31</v>
      </c>
      <c r="O159">
        <v>650000</v>
      </c>
      <c r="P159">
        <v>2</v>
      </c>
      <c r="Q159">
        <v>1</v>
      </c>
      <c r="R159">
        <v>1300000</v>
      </c>
      <c r="S159">
        <v>13000</v>
      </c>
      <c r="T159">
        <v>1287000</v>
      </c>
    </row>
    <row r="160" spans="1:20" x14ac:dyDescent="0.25">
      <c r="A160">
        <v>159</v>
      </c>
      <c r="B160" s="5">
        <v>45086</v>
      </c>
      <c r="C160">
        <v>40</v>
      </c>
      <c r="D160">
        <v>1</v>
      </c>
      <c r="E160">
        <v>174</v>
      </c>
      <c r="F160" s="4" t="s">
        <v>303</v>
      </c>
      <c r="G160" s="4" t="s">
        <v>304</v>
      </c>
      <c r="H160" s="4" t="s">
        <v>42</v>
      </c>
      <c r="I160" s="4" t="s">
        <v>627</v>
      </c>
      <c r="J160" s="4" t="s">
        <v>27</v>
      </c>
      <c r="K160" s="4" t="s">
        <v>28</v>
      </c>
      <c r="L160" s="4" t="s">
        <v>38</v>
      </c>
      <c r="M160" s="4" t="s">
        <v>62</v>
      </c>
      <c r="N160" s="4" t="s">
        <v>31</v>
      </c>
      <c r="O160">
        <v>650000</v>
      </c>
      <c r="P160">
        <v>2</v>
      </c>
      <c r="Q160">
        <v>0</v>
      </c>
      <c r="R160">
        <v>1300000</v>
      </c>
      <c r="S160">
        <v>0</v>
      </c>
      <c r="T160">
        <v>1300000</v>
      </c>
    </row>
    <row r="161" spans="1:20" x14ac:dyDescent="0.25">
      <c r="A161">
        <v>160</v>
      </c>
      <c r="B161" s="5">
        <v>45087</v>
      </c>
      <c r="C161">
        <v>58</v>
      </c>
      <c r="D161">
        <v>1</v>
      </c>
      <c r="E161">
        <v>219</v>
      </c>
      <c r="F161" s="4" t="s">
        <v>305</v>
      </c>
      <c r="G161" s="4" t="s">
        <v>306</v>
      </c>
      <c r="H161" s="4" t="s">
        <v>42</v>
      </c>
      <c r="I161" s="4" t="s">
        <v>639</v>
      </c>
      <c r="J161" s="4" t="s">
        <v>76</v>
      </c>
      <c r="K161" s="4" t="s">
        <v>77</v>
      </c>
      <c r="L161" s="4" t="s">
        <v>22</v>
      </c>
      <c r="M161" s="4" t="s">
        <v>62</v>
      </c>
      <c r="N161" s="4" t="s">
        <v>31</v>
      </c>
      <c r="O161">
        <v>650000</v>
      </c>
      <c r="P161">
        <v>1</v>
      </c>
      <c r="Q161">
        <v>1</v>
      </c>
      <c r="R161">
        <v>650000</v>
      </c>
      <c r="S161">
        <v>6500</v>
      </c>
      <c r="T161">
        <v>643500</v>
      </c>
    </row>
    <row r="162" spans="1:20" x14ac:dyDescent="0.25">
      <c r="A162">
        <v>161</v>
      </c>
      <c r="B162" s="5">
        <v>45088</v>
      </c>
      <c r="C162">
        <v>27</v>
      </c>
      <c r="D162">
        <v>4</v>
      </c>
      <c r="E162">
        <v>60</v>
      </c>
      <c r="F162" s="4" t="s">
        <v>307</v>
      </c>
      <c r="G162" s="4" t="s">
        <v>308</v>
      </c>
      <c r="H162" s="4" t="s">
        <v>19</v>
      </c>
      <c r="I162" s="4" t="s">
        <v>637</v>
      </c>
      <c r="J162" s="4" t="s">
        <v>116</v>
      </c>
      <c r="K162" s="4" t="s">
        <v>37</v>
      </c>
      <c r="L162" s="4" t="s">
        <v>22</v>
      </c>
      <c r="M162" s="4" t="s">
        <v>46</v>
      </c>
      <c r="N162" s="4" t="s">
        <v>53</v>
      </c>
      <c r="O162">
        <v>750000</v>
      </c>
      <c r="P162">
        <v>2</v>
      </c>
      <c r="Q162">
        <v>5</v>
      </c>
      <c r="R162">
        <v>1500000</v>
      </c>
      <c r="S162">
        <v>75000</v>
      </c>
      <c r="T162">
        <v>1425000</v>
      </c>
    </row>
    <row r="163" spans="1:20" x14ac:dyDescent="0.25">
      <c r="A163">
        <v>162</v>
      </c>
      <c r="B163" s="5">
        <v>45089</v>
      </c>
      <c r="C163">
        <v>47</v>
      </c>
      <c r="D163">
        <v>1</v>
      </c>
      <c r="E163">
        <v>227</v>
      </c>
      <c r="F163" s="4" t="s">
        <v>309</v>
      </c>
      <c r="G163" s="4" t="s">
        <v>310</v>
      </c>
      <c r="H163" s="4" t="s">
        <v>42</v>
      </c>
      <c r="I163" s="4" t="s">
        <v>610</v>
      </c>
      <c r="J163" s="4" t="s">
        <v>116</v>
      </c>
      <c r="K163" s="4" t="s">
        <v>37</v>
      </c>
      <c r="L163" s="4" t="s">
        <v>38</v>
      </c>
      <c r="M163" s="4" t="s">
        <v>46</v>
      </c>
      <c r="N163" s="4" t="s">
        <v>53</v>
      </c>
      <c r="O163">
        <v>750000</v>
      </c>
      <c r="P163">
        <v>1</v>
      </c>
      <c r="Q163">
        <v>0</v>
      </c>
      <c r="R163">
        <v>750000</v>
      </c>
      <c r="S163">
        <v>0</v>
      </c>
      <c r="T163">
        <v>750000</v>
      </c>
    </row>
    <row r="164" spans="1:20" x14ac:dyDescent="0.25">
      <c r="A164">
        <v>163</v>
      </c>
      <c r="B164" s="5">
        <v>45090</v>
      </c>
      <c r="C164">
        <v>28</v>
      </c>
      <c r="D164">
        <v>5</v>
      </c>
      <c r="E164">
        <v>118</v>
      </c>
      <c r="F164" s="4" t="s">
        <v>133</v>
      </c>
      <c r="G164" s="4" t="s">
        <v>134</v>
      </c>
      <c r="H164" s="4" t="s">
        <v>42</v>
      </c>
      <c r="I164" s="4" t="s">
        <v>618</v>
      </c>
      <c r="J164" s="4" t="s">
        <v>116</v>
      </c>
      <c r="K164" s="4" t="s">
        <v>37</v>
      </c>
      <c r="L164" s="4" t="s">
        <v>29</v>
      </c>
      <c r="M164" s="4" t="s">
        <v>39</v>
      </c>
      <c r="N164" s="4" t="s">
        <v>24</v>
      </c>
      <c r="O164">
        <v>35000</v>
      </c>
      <c r="P164">
        <v>1</v>
      </c>
      <c r="Q164">
        <v>0</v>
      </c>
      <c r="R164">
        <v>35000</v>
      </c>
      <c r="S164">
        <v>0</v>
      </c>
      <c r="T164">
        <v>35000</v>
      </c>
    </row>
    <row r="165" spans="1:20" x14ac:dyDescent="0.25">
      <c r="A165">
        <v>164</v>
      </c>
      <c r="B165" s="5">
        <v>45091</v>
      </c>
      <c r="C165">
        <v>30</v>
      </c>
      <c r="D165">
        <v>0</v>
      </c>
      <c r="E165">
        <v>211</v>
      </c>
      <c r="F165" s="4" t="s">
        <v>311</v>
      </c>
      <c r="G165" s="4" t="s">
        <v>312</v>
      </c>
      <c r="H165" s="4" t="s">
        <v>19</v>
      </c>
      <c r="I165" s="4" t="s">
        <v>620</v>
      </c>
      <c r="J165" s="4" t="s">
        <v>37</v>
      </c>
      <c r="K165" s="4" t="s">
        <v>37</v>
      </c>
      <c r="L165" s="4" t="s">
        <v>38</v>
      </c>
      <c r="M165" s="4" t="s">
        <v>98</v>
      </c>
      <c r="N165" s="4" t="s">
        <v>151</v>
      </c>
      <c r="O165">
        <v>55000</v>
      </c>
      <c r="P165">
        <v>2</v>
      </c>
      <c r="Q165">
        <v>5</v>
      </c>
      <c r="R165">
        <v>110000</v>
      </c>
      <c r="S165">
        <v>5500</v>
      </c>
      <c r="T165">
        <v>104500</v>
      </c>
    </row>
    <row r="166" spans="1:20" x14ac:dyDescent="0.25">
      <c r="A166">
        <v>165</v>
      </c>
      <c r="B166" s="5">
        <v>45092</v>
      </c>
      <c r="C166">
        <v>48</v>
      </c>
      <c r="D166">
        <v>6</v>
      </c>
      <c r="E166">
        <v>71</v>
      </c>
      <c r="F166" s="4" t="s">
        <v>313</v>
      </c>
      <c r="G166" s="4" t="s">
        <v>314</v>
      </c>
      <c r="H166" s="4" t="s">
        <v>42</v>
      </c>
      <c r="I166" s="4" t="s">
        <v>627</v>
      </c>
      <c r="J166" s="4" t="s">
        <v>37</v>
      </c>
      <c r="K166" s="4" t="s">
        <v>37</v>
      </c>
      <c r="L166" s="4" t="s">
        <v>38</v>
      </c>
      <c r="M166" s="4" t="s">
        <v>102</v>
      </c>
      <c r="N166" s="4" t="s">
        <v>57</v>
      </c>
      <c r="O166">
        <v>12000</v>
      </c>
      <c r="P166">
        <v>3</v>
      </c>
      <c r="Q166">
        <v>1</v>
      </c>
      <c r="R166">
        <v>36000</v>
      </c>
      <c r="S166">
        <v>360</v>
      </c>
      <c r="T166">
        <v>35640</v>
      </c>
    </row>
    <row r="167" spans="1:20" x14ac:dyDescent="0.25">
      <c r="A167">
        <v>166</v>
      </c>
      <c r="B167" s="5">
        <v>45093</v>
      </c>
      <c r="C167">
        <v>5</v>
      </c>
      <c r="D167">
        <v>1</v>
      </c>
      <c r="E167">
        <v>267</v>
      </c>
      <c r="F167" s="4" t="s">
        <v>252</v>
      </c>
      <c r="G167" s="4" t="s">
        <v>253</v>
      </c>
      <c r="H167" s="4" t="s">
        <v>42</v>
      </c>
      <c r="I167" s="4" t="s">
        <v>653</v>
      </c>
      <c r="J167" s="4" t="s">
        <v>27</v>
      </c>
      <c r="K167" s="4" t="s">
        <v>28</v>
      </c>
      <c r="L167" s="4" t="s">
        <v>22</v>
      </c>
      <c r="M167" s="4" t="s">
        <v>56</v>
      </c>
      <c r="N167" s="4" t="s">
        <v>57</v>
      </c>
      <c r="O167">
        <v>25000</v>
      </c>
      <c r="P167">
        <v>3</v>
      </c>
      <c r="Q167">
        <v>0</v>
      </c>
      <c r="R167">
        <v>75000</v>
      </c>
      <c r="S167">
        <v>0</v>
      </c>
      <c r="T167">
        <v>75000</v>
      </c>
    </row>
    <row r="168" spans="1:20" x14ac:dyDescent="0.25">
      <c r="A168">
        <v>167</v>
      </c>
      <c r="B168" s="5">
        <v>45094</v>
      </c>
      <c r="C168">
        <v>4</v>
      </c>
      <c r="D168">
        <v>3</v>
      </c>
      <c r="E168">
        <v>213</v>
      </c>
      <c r="F168" s="4" t="s">
        <v>315</v>
      </c>
      <c r="G168" s="4" t="s">
        <v>316</v>
      </c>
      <c r="H168" s="4" t="s">
        <v>42</v>
      </c>
      <c r="I168" s="4" t="s">
        <v>637</v>
      </c>
      <c r="J168" s="4" t="s">
        <v>52</v>
      </c>
      <c r="K168" s="4" t="s">
        <v>28</v>
      </c>
      <c r="L168" s="4" t="s">
        <v>22</v>
      </c>
      <c r="M168" s="4" t="s">
        <v>62</v>
      </c>
      <c r="N168" s="4" t="s">
        <v>31</v>
      </c>
      <c r="O168">
        <v>650000</v>
      </c>
      <c r="P168">
        <v>1</v>
      </c>
      <c r="Q168">
        <v>0</v>
      </c>
      <c r="R168">
        <v>650000</v>
      </c>
      <c r="S168">
        <v>0</v>
      </c>
      <c r="T168">
        <v>650000</v>
      </c>
    </row>
    <row r="169" spans="1:20" x14ac:dyDescent="0.25">
      <c r="A169">
        <v>168</v>
      </c>
      <c r="B169" s="5">
        <v>45095</v>
      </c>
      <c r="C169">
        <v>40</v>
      </c>
      <c r="D169">
        <v>1</v>
      </c>
      <c r="E169">
        <v>76</v>
      </c>
      <c r="F169" s="4" t="s">
        <v>317</v>
      </c>
      <c r="G169" s="4" t="s">
        <v>318</v>
      </c>
      <c r="H169" s="4" t="s">
        <v>19</v>
      </c>
      <c r="I169" s="4" t="s">
        <v>621</v>
      </c>
      <c r="J169" s="4" t="s">
        <v>27</v>
      </c>
      <c r="K169" s="4" t="s">
        <v>28</v>
      </c>
      <c r="L169" s="4" t="s">
        <v>29</v>
      </c>
      <c r="M169" s="4" t="s">
        <v>49</v>
      </c>
      <c r="N169" s="4" t="s">
        <v>31</v>
      </c>
      <c r="O169">
        <v>800000</v>
      </c>
      <c r="P169">
        <v>3</v>
      </c>
      <c r="Q169">
        <v>1</v>
      </c>
      <c r="R169">
        <v>2400000</v>
      </c>
      <c r="S169">
        <v>24000</v>
      </c>
      <c r="T169">
        <v>2376000</v>
      </c>
    </row>
    <row r="170" spans="1:20" x14ac:dyDescent="0.25">
      <c r="A170">
        <v>169</v>
      </c>
      <c r="B170" s="5">
        <v>45096</v>
      </c>
      <c r="C170">
        <v>58</v>
      </c>
      <c r="D170">
        <v>1</v>
      </c>
      <c r="E170">
        <v>14</v>
      </c>
      <c r="F170" s="4" t="s">
        <v>319</v>
      </c>
      <c r="G170" s="4" t="s">
        <v>320</v>
      </c>
      <c r="H170" s="4" t="s">
        <v>19</v>
      </c>
      <c r="I170" s="4" t="s">
        <v>612</v>
      </c>
      <c r="J170" s="4" t="s">
        <v>76</v>
      </c>
      <c r="K170" s="4" t="s">
        <v>77</v>
      </c>
      <c r="L170" s="4" t="s">
        <v>22</v>
      </c>
      <c r="M170" s="4" t="s">
        <v>23</v>
      </c>
      <c r="N170" s="4" t="s">
        <v>24</v>
      </c>
      <c r="O170">
        <v>15000</v>
      </c>
      <c r="P170">
        <v>3</v>
      </c>
      <c r="Q170">
        <v>0</v>
      </c>
      <c r="R170">
        <v>45000</v>
      </c>
      <c r="S170">
        <v>0</v>
      </c>
      <c r="T170">
        <v>45000</v>
      </c>
    </row>
    <row r="171" spans="1:20" x14ac:dyDescent="0.25">
      <c r="A171">
        <v>170</v>
      </c>
      <c r="B171" s="5">
        <v>45097</v>
      </c>
      <c r="C171">
        <v>1</v>
      </c>
      <c r="D171">
        <v>8</v>
      </c>
      <c r="E171">
        <v>93</v>
      </c>
      <c r="F171" s="4" t="s">
        <v>321</v>
      </c>
      <c r="G171" s="4" t="s">
        <v>322</v>
      </c>
      <c r="H171" s="4" t="s">
        <v>42</v>
      </c>
      <c r="I171" s="4" t="s">
        <v>614</v>
      </c>
      <c r="J171" s="4" t="s">
        <v>34</v>
      </c>
      <c r="K171" s="4" t="s">
        <v>272</v>
      </c>
      <c r="L171" s="4" t="s">
        <v>38</v>
      </c>
      <c r="M171" s="4" t="s">
        <v>98</v>
      </c>
      <c r="N171" s="4" t="s">
        <v>151</v>
      </c>
      <c r="O171">
        <v>55000</v>
      </c>
      <c r="P171">
        <v>2</v>
      </c>
      <c r="Q171">
        <v>1</v>
      </c>
      <c r="R171">
        <v>110000</v>
      </c>
      <c r="S171">
        <v>1100</v>
      </c>
      <c r="T171">
        <v>108900</v>
      </c>
    </row>
    <row r="172" spans="1:20" x14ac:dyDescent="0.25">
      <c r="A172">
        <v>171</v>
      </c>
      <c r="B172" s="5">
        <v>45098</v>
      </c>
      <c r="C172">
        <v>40</v>
      </c>
      <c r="D172">
        <v>1</v>
      </c>
      <c r="E172">
        <v>269</v>
      </c>
      <c r="F172" s="4" t="s">
        <v>72</v>
      </c>
      <c r="G172" s="4" t="s">
        <v>73</v>
      </c>
      <c r="H172" s="4" t="s">
        <v>42</v>
      </c>
      <c r="I172" s="4" t="s">
        <v>639</v>
      </c>
      <c r="J172" s="4" t="s">
        <v>27</v>
      </c>
      <c r="K172" s="4" t="s">
        <v>28</v>
      </c>
      <c r="L172" s="4" t="s">
        <v>38</v>
      </c>
      <c r="M172" s="4" t="s">
        <v>69</v>
      </c>
      <c r="N172" s="4" t="s">
        <v>53</v>
      </c>
      <c r="O172">
        <v>450000</v>
      </c>
      <c r="P172">
        <v>3</v>
      </c>
      <c r="Q172">
        <v>5</v>
      </c>
      <c r="R172">
        <v>1350000</v>
      </c>
      <c r="S172">
        <v>67500</v>
      </c>
      <c r="T172">
        <v>1282500</v>
      </c>
    </row>
    <row r="173" spans="1:20" x14ac:dyDescent="0.25">
      <c r="A173">
        <v>172</v>
      </c>
      <c r="B173" s="5">
        <v>45099</v>
      </c>
      <c r="C173">
        <v>58</v>
      </c>
      <c r="D173">
        <v>1</v>
      </c>
      <c r="E173">
        <v>107</v>
      </c>
      <c r="F173" s="4" t="s">
        <v>323</v>
      </c>
      <c r="G173" s="4" t="s">
        <v>324</v>
      </c>
      <c r="H173" s="4" t="s">
        <v>42</v>
      </c>
      <c r="I173" s="4" t="s">
        <v>651</v>
      </c>
      <c r="J173" s="4" t="s">
        <v>76</v>
      </c>
      <c r="K173" s="4" t="s">
        <v>77</v>
      </c>
      <c r="L173" s="4" t="s">
        <v>38</v>
      </c>
      <c r="M173" s="4" t="s">
        <v>46</v>
      </c>
      <c r="N173" s="4" t="s">
        <v>53</v>
      </c>
      <c r="O173">
        <v>750000</v>
      </c>
      <c r="P173">
        <v>3</v>
      </c>
      <c r="Q173">
        <v>0</v>
      </c>
      <c r="R173">
        <v>2250000</v>
      </c>
      <c r="S173">
        <v>0</v>
      </c>
      <c r="T173">
        <v>2250000</v>
      </c>
    </row>
    <row r="174" spans="1:20" x14ac:dyDescent="0.25">
      <c r="A174">
        <v>173</v>
      </c>
      <c r="B174" s="5">
        <v>45100</v>
      </c>
      <c r="C174">
        <v>56</v>
      </c>
      <c r="D174">
        <v>2</v>
      </c>
      <c r="E174">
        <v>40</v>
      </c>
      <c r="F174" s="4" t="s">
        <v>88</v>
      </c>
      <c r="G174" s="4" t="s">
        <v>89</v>
      </c>
      <c r="H174" s="4" t="s">
        <v>19</v>
      </c>
      <c r="I174" s="4" t="s">
        <v>625</v>
      </c>
      <c r="J174" s="4" t="s">
        <v>27</v>
      </c>
      <c r="K174" s="4" t="s">
        <v>28</v>
      </c>
      <c r="L174" s="4" t="s">
        <v>22</v>
      </c>
      <c r="M174" s="4" t="s">
        <v>49</v>
      </c>
      <c r="N174" s="4" t="s">
        <v>31</v>
      </c>
      <c r="O174">
        <v>800000</v>
      </c>
      <c r="P174">
        <v>3</v>
      </c>
      <c r="Q174">
        <v>0</v>
      </c>
      <c r="R174">
        <v>2400000</v>
      </c>
      <c r="S174">
        <v>0</v>
      </c>
      <c r="T174">
        <v>2400000</v>
      </c>
    </row>
    <row r="175" spans="1:20" x14ac:dyDescent="0.25">
      <c r="A175">
        <v>174</v>
      </c>
      <c r="B175" s="5">
        <v>45101</v>
      </c>
      <c r="C175">
        <v>13</v>
      </c>
      <c r="D175">
        <v>0</v>
      </c>
      <c r="E175">
        <v>163</v>
      </c>
      <c r="F175" s="4" t="s">
        <v>281</v>
      </c>
      <c r="G175" s="4" t="s">
        <v>282</v>
      </c>
      <c r="H175" s="4" t="s">
        <v>19</v>
      </c>
      <c r="I175" s="4" t="s">
        <v>644</v>
      </c>
      <c r="J175" s="4" t="s">
        <v>27</v>
      </c>
      <c r="K175" s="4" t="s">
        <v>28</v>
      </c>
      <c r="L175" s="4" t="s">
        <v>38</v>
      </c>
      <c r="M175" s="4" t="s">
        <v>102</v>
      </c>
      <c r="N175" s="4" t="s">
        <v>57</v>
      </c>
      <c r="O175">
        <v>12000</v>
      </c>
      <c r="P175">
        <v>2</v>
      </c>
      <c r="Q175">
        <v>1</v>
      </c>
      <c r="R175">
        <v>24000</v>
      </c>
      <c r="S175">
        <v>240</v>
      </c>
      <c r="T175">
        <v>23760</v>
      </c>
    </row>
    <row r="176" spans="1:20" x14ac:dyDescent="0.25">
      <c r="A176">
        <v>175</v>
      </c>
      <c r="B176" s="5">
        <v>45102</v>
      </c>
      <c r="C176">
        <v>11</v>
      </c>
      <c r="D176">
        <v>0</v>
      </c>
      <c r="E176">
        <v>171</v>
      </c>
      <c r="F176" s="4" t="s">
        <v>325</v>
      </c>
      <c r="G176" s="4" t="s">
        <v>326</v>
      </c>
      <c r="H176" s="4" t="s">
        <v>19</v>
      </c>
      <c r="I176" s="4" t="s">
        <v>616</v>
      </c>
      <c r="J176" s="4" t="s">
        <v>43</v>
      </c>
      <c r="K176" s="4" t="s">
        <v>43</v>
      </c>
      <c r="L176" s="4" t="s">
        <v>22</v>
      </c>
      <c r="M176" s="4" t="s">
        <v>102</v>
      </c>
      <c r="N176" s="4" t="s">
        <v>57</v>
      </c>
      <c r="O176">
        <v>12000</v>
      </c>
      <c r="P176">
        <v>3</v>
      </c>
      <c r="Q176">
        <v>0</v>
      </c>
      <c r="R176">
        <v>36000</v>
      </c>
      <c r="S176">
        <v>0</v>
      </c>
      <c r="T176">
        <v>36000</v>
      </c>
    </row>
    <row r="177" spans="1:20" x14ac:dyDescent="0.25">
      <c r="A177">
        <v>176</v>
      </c>
      <c r="B177" s="5">
        <v>45103</v>
      </c>
      <c r="C177">
        <v>3</v>
      </c>
      <c r="D177">
        <v>1</v>
      </c>
      <c r="E177">
        <v>243</v>
      </c>
      <c r="F177" s="4" t="s">
        <v>327</v>
      </c>
      <c r="G177" s="4" t="s">
        <v>328</v>
      </c>
      <c r="H177" s="4" t="s">
        <v>42</v>
      </c>
      <c r="I177" s="4" t="s">
        <v>620</v>
      </c>
      <c r="J177" s="4" t="s">
        <v>37</v>
      </c>
      <c r="K177" s="4" t="s">
        <v>37</v>
      </c>
      <c r="L177" s="4" t="s">
        <v>38</v>
      </c>
      <c r="M177" s="4" t="s">
        <v>23</v>
      </c>
      <c r="N177" s="4" t="s">
        <v>24</v>
      </c>
      <c r="O177">
        <v>15000</v>
      </c>
      <c r="P177">
        <v>2</v>
      </c>
      <c r="Q177">
        <v>0</v>
      </c>
      <c r="R177">
        <v>30000</v>
      </c>
      <c r="S177">
        <v>0</v>
      </c>
      <c r="T177">
        <v>30000</v>
      </c>
    </row>
    <row r="178" spans="1:20" x14ac:dyDescent="0.25">
      <c r="A178">
        <v>177</v>
      </c>
      <c r="B178" s="5">
        <v>45104</v>
      </c>
      <c r="C178">
        <v>50</v>
      </c>
      <c r="D178">
        <v>0</v>
      </c>
      <c r="E178">
        <v>62</v>
      </c>
      <c r="F178" s="4" t="s">
        <v>329</v>
      </c>
      <c r="G178" s="4" t="s">
        <v>330</v>
      </c>
      <c r="H178" s="4" t="s">
        <v>42</v>
      </c>
      <c r="I178" s="4" t="s">
        <v>613</v>
      </c>
      <c r="J178" s="4" t="s">
        <v>20</v>
      </c>
      <c r="K178" s="4" t="s">
        <v>21</v>
      </c>
      <c r="L178" s="4" t="s">
        <v>38</v>
      </c>
      <c r="M178" s="4" t="s">
        <v>102</v>
      </c>
      <c r="N178" s="4" t="s">
        <v>57</v>
      </c>
      <c r="O178">
        <v>12000</v>
      </c>
      <c r="P178">
        <v>2</v>
      </c>
      <c r="Q178">
        <v>1</v>
      </c>
      <c r="R178">
        <v>24000</v>
      </c>
      <c r="S178">
        <v>240</v>
      </c>
      <c r="T178">
        <v>23760</v>
      </c>
    </row>
    <row r="179" spans="1:20" x14ac:dyDescent="0.25">
      <c r="A179">
        <v>178</v>
      </c>
      <c r="B179" s="5">
        <v>45105</v>
      </c>
      <c r="C179">
        <v>46</v>
      </c>
      <c r="D179">
        <v>5</v>
      </c>
      <c r="E179">
        <v>12</v>
      </c>
      <c r="F179" s="4" t="s">
        <v>331</v>
      </c>
      <c r="G179" s="4" t="s">
        <v>332</v>
      </c>
      <c r="H179" s="4" t="s">
        <v>42</v>
      </c>
      <c r="I179" s="4" t="s">
        <v>639</v>
      </c>
      <c r="J179" s="4" t="s">
        <v>84</v>
      </c>
      <c r="K179" s="4" t="s">
        <v>85</v>
      </c>
      <c r="L179" s="4" t="s">
        <v>22</v>
      </c>
      <c r="M179" s="4" t="s">
        <v>102</v>
      </c>
      <c r="N179" s="4" t="s">
        <v>57</v>
      </c>
      <c r="O179">
        <v>12000</v>
      </c>
      <c r="P179">
        <v>2</v>
      </c>
      <c r="Q179">
        <v>1</v>
      </c>
      <c r="R179">
        <v>24000</v>
      </c>
      <c r="S179">
        <v>240</v>
      </c>
      <c r="T179">
        <v>23760</v>
      </c>
    </row>
    <row r="180" spans="1:20" x14ac:dyDescent="0.25">
      <c r="A180">
        <v>179</v>
      </c>
      <c r="B180" s="5">
        <v>45106</v>
      </c>
      <c r="C180">
        <v>19</v>
      </c>
      <c r="D180">
        <v>5</v>
      </c>
      <c r="E180">
        <v>32</v>
      </c>
      <c r="F180" s="4" t="s">
        <v>333</v>
      </c>
      <c r="G180" s="4" t="s">
        <v>334</v>
      </c>
      <c r="H180" s="4" t="s">
        <v>42</v>
      </c>
      <c r="I180" s="4" t="s">
        <v>651</v>
      </c>
      <c r="J180" s="4" t="s">
        <v>20</v>
      </c>
      <c r="K180" s="4" t="s">
        <v>21</v>
      </c>
      <c r="L180" s="4" t="s">
        <v>38</v>
      </c>
      <c r="M180" s="4" t="s">
        <v>49</v>
      </c>
      <c r="N180" s="4" t="s">
        <v>31</v>
      </c>
      <c r="O180">
        <v>800000</v>
      </c>
      <c r="P180">
        <v>3</v>
      </c>
      <c r="Q180">
        <v>1</v>
      </c>
      <c r="R180">
        <v>2400000</v>
      </c>
      <c r="S180">
        <v>24000</v>
      </c>
      <c r="T180">
        <v>2376000</v>
      </c>
    </row>
    <row r="181" spans="1:20" x14ac:dyDescent="0.25">
      <c r="A181">
        <v>180</v>
      </c>
      <c r="B181" s="5">
        <v>45107</v>
      </c>
      <c r="C181">
        <v>8</v>
      </c>
      <c r="D181">
        <v>1</v>
      </c>
      <c r="E181">
        <v>167</v>
      </c>
      <c r="F181" s="4" t="s">
        <v>156</v>
      </c>
      <c r="G181" s="4" t="s">
        <v>157</v>
      </c>
      <c r="H181" s="4" t="s">
        <v>42</v>
      </c>
      <c r="I181" s="4" t="s">
        <v>621</v>
      </c>
      <c r="J181" s="4" t="s">
        <v>76</v>
      </c>
      <c r="K181" s="4" t="s">
        <v>77</v>
      </c>
      <c r="L181" s="4" t="s">
        <v>22</v>
      </c>
      <c r="M181" s="4" t="s">
        <v>62</v>
      </c>
      <c r="N181" s="4" t="s">
        <v>31</v>
      </c>
      <c r="O181">
        <v>650000</v>
      </c>
      <c r="P181">
        <v>3</v>
      </c>
      <c r="Q181">
        <v>0</v>
      </c>
      <c r="R181">
        <v>1950000</v>
      </c>
      <c r="S181">
        <v>0</v>
      </c>
      <c r="T181">
        <v>1950000</v>
      </c>
    </row>
    <row r="182" spans="1:20" x14ac:dyDescent="0.25">
      <c r="A182">
        <v>181</v>
      </c>
      <c r="B182" s="5">
        <v>45108</v>
      </c>
      <c r="C182">
        <v>54</v>
      </c>
      <c r="D182">
        <v>9</v>
      </c>
      <c r="E182">
        <v>191</v>
      </c>
      <c r="F182" s="4" t="s">
        <v>202</v>
      </c>
      <c r="G182" s="4" t="s">
        <v>203</v>
      </c>
      <c r="H182" s="4" t="s">
        <v>42</v>
      </c>
      <c r="I182" s="4" t="s">
        <v>639</v>
      </c>
      <c r="J182" s="4" t="s">
        <v>27</v>
      </c>
      <c r="K182" s="4" t="s">
        <v>28</v>
      </c>
      <c r="L182" s="4" t="s">
        <v>38</v>
      </c>
      <c r="M182" s="4" t="s">
        <v>69</v>
      </c>
      <c r="N182" s="4" t="s">
        <v>53</v>
      </c>
      <c r="O182">
        <v>450000</v>
      </c>
      <c r="P182">
        <v>3</v>
      </c>
      <c r="Q182">
        <v>0</v>
      </c>
      <c r="R182">
        <v>1350000</v>
      </c>
      <c r="S182">
        <v>0</v>
      </c>
      <c r="T182">
        <v>1350000</v>
      </c>
    </row>
    <row r="183" spans="1:20" x14ac:dyDescent="0.25">
      <c r="A183">
        <v>182</v>
      </c>
      <c r="B183" s="5">
        <v>45109</v>
      </c>
      <c r="C183">
        <v>44</v>
      </c>
      <c r="D183">
        <v>7</v>
      </c>
      <c r="E183">
        <v>177</v>
      </c>
      <c r="F183" s="4" t="s">
        <v>335</v>
      </c>
      <c r="G183" s="4" t="s">
        <v>336</v>
      </c>
      <c r="H183" s="4" t="s">
        <v>42</v>
      </c>
      <c r="I183" s="4" t="s">
        <v>610</v>
      </c>
      <c r="J183" s="4" t="s">
        <v>43</v>
      </c>
      <c r="K183" s="4" t="s">
        <v>43</v>
      </c>
      <c r="L183" s="4" t="s">
        <v>38</v>
      </c>
      <c r="M183" s="4" t="s">
        <v>30</v>
      </c>
      <c r="N183" s="4" t="s">
        <v>31</v>
      </c>
      <c r="O183">
        <v>700000</v>
      </c>
      <c r="P183">
        <v>3</v>
      </c>
      <c r="Q183">
        <v>5</v>
      </c>
      <c r="R183">
        <v>2100000</v>
      </c>
      <c r="S183">
        <v>105000</v>
      </c>
      <c r="T183">
        <v>1995000</v>
      </c>
    </row>
    <row r="184" spans="1:20" x14ac:dyDescent="0.25">
      <c r="A184">
        <v>183</v>
      </c>
      <c r="B184" s="5">
        <v>45110</v>
      </c>
      <c r="C184">
        <v>24</v>
      </c>
      <c r="D184">
        <v>3</v>
      </c>
      <c r="E184">
        <v>229</v>
      </c>
      <c r="F184" s="4" t="s">
        <v>293</v>
      </c>
      <c r="G184" s="4" t="s">
        <v>294</v>
      </c>
      <c r="H184" s="4" t="s">
        <v>19</v>
      </c>
      <c r="I184" s="4" t="s">
        <v>614</v>
      </c>
      <c r="J184" s="4" t="s">
        <v>84</v>
      </c>
      <c r="K184" s="4" t="s">
        <v>85</v>
      </c>
      <c r="L184" s="4" t="s">
        <v>29</v>
      </c>
      <c r="M184" s="4" t="s">
        <v>23</v>
      </c>
      <c r="N184" s="4" t="s">
        <v>24</v>
      </c>
      <c r="O184">
        <v>15000</v>
      </c>
      <c r="P184">
        <v>3</v>
      </c>
      <c r="Q184">
        <v>0</v>
      </c>
      <c r="R184">
        <v>45000</v>
      </c>
      <c r="S184">
        <v>0</v>
      </c>
      <c r="T184">
        <v>45000</v>
      </c>
    </row>
    <row r="185" spans="1:20" x14ac:dyDescent="0.25">
      <c r="A185">
        <v>184</v>
      </c>
      <c r="B185" s="5">
        <v>45111</v>
      </c>
      <c r="C185">
        <v>14</v>
      </c>
      <c r="D185">
        <v>0</v>
      </c>
      <c r="E185">
        <v>92</v>
      </c>
      <c r="F185" s="4" t="s">
        <v>337</v>
      </c>
      <c r="G185" s="4" t="s">
        <v>338</v>
      </c>
      <c r="H185" s="4" t="s">
        <v>42</v>
      </c>
      <c r="I185" s="4" t="s">
        <v>637</v>
      </c>
      <c r="J185" s="4" t="s">
        <v>34</v>
      </c>
      <c r="K185" s="4" t="s">
        <v>272</v>
      </c>
      <c r="L185" s="4" t="s">
        <v>29</v>
      </c>
      <c r="M185" s="4" t="s">
        <v>102</v>
      </c>
      <c r="N185" s="4" t="s">
        <v>57</v>
      </c>
      <c r="O185">
        <v>12000</v>
      </c>
      <c r="P185">
        <v>3</v>
      </c>
      <c r="Q185">
        <v>0</v>
      </c>
      <c r="R185">
        <v>36000</v>
      </c>
      <c r="S185">
        <v>0</v>
      </c>
      <c r="T185">
        <v>36000</v>
      </c>
    </row>
    <row r="186" spans="1:20" x14ac:dyDescent="0.25">
      <c r="A186">
        <v>185</v>
      </c>
      <c r="B186" s="5">
        <v>45112</v>
      </c>
      <c r="C186">
        <v>64</v>
      </c>
      <c r="D186">
        <v>4</v>
      </c>
      <c r="E186">
        <v>33</v>
      </c>
      <c r="F186" s="4" t="s">
        <v>339</v>
      </c>
      <c r="G186" s="4" t="s">
        <v>340</v>
      </c>
      <c r="H186" s="4" t="s">
        <v>19</v>
      </c>
      <c r="I186" s="4" t="s">
        <v>641</v>
      </c>
      <c r="J186" s="4" t="s">
        <v>20</v>
      </c>
      <c r="K186" s="4" t="s">
        <v>21</v>
      </c>
      <c r="L186" s="4" t="s">
        <v>38</v>
      </c>
      <c r="M186" s="4" t="s">
        <v>56</v>
      </c>
      <c r="N186" s="4" t="s">
        <v>57</v>
      </c>
      <c r="O186">
        <v>25000</v>
      </c>
      <c r="P186">
        <v>1</v>
      </c>
      <c r="Q186">
        <v>0</v>
      </c>
      <c r="R186">
        <v>25000</v>
      </c>
      <c r="S186">
        <v>0</v>
      </c>
      <c r="T186">
        <v>25000</v>
      </c>
    </row>
    <row r="187" spans="1:20" x14ac:dyDescent="0.25">
      <c r="A187">
        <v>186</v>
      </c>
      <c r="B187" s="5">
        <v>45113</v>
      </c>
      <c r="C187">
        <v>24</v>
      </c>
      <c r="D187">
        <v>3</v>
      </c>
      <c r="E187">
        <v>51</v>
      </c>
      <c r="F187" s="4" t="s">
        <v>341</v>
      </c>
      <c r="G187" s="4" t="s">
        <v>342</v>
      </c>
      <c r="H187" s="4" t="s">
        <v>19</v>
      </c>
      <c r="I187" s="4"/>
      <c r="J187" s="4" t="s">
        <v>84</v>
      </c>
      <c r="K187" s="4" t="s">
        <v>85</v>
      </c>
      <c r="L187" s="4" t="s">
        <v>29</v>
      </c>
      <c r="M187" s="4" t="s">
        <v>56</v>
      </c>
      <c r="N187" s="4" t="s">
        <v>57</v>
      </c>
      <c r="O187">
        <v>25000</v>
      </c>
      <c r="P187">
        <v>2</v>
      </c>
      <c r="Q187">
        <v>0</v>
      </c>
      <c r="R187">
        <v>50000</v>
      </c>
      <c r="S187">
        <v>0</v>
      </c>
      <c r="T187">
        <v>50000</v>
      </c>
    </row>
    <row r="188" spans="1:20" x14ac:dyDescent="0.25">
      <c r="A188">
        <v>187</v>
      </c>
      <c r="B188" s="5">
        <v>45114</v>
      </c>
      <c r="C188">
        <v>21</v>
      </c>
      <c r="D188">
        <v>5</v>
      </c>
      <c r="E188">
        <v>70</v>
      </c>
      <c r="F188" s="4" t="s">
        <v>343</v>
      </c>
      <c r="G188" s="4" t="s">
        <v>344</v>
      </c>
      <c r="H188" s="4" t="s">
        <v>42</v>
      </c>
      <c r="I188" s="4" t="s">
        <v>643</v>
      </c>
      <c r="J188" s="4" t="s">
        <v>76</v>
      </c>
      <c r="K188" s="4" t="s">
        <v>77</v>
      </c>
      <c r="L188" s="4" t="s">
        <v>38</v>
      </c>
      <c r="M188" s="4" t="s">
        <v>102</v>
      </c>
      <c r="N188" s="4" t="s">
        <v>57</v>
      </c>
      <c r="O188">
        <v>12000</v>
      </c>
      <c r="P188">
        <v>3</v>
      </c>
      <c r="Q188">
        <v>0</v>
      </c>
      <c r="R188">
        <v>36000</v>
      </c>
      <c r="S188">
        <v>0</v>
      </c>
      <c r="T188">
        <v>36000</v>
      </c>
    </row>
    <row r="189" spans="1:20" x14ac:dyDescent="0.25">
      <c r="A189">
        <v>188</v>
      </c>
      <c r="B189" s="5">
        <v>45115</v>
      </c>
      <c r="C189">
        <v>5</v>
      </c>
      <c r="D189">
        <v>1</v>
      </c>
      <c r="E189">
        <v>104</v>
      </c>
      <c r="F189" s="4" t="s">
        <v>208</v>
      </c>
      <c r="G189" s="4" t="s">
        <v>209</v>
      </c>
      <c r="H189" s="4" t="s">
        <v>42</v>
      </c>
      <c r="I189" s="4" t="s">
        <v>631</v>
      </c>
      <c r="J189" s="4" t="s">
        <v>27</v>
      </c>
      <c r="K189" s="4" t="s">
        <v>28</v>
      </c>
      <c r="L189" s="4" t="s">
        <v>22</v>
      </c>
      <c r="M189" s="4" t="s">
        <v>49</v>
      </c>
      <c r="N189" s="4" t="s">
        <v>31</v>
      </c>
      <c r="O189">
        <v>800000</v>
      </c>
      <c r="P189">
        <v>2</v>
      </c>
      <c r="Q189">
        <v>1</v>
      </c>
      <c r="R189">
        <v>1600000</v>
      </c>
      <c r="S189">
        <v>16000</v>
      </c>
      <c r="T189">
        <v>1584000</v>
      </c>
    </row>
    <row r="190" spans="1:20" x14ac:dyDescent="0.25">
      <c r="A190">
        <v>189</v>
      </c>
      <c r="B190" s="5">
        <v>45116</v>
      </c>
      <c r="C190">
        <v>37</v>
      </c>
      <c r="D190">
        <v>1</v>
      </c>
      <c r="E190">
        <v>188</v>
      </c>
      <c r="F190" s="4" t="s">
        <v>270</v>
      </c>
      <c r="G190" s="4" t="s">
        <v>271</v>
      </c>
      <c r="H190" s="4" t="s">
        <v>42</v>
      </c>
      <c r="I190" s="4" t="s">
        <v>641</v>
      </c>
      <c r="J190" s="4" t="s">
        <v>116</v>
      </c>
      <c r="K190" s="4" t="s">
        <v>37</v>
      </c>
      <c r="L190" s="4" t="s">
        <v>22</v>
      </c>
      <c r="M190" s="4" t="s">
        <v>49</v>
      </c>
      <c r="N190" s="4" t="s">
        <v>31</v>
      </c>
      <c r="O190">
        <v>800000</v>
      </c>
      <c r="P190">
        <v>3</v>
      </c>
      <c r="Q190">
        <v>1</v>
      </c>
      <c r="R190">
        <v>2400000</v>
      </c>
      <c r="S190">
        <v>24000</v>
      </c>
      <c r="T190">
        <v>2376000</v>
      </c>
    </row>
    <row r="191" spans="1:20" x14ac:dyDescent="0.25">
      <c r="A191">
        <v>190</v>
      </c>
      <c r="B191" s="5">
        <v>45117</v>
      </c>
      <c r="C191">
        <v>24</v>
      </c>
      <c r="D191">
        <v>3</v>
      </c>
      <c r="E191">
        <v>166</v>
      </c>
      <c r="F191" s="4" t="s">
        <v>345</v>
      </c>
      <c r="G191" s="4" t="s">
        <v>346</v>
      </c>
      <c r="H191" s="4" t="s">
        <v>42</v>
      </c>
      <c r="I191" s="4" t="s">
        <v>627</v>
      </c>
      <c r="J191" s="4" t="s">
        <v>84</v>
      </c>
      <c r="K191" s="4" t="s">
        <v>85</v>
      </c>
      <c r="L191" s="4" t="s">
        <v>22</v>
      </c>
      <c r="M191" s="4" t="s">
        <v>30</v>
      </c>
      <c r="N191" s="4" t="s">
        <v>31</v>
      </c>
      <c r="O191">
        <v>700000</v>
      </c>
      <c r="P191">
        <v>2</v>
      </c>
      <c r="Q191">
        <v>1</v>
      </c>
      <c r="R191">
        <v>1400000</v>
      </c>
      <c r="S191">
        <v>14000</v>
      </c>
      <c r="T191">
        <v>1386000</v>
      </c>
    </row>
    <row r="192" spans="1:20" x14ac:dyDescent="0.25">
      <c r="A192">
        <v>191</v>
      </c>
      <c r="B192" s="5">
        <v>45118</v>
      </c>
      <c r="C192">
        <v>29</v>
      </c>
      <c r="D192">
        <v>1</v>
      </c>
      <c r="E192">
        <v>144</v>
      </c>
      <c r="F192" s="4" t="s">
        <v>184</v>
      </c>
      <c r="G192" s="4" t="s">
        <v>185</v>
      </c>
      <c r="H192" s="4" t="s">
        <v>42</v>
      </c>
      <c r="I192" s="4" t="s">
        <v>625</v>
      </c>
      <c r="J192" s="4" t="s">
        <v>116</v>
      </c>
      <c r="K192" s="4" t="s">
        <v>37</v>
      </c>
      <c r="L192" s="4" t="s">
        <v>38</v>
      </c>
      <c r="M192" s="4" t="s">
        <v>56</v>
      </c>
      <c r="N192" s="4" t="s">
        <v>57</v>
      </c>
      <c r="O192">
        <v>25000</v>
      </c>
      <c r="P192">
        <v>2</v>
      </c>
      <c r="Q192">
        <v>5</v>
      </c>
      <c r="R192">
        <v>50000</v>
      </c>
      <c r="S192">
        <v>2500</v>
      </c>
      <c r="T192">
        <v>47500</v>
      </c>
    </row>
    <row r="193" spans="1:20" x14ac:dyDescent="0.25">
      <c r="A193">
        <v>192</v>
      </c>
      <c r="B193" s="5">
        <v>45119</v>
      </c>
      <c r="C193">
        <v>27</v>
      </c>
      <c r="D193">
        <v>4</v>
      </c>
      <c r="E193">
        <v>231</v>
      </c>
      <c r="F193" s="4" t="s">
        <v>347</v>
      </c>
      <c r="G193" s="4" t="s">
        <v>348</v>
      </c>
      <c r="H193" s="4" t="s">
        <v>19</v>
      </c>
      <c r="I193" s="4" t="s">
        <v>614</v>
      </c>
      <c r="J193" s="4" t="s">
        <v>116</v>
      </c>
      <c r="K193" s="4" t="s">
        <v>37</v>
      </c>
      <c r="L193" s="4" t="s">
        <v>38</v>
      </c>
      <c r="M193" s="4" t="s">
        <v>62</v>
      </c>
      <c r="N193" s="4" t="s">
        <v>31</v>
      </c>
      <c r="O193">
        <v>650000</v>
      </c>
      <c r="P193">
        <v>3</v>
      </c>
      <c r="Q193">
        <v>1</v>
      </c>
      <c r="R193">
        <v>1950000</v>
      </c>
      <c r="S193">
        <v>19500</v>
      </c>
      <c r="T193">
        <v>1930500</v>
      </c>
    </row>
    <row r="194" spans="1:20" x14ac:dyDescent="0.25">
      <c r="A194">
        <v>193</v>
      </c>
      <c r="B194" s="5">
        <v>45120</v>
      </c>
      <c r="C194">
        <v>25</v>
      </c>
      <c r="D194">
        <v>3</v>
      </c>
      <c r="E194">
        <v>271</v>
      </c>
      <c r="F194" s="4" t="s">
        <v>127</v>
      </c>
      <c r="G194" s="4" t="s">
        <v>128</v>
      </c>
      <c r="H194" s="4" t="s">
        <v>42</v>
      </c>
      <c r="I194" s="4" t="s">
        <v>628</v>
      </c>
      <c r="J194" s="4" t="s">
        <v>76</v>
      </c>
      <c r="K194" s="4" t="s">
        <v>77</v>
      </c>
      <c r="L194" s="4" t="s">
        <v>22</v>
      </c>
      <c r="M194" s="4" t="s">
        <v>98</v>
      </c>
      <c r="N194" s="4" t="s">
        <v>151</v>
      </c>
      <c r="O194">
        <v>55000</v>
      </c>
      <c r="P194">
        <v>2</v>
      </c>
      <c r="Q194">
        <v>0</v>
      </c>
      <c r="R194">
        <v>110000</v>
      </c>
      <c r="S194">
        <v>0</v>
      </c>
      <c r="T194">
        <v>110000</v>
      </c>
    </row>
    <row r="195" spans="1:20" x14ac:dyDescent="0.25">
      <c r="A195">
        <v>194</v>
      </c>
      <c r="B195" s="5">
        <v>45121</v>
      </c>
      <c r="C195">
        <v>26</v>
      </c>
      <c r="D195">
        <v>6</v>
      </c>
      <c r="E195">
        <v>13</v>
      </c>
      <c r="F195" s="4" t="s">
        <v>273</v>
      </c>
      <c r="G195" s="4" t="s">
        <v>274</v>
      </c>
      <c r="H195" s="4" t="s">
        <v>42</v>
      </c>
      <c r="I195" s="4" t="s">
        <v>625</v>
      </c>
      <c r="J195" s="4" t="s">
        <v>101</v>
      </c>
      <c r="K195" s="4" t="s">
        <v>109</v>
      </c>
      <c r="L195" s="4" t="s">
        <v>38</v>
      </c>
      <c r="M195" s="4" t="s">
        <v>46</v>
      </c>
      <c r="N195" s="4" t="s">
        <v>53</v>
      </c>
      <c r="O195">
        <v>750000</v>
      </c>
      <c r="P195">
        <v>2</v>
      </c>
      <c r="Q195">
        <v>0</v>
      </c>
      <c r="R195">
        <v>1500000</v>
      </c>
      <c r="S195">
        <v>0</v>
      </c>
      <c r="T195">
        <v>1500000</v>
      </c>
    </row>
    <row r="196" spans="1:20" x14ac:dyDescent="0.25">
      <c r="A196">
        <v>195</v>
      </c>
      <c r="B196" s="5">
        <v>45122</v>
      </c>
      <c r="C196">
        <v>30</v>
      </c>
      <c r="D196">
        <v>0</v>
      </c>
      <c r="E196">
        <v>159</v>
      </c>
      <c r="F196" s="4" t="s">
        <v>349</v>
      </c>
      <c r="G196" s="4" t="s">
        <v>350</v>
      </c>
      <c r="H196" s="4" t="s">
        <v>42</v>
      </c>
      <c r="I196" s="4"/>
      <c r="J196" s="4" t="s">
        <v>37</v>
      </c>
      <c r="K196" s="4" t="s">
        <v>37</v>
      </c>
      <c r="L196" s="4" t="s">
        <v>29</v>
      </c>
      <c r="M196" s="4" t="s">
        <v>98</v>
      </c>
      <c r="N196" s="4" t="s">
        <v>151</v>
      </c>
      <c r="O196">
        <v>55000</v>
      </c>
      <c r="P196">
        <v>2</v>
      </c>
      <c r="Q196">
        <v>1</v>
      </c>
      <c r="R196">
        <v>110000</v>
      </c>
      <c r="S196">
        <v>1100</v>
      </c>
      <c r="T196">
        <v>108900</v>
      </c>
    </row>
    <row r="197" spans="1:20" x14ac:dyDescent="0.25">
      <c r="A197">
        <v>196</v>
      </c>
      <c r="B197" s="5">
        <v>45123</v>
      </c>
      <c r="C197">
        <v>31</v>
      </c>
      <c r="D197">
        <v>4</v>
      </c>
      <c r="E197">
        <v>176</v>
      </c>
      <c r="F197" s="4" t="s">
        <v>170</v>
      </c>
      <c r="G197" s="4" t="s">
        <v>171</v>
      </c>
      <c r="H197" s="4" t="s">
        <v>42</v>
      </c>
      <c r="I197" s="4" t="s">
        <v>621</v>
      </c>
      <c r="J197" s="4" t="s">
        <v>101</v>
      </c>
      <c r="K197" s="4" t="s">
        <v>109</v>
      </c>
      <c r="L197" s="4" t="s">
        <v>22</v>
      </c>
      <c r="M197" s="4" t="s">
        <v>62</v>
      </c>
      <c r="N197" s="4" t="s">
        <v>31</v>
      </c>
      <c r="O197">
        <v>650000</v>
      </c>
      <c r="P197">
        <v>2</v>
      </c>
      <c r="Q197">
        <v>1</v>
      </c>
      <c r="R197">
        <v>1300000</v>
      </c>
      <c r="S197">
        <v>13000</v>
      </c>
      <c r="T197">
        <v>1287000</v>
      </c>
    </row>
    <row r="198" spans="1:20" x14ac:dyDescent="0.25">
      <c r="A198">
        <v>197</v>
      </c>
      <c r="B198" s="5">
        <v>45124</v>
      </c>
      <c r="C198">
        <v>35</v>
      </c>
      <c r="D198">
        <v>1</v>
      </c>
      <c r="E198">
        <v>253</v>
      </c>
      <c r="F198" s="4" t="s">
        <v>351</v>
      </c>
      <c r="G198" s="4" t="s">
        <v>352</v>
      </c>
      <c r="H198" s="4" t="s">
        <v>19</v>
      </c>
      <c r="I198" s="4"/>
      <c r="J198" s="4" t="s">
        <v>43</v>
      </c>
      <c r="K198" s="4" t="s">
        <v>43</v>
      </c>
      <c r="L198" s="4" t="s">
        <v>22</v>
      </c>
      <c r="M198" s="4" t="s">
        <v>102</v>
      </c>
      <c r="N198" s="4" t="s">
        <v>57</v>
      </c>
      <c r="O198">
        <v>12000</v>
      </c>
      <c r="P198">
        <v>1</v>
      </c>
      <c r="Q198">
        <v>5</v>
      </c>
      <c r="R198">
        <v>12000</v>
      </c>
      <c r="S198">
        <v>600</v>
      </c>
      <c r="T198">
        <v>11400</v>
      </c>
    </row>
    <row r="199" spans="1:20" x14ac:dyDescent="0.25">
      <c r="A199">
        <v>198</v>
      </c>
      <c r="B199" s="5">
        <v>45125</v>
      </c>
      <c r="C199">
        <v>68</v>
      </c>
      <c r="D199">
        <v>2</v>
      </c>
      <c r="E199">
        <v>26</v>
      </c>
      <c r="F199" s="4" t="s">
        <v>186</v>
      </c>
      <c r="G199" s="4" t="s">
        <v>187</v>
      </c>
      <c r="H199" s="4" t="s">
        <v>42</v>
      </c>
      <c r="I199" s="4" t="s">
        <v>622</v>
      </c>
      <c r="J199" s="4" t="s">
        <v>34</v>
      </c>
      <c r="K199" s="4" t="s">
        <v>272</v>
      </c>
      <c r="L199" s="4" t="s">
        <v>22</v>
      </c>
      <c r="M199" s="4" t="s">
        <v>23</v>
      </c>
      <c r="N199" s="4" t="s">
        <v>24</v>
      </c>
      <c r="O199">
        <v>15000</v>
      </c>
      <c r="P199">
        <v>1</v>
      </c>
      <c r="Q199">
        <v>0</v>
      </c>
      <c r="R199">
        <v>15000</v>
      </c>
      <c r="S199">
        <v>0</v>
      </c>
      <c r="T199">
        <v>15000</v>
      </c>
    </row>
    <row r="200" spans="1:20" x14ac:dyDescent="0.25">
      <c r="A200">
        <v>199</v>
      </c>
      <c r="B200" s="5">
        <v>45126</v>
      </c>
      <c r="C200">
        <v>16</v>
      </c>
      <c r="D200">
        <v>3</v>
      </c>
      <c r="E200">
        <v>211</v>
      </c>
      <c r="F200" s="4" t="s">
        <v>311</v>
      </c>
      <c r="G200" s="4" t="s">
        <v>312</v>
      </c>
      <c r="H200" s="4" t="s">
        <v>19</v>
      </c>
      <c r="I200" s="4" t="s">
        <v>620</v>
      </c>
      <c r="J200" s="4" t="s">
        <v>20</v>
      </c>
      <c r="K200" s="4" t="s">
        <v>21</v>
      </c>
      <c r="L200" s="4" t="s">
        <v>22</v>
      </c>
      <c r="M200" s="4" t="s">
        <v>69</v>
      </c>
      <c r="N200" s="4" t="s">
        <v>53</v>
      </c>
      <c r="O200">
        <v>450000</v>
      </c>
      <c r="P200">
        <v>3</v>
      </c>
      <c r="Q200">
        <v>5</v>
      </c>
      <c r="R200">
        <v>1350000</v>
      </c>
      <c r="S200">
        <v>67500</v>
      </c>
      <c r="T200">
        <v>1282500</v>
      </c>
    </row>
    <row r="201" spans="1:20" x14ac:dyDescent="0.25">
      <c r="A201">
        <v>200</v>
      </c>
      <c r="B201" s="5">
        <v>45127</v>
      </c>
      <c r="C201">
        <v>68</v>
      </c>
      <c r="D201">
        <v>2</v>
      </c>
      <c r="E201">
        <v>195</v>
      </c>
      <c r="F201" s="4" t="s">
        <v>160</v>
      </c>
      <c r="G201" s="4" t="s">
        <v>161</v>
      </c>
      <c r="H201" s="4" t="s">
        <v>42</v>
      </c>
      <c r="I201" s="4" t="s">
        <v>625</v>
      </c>
      <c r="J201" s="4" t="s">
        <v>34</v>
      </c>
      <c r="K201" s="4" t="s">
        <v>272</v>
      </c>
      <c r="L201" s="4" t="s">
        <v>29</v>
      </c>
      <c r="M201" s="4" t="s">
        <v>23</v>
      </c>
      <c r="N201" s="4" t="s">
        <v>24</v>
      </c>
      <c r="O201">
        <v>15000</v>
      </c>
      <c r="P201">
        <v>3</v>
      </c>
      <c r="Q201">
        <v>0</v>
      </c>
      <c r="R201">
        <v>45000</v>
      </c>
      <c r="S201">
        <v>0</v>
      </c>
      <c r="T201">
        <v>45000</v>
      </c>
    </row>
    <row r="202" spans="1:20" x14ac:dyDescent="0.25">
      <c r="A202">
        <v>201</v>
      </c>
      <c r="B202" s="5">
        <v>45128</v>
      </c>
      <c r="C202">
        <v>3</v>
      </c>
      <c r="D202">
        <v>1</v>
      </c>
      <c r="E202">
        <v>231</v>
      </c>
      <c r="F202" s="4" t="s">
        <v>347</v>
      </c>
      <c r="G202" s="4" t="s">
        <v>348</v>
      </c>
      <c r="H202" s="4" t="s">
        <v>19</v>
      </c>
      <c r="I202" s="4" t="s">
        <v>614</v>
      </c>
      <c r="J202" s="4" t="s">
        <v>37</v>
      </c>
      <c r="K202" s="4" t="s">
        <v>37</v>
      </c>
      <c r="L202" s="4" t="s">
        <v>38</v>
      </c>
      <c r="M202" s="4" t="s">
        <v>62</v>
      </c>
      <c r="N202" s="4" t="s">
        <v>31</v>
      </c>
      <c r="O202">
        <v>650000</v>
      </c>
      <c r="P202">
        <v>2</v>
      </c>
      <c r="Q202">
        <v>1</v>
      </c>
      <c r="R202">
        <v>1300000</v>
      </c>
      <c r="S202">
        <v>13000</v>
      </c>
      <c r="T202">
        <v>1287000</v>
      </c>
    </row>
    <row r="203" spans="1:20" x14ac:dyDescent="0.25">
      <c r="A203">
        <v>202</v>
      </c>
      <c r="B203" s="5">
        <v>45129</v>
      </c>
      <c r="C203">
        <v>37</v>
      </c>
      <c r="D203">
        <v>1</v>
      </c>
      <c r="E203">
        <v>213</v>
      </c>
      <c r="F203" s="4" t="s">
        <v>315</v>
      </c>
      <c r="G203" s="4" t="s">
        <v>316</v>
      </c>
      <c r="H203" s="4" t="s">
        <v>42</v>
      </c>
      <c r="I203" s="4" t="s">
        <v>637</v>
      </c>
      <c r="J203" s="4" t="s">
        <v>116</v>
      </c>
      <c r="K203" s="4" t="s">
        <v>37</v>
      </c>
      <c r="L203" s="4" t="s">
        <v>29</v>
      </c>
      <c r="M203" s="4" t="s">
        <v>98</v>
      </c>
      <c r="N203" s="4" t="s">
        <v>151</v>
      </c>
      <c r="O203">
        <v>55000</v>
      </c>
      <c r="P203">
        <v>1</v>
      </c>
      <c r="Q203">
        <v>5</v>
      </c>
      <c r="R203">
        <v>55000</v>
      </c>
      <c r="S203">
        <v>2750</v>
      </c>
      <c r="T203">
        <v>52250</v>
      </c>
    </row>
    <row r="204" spans="1:20" x14ac:dyDescent="0.25">
      <c r="A204">
        <v>203</v>
      </c>
      <c r="B204" s="5">
        <v>45130</v>
      </c>
      <c r="C204">
        <v>8</v>
      </c>
      <c r="D204">
        <v>1</v>
      </c>
      <c r="E204">
        <v>148</v>
      </c>
      <c r="F204" s="4" t="s">
        <v>176</v>
      </c>
      <c r="G204" s="4" t="s">
        <v>177</v>
      </c>
      <c r="H204" s="4" t="s">
        <v>19</v>
      </c>
      <c r="I204" s="4" t="s">
        <v>624</v>
      </c>
      <c r="J204" s="4" t="s">
        <v>76</v>
      </c>
      <c r="K204" s="4" t="s">
        <v>77</v>
      </c>
      <c r="L204" s="4" t="s">
        <v>38</v>
      </c>
      <c r="M204" s="4" t="s">
        <v>49</v>
      </c>
      <c r="N204" s="4" t="s">
        <v>31</v>
      </c>
      <c r="O204">
        <v>800000</v>
      </c>
      <c r="P204">
        <v>1</v>
      </c>
      <c r="Q204">
        <v>5</v>
      </c>
      <c r="R204">
        <v>800000</v>
      </c>
      <c r="S204">
        <v>40000</v>
      </c>
      <c r="T204">
        <v>760000</v>
      </c>
    </row>
    <row r="205" spans="1:20" x14ac:dyDescent="0.25">
      <c r="A205">
        <v>204</v>
      </c>
      <c r="B205" s="5">
        <v>45131</v>
      </c>
      <c r="C205">
        <v>40</v>
      </c>
      <c r="D205">
        <v>1</v>
      </c>
      <c r="E205">
        <v>36</v>
      </c>
      <c r="F205" s="4" t="s">
        <v>353</v>
      </c>
      <c r="G205" s="4" t="s">
        <v>354</v>
      </c>
      <c r="H205" s="4" t="s">
        <v>42</v>
      </c>
      <c r="I205" s="4" t="s">
        <v>618</v>
      </c>
      <c r="J205" s="4" t="s">
        <v>27</v>
      </c>
      <c r="K205" s="4" t="s">
        <v>28</v>
      </c>
      <c r="L205" s="4" t="s">
        <v>22</v>
      </c>
      <c r="M205" s="4" t="s">
        <v>69</v>
      </c>
      <c r="N205" s="4" t="s">
        <v>53</v>
      </c>
      <c r="O205">
        <v>450000</v>
      </c>
      <c r="P205">
        <v>1</v>
      </c>
      <c r="Q205">
        <v>0</v>
      </c>
      <c r="R205">
        <v>450000</v>
      </c>
      <c r="S205">
        <v>0</v>
      </c>
      <c r="T205">
        <v>450000</v>
      </c>
    </row>
    <row r="206" spans="1:20" x14ac:dyDescent="0.25">
      <c r="A206">
        <v>205</v>
      </c>
      <c r="B206" s="5">
        <v>45132</v>
      </c>
      <c r="C206">
        <v>18</v>
      </c>
      <c r="D206">
        <v>1</v>
      </c>
      <c r="E206">
        <v>266</v>
      </c>
      <c r="F206" s="4" t="s">
        <v>355</v>
      </c>
      <c r="G206" s="4" t="s">
        <v>356</v>
      </c>
      <c r="H206" s="4" t="s">
        <v>42</v>
      </c>
      <c r="I206" s="4" t="s">
        <v>618</v>
      </c>
      <c r="J206" s="4" t="s">
        <v>27</v>
      </c>
      <c r="K206" s="4" t="s">
        <v>28</v>
      </c>
      <c r="L206" s="4" t="s">
        <v>38</v>
      </c>
      <c r="M206" s="4" t="s">
        <v>62</v>
      </c>
      <c r="N206" s="4" t="s">
        <v>31</v>
      </c>
      <c r="O206">
        <v>650000</v>
      </c>
      <c r="P206">
        <v>2</v>
      </c>
      <c r="Q206">
        <v>0</v>
      </c>
      <c r="R206">
        <v>1300000</v>
      </c>
      <c r="S206">
        <v>0</v>
      </c>
      <c r="T206">
        <v>1300000</v>
      </c>
    </row>
    <row r="207" spans="1:20" x14ac:dyDescent="0.25">
      <c r="A207">
        <v>206</v>
      </c>
      <c r="B207" s="5">
        <v>45133</v>
      </c>
      <c r="C207">
        <v>60</v>
      </c>
      <c r="D207">
        <v>1</v>
      </c>
      <c r="E207">
        <v>46</v>
      </c>
      <c r="F207" s="4" t="s">
        <v>357</v>
      </c>
      <c r="G207" s="4" t="s">
        <v>358</v>
      </c>
      <c r="H207" s="4" t="s">
        <v>42</v>
      </c>
      <c r="I207" s="4" t="s">
        <v>614</v>
      </c>
      <c r="J207" s="4" t="s">
        <v>37</v>
      </c>
      <c r="K207" s="4" t="s">
        <v>37</v>
      </c>
      <c r="L207" s="4" t="s">
        <v>38</v>
      </c>
      <c r="M207" s="4" t="s">
        <v>23</v>
      </c>
      <c r="N207" s="4" t="s">
        <v>24</v>
      </c>
      <c r="O207">
        <v>15000</v>
      </c>
      <c r="P207">
        <v>2</v>
      </c>
      <c r="Q207">
        <v>1</v>
      </c>
      <c r="R207">
        <v>30000</v>
      </c>
      <c r="S207">
        <v>300</v>
      </c>
      <c r="T207">
        <v>29700</v>
      </c>
    </row>
    <row r="208" spans="1:20" x14ac:dyDescent="0.25">
      <c r="A208">
        <v>207</v>
      </c>
      <c r="B208" s="5">
        <v>45134</v>
      </c>
      <c r="C208">
        <v>48</v>
      </c>
      <c r="D208">
        <v>6</v>
      </c>
      <c r="E208">
        <v>129</v>
      </c>
      <c r="F208" s="4" t="s">
        <v>359</v>
      </c>
      <c r="G208" s="4" t="s">
        <v>360</v>
      </c>
      <c r="H208" s="4" t="s">
        <v>42</v>
      </c>
      <c r="I208" s="4" t="s">
        <v>622</v>
      </c>
      <c r="J208" s="4" t="s">
        <v>37</v>
      </c>
      <c r="K208" s="4" t="s">
        <v>37</v>
      </c>
      <c r="L208" s="4" t="s">
        <v>29</v>
      </c>
      <c r="M208" s="4" t="s">
        <v>62</v>
      </c>
      <c r="N208" s="4" t="s">
        <v>31</v>
      </c>
      <c r="O208">
        <v>650000</v>
      </c>
      <c r="P208">
        <v>2</v>
      </c>
      <c r="Q208">
        <v>5</v>
      </c>
      <c r="R208">
        <v>1300000</v>
      </c>
      <c r="S208">
        <v>65000</v>
      </c>
      <c r="T208">
        <v>1235000</v>
      </c>
    </row>
    <row r="209" spans="1:20" x14ac:dyDescent="0.25">
      <c r="A209">
        <v>208</v>
      </c>
      <c r="B209" s="5">
        <v>45135</v>
      </c>
      <c r="C209">
        <v>39</v>
      </c>
      <c r="D209">
        <v>6</v>
      </c>
      <c r="E209">
        <v>58</v>
      </c>
      <c r="F209" s="4" t="s">
        <v>204</v>
      </c>
      <c r="G209" s="4" t="s">
        <v>205</v>
      </c>
      <c r="H209" s="4" t="s">
        <v>19</v>
      </c>
      <c r="I209" s="4" t="s">
        <v>611</v>
      </c>
      <c r="J209" s="4" t="s">
        <v>43</v>
      </c>
      <c r="K209" s="4" t="s">
        <v>43</v>
      </c>
      <c r="L209" s="4" t="s">
        <v>38</v>
      </c>
      <c r="M209" s="4" t="s">
        <v>49</v>
      </c>
      <c r="N209" s="4" t="s">
        <v>31</v>
      </c>
      <c r="O209">
        <v>800000</v>
      </c>
      <c r="P209">
        <v>1</v>
      </c>
      <c r="Q209">
        <v>1</v>
      </c>
      <c r="R209">
        <v>800000</v>
      </c>
      <c r="S209">
        <v>8000</v>
      </c>
      <c r="T209">
        <v>792000</v>
      </c>
    </row>
    <row r="210" spans="1:20" x14ac:dyDescent="0.25">
      <c r="A210">
        <v>209</v>
      </c>
      <c r="B210" s="5">
        <v>45136</v>
      </c>
      <c r="C210">
        <v>45</v>
      </c>
      <c r="D210">
        <v>2</v>
      </c>
      <c r="E210">
        <v>182</v>
      </c>
      <c r="F210" s="4" t="s">
        <v>361</v>
      </c>
      <c r="G210" s="4" t="s">
        <v>362</v>
      </c>
      <c r="H210" s="4" t="s">
        <v>19</v>
      </c>
      <c r="I210" s="4" t="s">
        <v>616</v>
      </c>
      <c r="J210" s="4" t="s">
        <v>27</v>
      </c>
      <c r="K210" s="4" t="s">
        <v>28</v>
      </c>
      <c r="L210" s="4" t="s">
        <v>22</v>
      </c>
      <c r="M210" s="4" t="s">
        <v>102</v>
      </c>
      <c r="N210" s="4" t="s">
        <v>57</v>
      </c>
      <c r="O210">
        <v>12000</v>
      </c>
      <c r="P210">
        <v>3</v>
      </c>
      <c r="Q210">
        <v>5</v>
      </c>
      <c r="R210">
        <v>36000</v>
      </c>
      <c r="S210">
        <v>1800</v>
      </c>
      <c r="T210">
        <v>34200</v>
      </c>
    </row>
    <row r="211" spans="1:20" x14ac:dyDescent="0.25">
      <c r="A211">
        <v>210</v>
      </c>
      <c r="B211" s="5">
        <v>45137</v>
      </c>
      <c r="C211">
        <v>54</v>
      </c>
      <c r="D211">
        <v>9</v>
      </c>
      <c r="E211">
        <v>69</v>
      </c>
      <c r="F211" s="4" t="s">
        <v>188</v>
      </c>
      <c r="G211" s="4" t="s">
        <v>189</v>
      </c>
      <c r="H211" s="4" t="s">
        <v>42</v>
      </c>
      <c r="I211" s="4" t="s">
        <v>627</v>
      </c>
      <c r="J211" s="4" t="s">
        <v>27</v>
      </c>
      <c r="K211" s="4" t="s">
        <v>28</v>
      </c>
      <c r="L211" s="4" t="s">
        <v>29</v>
      </c>
      <c r="M211" s="4" t="s">
        <v>23</v>
      </c>
      <c r="N211" s="4" t="s">
        <v>24</v>
      </c>
      <c r="O211">
        <v>15000</v>
      </c>
      <c r="P211">
        <v>3</v>
      </c>
      <c r="Q211">
        <v>5</v>
      </c>
      <c r="R211">
        <v>45000</v>
      </c>
      <c r="S211">
        <v>2250</v>
      </c>
      <c r="T211">
        <v>42750</v>
      </c>
    </row>
    <row r="212" spans="1:20" x14ac:dyDescent="0.25">
      <c r="A212">
        <v>211</v>
      </c>
      <c r="B212" s="5">
        <v>45138</v>
      </c>
      <c r="C212">
        <v>57</v>
      </c>
      <c r="D212">
        <v>3</v>
      </c>
      <c r="E212">
        <v>273</v>
      </c>
      <c r="F212" s="4" t="s">
        <v>363</v>
      </c>
      <c r="G212" s="4" t="s">
        <v>364</v>
      </c>
      <c r="H212" s="4" t="s">
        <v>42</v>
      </c>
      <c r="I212" s="4" t="s">
        <v>644</v>
      </c>
      <c r="J212" s="4" t="s">
        <v>52</v>
      </c>
      <c r="K212" s="4" t="s">
        <v>28</v>
      </c>
      <c r="L212" s="4" t="s">
        <v>38</v>
      </c>
      <c r="M212" s="4" t="s">
        <v>102</v>
      </c>
      <c r="N212" s="4" t="s">
        <v>57</v>
      </c>
      <c r="O212">
        <v>12000</v>
      </c>
      <c r="P212">
        <v>2</v>
      </c>
      <c r="Q212">
        <v>0</v>
      </c>
      <c r="R212">
        <v>24000</v>
      </c>
      <c r="S212">
        <v>0</v>
      </c>
      <c r="T212">
        <v>24000</v>
      </c>
    </row>
    <row r="213" spans="1:20" x14ac:dyDescent="0.25">
      <c r="A213">
        <v>212</v>
      </c>
      <c r="B213" s="5">
        <v>45139</v>
      </c>
      <c r="C213">
        <v>19</v>
      </c>
      <c r="D213">
        <v>5</v>
      </c>
      <c r="E213">
        <v>22</v>
      </c>
      <c r="F213" s="4" t="s">
        <v>279</v>
      </c>
      <c r="G213" s="4" t="s">
        <v>280</v>
      </c>
      <c r="H213" s="4" t="s">
        <v>19</v>
      </c>
      <c r="I213" s="4" t="s">
        <v>613</v>
      </c>
      <c r="J213" s="4" t="s">
        <v>20</v>
      </c>
      <c r="K213" s="4" t="s">
        <v>21</v>
      </c>
      <c r="L213" s="4" t="s">
        <v>38</v>
      </c>
      <c r="M213" s="4" t="s">
        <v>49</v>
      </c>
      <c r="N213" s="4" t="s">
        <v>31</v>
      </c>
      <c r="O213">
        <v>800000</v>
      </c>
      <c r="P213">
        <v>1</v>
      </c>
      <c r="Q213">
        <v>5</v>
      </c>
      <c r="R213">
        <v>800000</v>
      </c>
      <c r="S213">
        <v>40000</v>
      </c>
      <c r="T213">
        <v>760000</v>
      </c>
    </row>
    <row r="214" spans="1:20" x14ac:dyDescent="0.25">
      <c r="A214">
        <v>213</v>
      </c>
      <c r="B214" s="5">
        <v>45140</v>
      </c>
      <c r="C214">
        <v>13</v>
      </c>
      <c r="D214">
        <v>0</v>
      </c>
      <c r="E214">
        <v>63</v>
      </c>
      <c r="F214" s="4" t="s">
        <v>365</v>
      </c>
      <c r="G214" s="4" t="s">
        <v>366</v>
      </c>
      <c r="H214" s="4" t="s">
        <v>42</v>
      </c>
      <c r="I214" s="4" t="s">
        <v>638</v>
      </c>
      <c r="J214" s="4" t="s">
        <v>27</v>
      </c>
      <c r="K214" s="4" t="s">
        <v>28</v>
      </c>
      <c r="L214" s="4" t="s">
        <v>38</v>
      </c>
      <c r="M214" s="4" t="s">
        <v>102</v>
      </c>
      <c r="N214" s="4" t="s">
        <v>57</v>
      </c>
      <c r="O214">
        <v>12000</v>
      </c>
      <c r="P214">
        <v>1</v>
      </c>
      <c r="Q214">
        <v>1</v>
      </c>
      <c r="R214">
        <v>12000</v>
      </c>
      <c r="S214">
        <v>120</v>
      </c>
      <c r="T214">
        <v>11880</v>
      </c>
    </row>
    <row r="215" spans="1:20" x14ac:dyDescent="0.25">
      <c r="A215">
        <v>214</v>
      </c>
      <c r="B215" s="5">
        <v>45141</v>
      </c>
      <c r="C215">
        <v>18</v>
      </c>
      <c r="D215">
        <v>1</v>
      </c>
      <c r="E215">
        <v>51</v>
      </c>
      <c r="F215" s="4" t="s">
        <v>341</v>
      </c>
      <c r="G215" s="4" t="s">
        <v>342</v>
      </c>
      <c r="H215" s="4" t="s">
        <v>19</v>
      </c>
      <c r="I215" s="4"/>
      <c r="J215" s="4" t="s">
        <v>27</v>
      </c>
      <c r="K215" s="4" t="s">
        <v>28</v>
      </c>
      <c r="L215" s="4" t="s">
        <v>38</v>
      </c>
      <c r="M215" s="4" t="s">
        <v>69</v>
      </c>
      <c r="N215" s="4" t="s">
        <v>53</v>
      </c>
      <c r="O215">
        <v>450000</v>
      </c>
      <c r="P215">
        <v>2</v>
      </c>
      <c r="Q215">
        <v>1</v>
      </c>
      <c r="R215">
        <v>900000</v>
      </c>
      <c r="S215">
        <v>9000</v>
      </c>
      <c r="T215">
        <v>891000</v>
      </c>
    </row>
    <row r="216" spans="1:20" x14ac:dyDescent="0.25">
      <c r="A216">
        <v>215</v>
      </c>
      <c r="B216" s="5">
        <v>45142</v>
      </c>
      <c r="C216">
        <v>65</v>
      </c>
      <c r="D216">
        <v>0</v>
      </c>
      <c r="E216">
        <v>25</v>
      </c>
      <c r="F216" s="4" t="s">
        <v>367</v>
      </c>
      <c r="G216" s="4" t="s">
        <v>368</v>
      </c>
      <c r="H216" s="4" t="s">
        <v>42</v>
      </c>
      <c r="I216" s="4" t="s">
        <v>630</v>
      </c>
      <c r="J216" s="4" t="s">
        <v>101</v>
      </c>
      <c r="K216" s="4" t="s">
        <v>109</v>
      </c>
      <c r="L216" s="4" t="s">
        <v>38</v>
      </c>
      <c r="M216" s="4" t="s">
        <v>30</v>
      </c>
      <c r="N216" s="4" t="s">
        <v>31</v>
      </c>
      <c r="O216">
        <v>700000</v>
      </c>
      <c r="P216">
        <v>3</v>
      </c>
      <c r="Q216">
        <v>1</v>
      </c>
      <c r="R216">
        <v>2100000</v>
      </c>
      <c r="S216">
        <v>21000</v>
      </c>
      <c r="T216">
        <v>2079000</v>
      </c>
    </row>
    <row r="217" spans="1:20" x14ac:dyDescent="0.25">
      <c r="A217">
        <v>216</v>
      </c>
      <c r="B217" s="5">
        <v>45143</v>
      </c>
      <c r="C217">
        <v>64</v>
      </c>
      <c r="D217">
        <v>4</v>
      </c>
      <c r="E217">
        <v>46</v>
      </c>
      <c r="F217" s="4" t="s">
        <v>357</v>
      </c>
      <c r="G217" s="4" t="s">
        <v>358</v>
      </c>
      <c r="H217" s="4" t="s">
        <v>42</v>
      </c>
      <c r="I217" s="4" t="s">
        <v>614</v>
      </c>
      <c r="J217" s="4" t="s">
        <v>20</v>
      </c>
      <c r="K217" s="4" t="s">
        <v>21</v>
      </c>
      <c r="L217" s="4" t="s">
        <v>29</v>
      </c>
      <c r="M217" s="4" t="s">
        <v>56</v>
      </c>
      <c r="N217" s="4" t="s">
        <v>57</v>
      </c>
      <c r="O217">
        <v>25000</v>
      </c>
      <c r="P217">
        <v>2</v>
      </c>
      <c r="Q217">
        <v>5</v>
      </c>
      <c r="R217">
        <v>50000</v>
      </c>
      <c r="S217">
        <v>2500</v>
      </c>
      <c r="T217">
        <v>47500</v>
      </c>
    </row>
    <row r="218" spans="1:20" x14ac:dyDescent="0.25">
      <c r="A218">
        <v>217</v>
      </c>
      <c r="B218" s="5">
        <v>45144</v>
      </c>
      <c r="C218">
        <v>31</v>
      </c>
      <c r="D218">
        <v>4</v>
      </c>
      <c r="E218">
        <v>147</v>
      </c>
      <c r="F218" s="4" t="s">
        <v>268</v>
      </c>
      <c r="G218" s="4" t="s">
        <v>269</v>
      </c>
      <c r="H218" s="4" t="s">
        <v>42</v>
      </c>
      <c r="I218" s="4" t="s">
        <v>618</v>
      </c>
      <c r="J218" s="4" t="s">
        <v>101</v>
      </c>
      <c r="K218" s="4" t="s">
        <v>109</v>
      </c>
      <c r="L218" s="4" t="s">
        <v>38</v>
      </c>
      <c r="M218" s="4" t="s">
        <v>69</v>
      </c>
      <c r="N218" s="4" t="s">
        <v>53</v>
      </c>
      <c r="O218">
        <v>450000</v>
      </c>
      <c r="P218">
        <v>3</v>
      </c>
      <c r="Q218">
        <v>1</v>
      </c>
      <c r="R218">
        <v>1350000</v>
      </c>
      <c r="S218">
        <v>13500</v>
      </c>
      <c r="T218">
        <v>1336500</v>
      </c>
    </row>
    <row r="219" spans="1:20" x14ac:dyDescent="0.25">
      <c r="A219">
        <v>218</v>
      </c>
      <c r="B219" s="5">
        <v>45145</v>
      </c>
      <c r="C219">
        <v>28</v>
      </c>
      <c r="D219">
        <v>5</v>
      </c>
      <c r="E219">
        <v>164</v>
      </c>
      <c r="F219" s="4" t="s">
        <v>369</v>
      </c>
      <c r="G219" s="4" t="s">
        <v>370</v>
      </c>
      <c r="H219" s="4" t="s">
        <v>42</v>
      </c>
      <c r="I219" s="4" t="s">
        <v>631</v>
      </c>
      <c r="J219" s="4" t="s">
        <v>116</v>
      </c>
      <c r="K219" s="4" t="s">
        <v>37</v>
      </c>
      <c r="L219" s="4" t="s">
        <v>22</v>
      </c>
      <c r="M219" s="4" t="s">
        <v>39</v>
      </c>
      <c r="N219" s="4" t="s">
        <v>24</v>
      </c>
      <c r="O219">
        <v>35000</v>
      </c>
      <c r="P219">
        <v>2</v>
      </c>
      <c r="Q219">
        <v>5</v>
      </c>
      <c r="R219">
        <v>70000</v>
      </c>
      <c r="S219">
        <v>3500</v>
      </c>
      <c r="T219">
        <v>66500</v>
      </c>
    </row>
    <row r="220" spans="1:20" x14ac:dyDescent="0.25">
      <c r="A220">
        <v>219</v>
      </c>
      <c r="B220" s="5">
        <v>45146</v>
      </c>
      <c r="C220">
        <v>39</v>
      </c>
      <c r="D220">
        <v>6</v>
      </c>
      <c r="E220">
        <v>215</v>
      </c>
      <c r="F220" s="4" t="s">
        <v>371</v>
      </c>
      <c r="G220" s="4" t="s">
        <v>372</v>
      </c>
      <c r="H220" s="4" t="s">
        <v>19</v>
      </c>
      <c r="I220" s="4" t="s">
        <v>611</v>
      </c>
      <c r="J220" s="4" t="s">
        <v>43</v>
      </c>
      <c r="K220" s="4" t="s">
        <v>43</v>
      </c>
      <c r="L220" s="4" t="s">
        <v>22</v>
      </c>
      <c r="M220" s="4" t="s">
        <v>56</v>
      </c>
      <c r="N220" s="4" t="s">
        <v>57</v>
      </c>
      <c r="O220">
        <v>25000</v>
      </c>
      <c r="P220">
        <v>2</v>
      </c>
      <c r="Q220">
        <v>1</v>
      </c>
      <c r="R220">
        <v>50000</v>
      </c>
      <c r="S220">
        <v>500</v>
      </c>
      <c r="T220">
        <v>49500</v>
      </c>
    </row>
    <row r="221" spans="1:20" x14ac:dyDescent="0.25">
      <c r="A221">
        <v>220</v>
      </c>
      <c r="B221" s="5">
        <v>45147</v>
      </c>
      <c r="C221">
        <v>35</v>
      </c>
      <c r="D221">
        <v>1</v>
      </c>
      <c r="E221">
        <v>41</v>
      </c>
      <c r="F221" s="4" t="s">
        <v>131</v>
      </c>
      <c r="G221" s="4" t="s">
        <v>132</v>
      </c>
      <c r="H221" s="4" t="s">
        <v>42</v>
      </c>
      <c r="I221" s="4" t="s">
        <v>636</v>
      </c>
      <c r="J221" s="4" t="s">
        <v>43</v>
      </c>
      <c r="K221" s="4" t="s">
        <v>43</v>
      </c>
      <c r="L221" s="4" t="s">
        <v>22</v>
      </c>
      <c r="M221" s="4" t="s">
        <v>69</v>
      </c>
      <c r="N221" s="4" t="s">
        <v>53</v>
      </c>
      <c r="O221">
        <v>450000</v>
      </c>
      <c r="P221">
        <v>3</v>
      </c>
      <c r="Q221">
        <v>5</v>
      </c>
      <c r="R221">
        <v>1350000</v>
      </c>
      <c r="S221">
        <v>67500</v>
      </c>
      <c r="T221">
        <v>1282500</v>
      </c>
    </row>
    <row r="222" spans="1:20" x14ac:dyDescent="0.25">
      <c r="A222">
        <v>221</v>
      </c>
      <c r="B222" s="5">
        <v>45148</v>
      </c>
      <c r="C222">
        <v>33</v>
      </c>
      <c r="D222">
        <v>13</v>
      </c>
      <c r="E222">
        <v>50</v>
      </c>
      <c r="F222" s="4" t="s">
        <v>63</v>
      </c>
      <c r="G222" s="4" t="s">
        <v>64</v>
      </c>
      <c r="H222" s="4" t="s">
        <v>19</v>
      </c>
      <c r="I222" s="4" t="s">
        <v>612</v>
      </c>
      <c r="J222" s="4" t="s">
        <v>101</v>
      </c>
      <c r="K222" s="4" t="s">
        <v>109</v>
      </c>
      <c r="L222" s="4" t="s">
        <v>22</v>
      </c>
      <c r="M222" s="4" t="s">
        <v>56</v>
      </c>
      <c r="N222" s="4" t="s">
        <v>57</v>
      </c>
      <c r="O222">
        <v>25000</v>
      </c>
      <c r="P222">
        <v>1</v>
      </c>
      <c r="Q222">
        <v>0</v>
      </c>
      <c r="R222">
        <v>25000</v>
      </c>
      <c r="S222">
        <v>0</v>
      </c>
      <c r="T222">
        <v>25000</v>
      </c>
    </row>
    <row r="223" spans="1:20" x14ac:dyDescent="0.25">
      <c r="A223">
        <v>222</v>
      </c>
      <c r="B223" s="5">
        <v>45149</v>
      </c>
      <c r="C223">
        <v>64</v>
      </c>
      <c r="D223">
        <v>4</v>
      </c>
      <c r="E223">
        <v>66</v>
      </c>
      <c r="F223" s="4" t="s">
        <v>373</v>
      </c>
      <c r="G223" s="4" t="s">
        <v>374</v>
      </c>
      <c r="H223" s="4" t="s">
        <v>19</v>
      </c>
      <c r="I223" s="4" t="s">
        <v>633</v>
      </c>
      <c r="J223" s="4" t="s">
        <v>20</v>
      </c>
      <c r="K223" s="4" t="s">
        <v>21</v>
      </c>
      <c r="L223" s="4" t="s">
        <v>22</v>
      </c>
      <c r="M223" s="4" t="s">
        <v>49</v>
      </c>
      <c r="N223" s="4" t="s">
        <v>31</v>
      </c>
      <c r="O223">
        <v>800000</v>
      </c>
      <c r="P223">
        <v>3</v>
      </c>
      <c r="Q223">
        <v>0</v>
      </c>
      <c r="R223">
        <v>2400000</v>
      </c>
      <c r="S223">
        <v>0</v>
      </c>
      <c r="T223">
        <v>2400000</v>
      </c>
    </row>
    <row r="224" spans="1:20" x14ac:dyDescent="0.25">
      <c r="A224">
        <v>223</v>
      </c>
      <c r="B224" s="5">
        <v>45150</v>
      </c>
      <c r="C224">
        <v>13</v>
      </c>
      <c r="D224">
        <v>0</v>
      </c>
      <c r="E224">
        <v>151</v>
      </c>
      <c r="F224" s="4" t="s">
        <v>375</v>
      </c>
      <c r="G224" s="4" t="s">
        <v>376</v>
      </c>
      <c r="H224" s="4" t="s">
        <v>19</v>
      </c>
      <c r="I224" s="4" t="s">
        <v>623</v>
      </c>
      <c r="J224" s="4" t="s">
        <v>27</v>
      </c>
      <c r="K224" s="4" t="s">
        <v>28</v>
      </c>
      <c r="L224" s="4" t="s">
        <v>38</v>
      </c>
      <c r="M224" s="4" t="s">
        <v>23</v>
      </c>
      <c r="N224" s="4" t="s">
        <v>24</v>
      </c>
      <c r="O224">
        <v>15000</v>
      </c>
      <c r="P224">
        <v>1</v>
      </c>
      <c r="Q224">
        <v>5</v>
      </c>
      <c r="R224">
        <v>15000</v>
      </c>
      <c r="S224">
        <v>750</v>
      </c>
      <c r="T224">
        <v>14250</v>
      </c>
    </row>
    <row r="225" spans="1:20" x14ac:dyDescent="0.25">
      <c r="A225">
        <v>224</v>
      </c>
      <c r="B225" s="5">
        <v>45151</v>
      </c>
      <c r="C225">
        <v>44</v>
      </c>
      <c r="D225">
        <v>7</v>
      </c>
      <c r="E225">
        <v>169</v>
      </c>
      <c r="F225" s="4" t="s">
        <v>230</v>
      </c>
      <c r="G225" s="4" t="s">
        <v>231</v>
      </c>
      <c r="H225" s="4" t="s">
        <v>42</v>
      </c>
      <c r="I225" s="4" t="s">
        <v>613</v>
      </c>
      <c r="J225" s="4" t="s">
        <v>43</v>
      </c>
      <c r="K225" s="4" t="s">
        <v>43</v>
      </c>
      <c r="L225" s="4" t="s">
        <v>38</v>
      </c>
      <c r="M225" s="4" t="s">
        <v>102</v>
      </c>
      <c r="N225" s="4" t="s">
        <v>57</v>
      </c>
      <c r="O225">
        <v>12000</v>
      </c>
      <c r="P225">
        <v>1</v>
      </c>
      <c r="Q225">
        <v>5</v>
      </c>
      <c r="R225">
        <v>12000</v>
      </c>
      <c r="S225">
        <v>600</v>
      </c>
      <c r="T225">
        <v>11400</v>
      </c>
    </row>
    <row r="226" spans="1:20" x14ac:dyDescent="0.25">
      <c r="A226">
        <v>225</v>
      </c>
      <c r="B226" s="5">
        <v>45152</v>
      </c>
      <c r="C226">
        <v>25</v>
      </c>
      <c r="D226">
        <v>3</v>
      </c>
      <c r="E226">
        <v>35</v>
      </c>
      <c r="F226" s="4" t="s">
        <v>58</v>
      </c>
      <c r="G226" s="4" t="s">
        <v>59</v>
      </c>
      <c r="H226" s="4" t="s">
        <v>42</v>
      </c>
      <c r="I226" s="4" t="s">
        <v>621</v>
      </c>
      <c r="J226" s="4" t="s">
        <v>76</v>
      </c>
      <c r="K226" s="4" t="s">
        <v>77</v>
      </c>
      <c r="L226" s="4" t="s">
        <v>22</v>
      </c>
      <c r="M226" s="4" t="s">
        <v>30</v>
      </c>
      <c r="N226" s="4" t="s">
        <v>31</v>
      </c>
      <c r="O226">
        <v>700000</v>
      </c>
      <c r="P226">
        <v>2</v>
      </c>
      <c r="Q226">
        <v>0</v>
      </c>
      <c r="R226">
        <v>1400000</v>
      </c>
      <c r="S226">
        <v>0</v>
      </c>
      <c r="T226">
        <v>1400000</v>
      </c>
    </row>
    <row r="227" spans="1:20" x14ac:dyDescent="0.25">
      <c r="A227">
        <v>226</v>
      </c>
      <c r="B227" s="5">
        <v>45153</v>
      </c>
      <c r="C227">
        <v>63</v>
      </c>
      <c r="D227">
        <v>5</v>
      </c>
      <c r="E227">
        <v>12</v>
      </c>
      <c r="F227" s="4" t="s">
        <v>331</v>
      </c>
      <c r="G227" s="4" t="s">
        <v>332</v>
      </c>
      <c r="H227" s="4" t="s">
        <v>42</v>
      </c>
      <c r="I227" s="4" t="s">
        <v>639</v>
      </c>
      <c r="J227" s="4" t="s">
        <v>101</v>
      </c>
      <c r="K227" s="4" t="s">
        <v>109</v>
      </c>
      <c r="L227" s="4" t="s">
        <v>22</v>
      </c>
      <c r="M227" s="4" t="s">
        <v>62</v>
      </c>
      <c r="N227" s="4" t="s">
        <v>31</v>
      </c>
      <c r="O227">
        <v>650000</v>
      </c>
      <c r="P227">
        <v>3</v>
      </c>
      <c r="Q227">
        <v>0</v>
      </c>
      <c r="R227">
        <v>1950000</v>
      </c>
      <c r="S227">
        <v>0</v>
      </c>
      <c r="T227">
        <v>1950000</v>
      </c>
    </row>
    <row r="228" spans="1:20" x14ac:dyDescent="0.25">
      <c r="A228">
        <v>227</v>
      </c>
      <c r="B228" s="5">
        <v>45154</v>
      </c>
      <c r="C228">
        <v>49</v>
      </c>
      <c r="D228">
        <v>1</v>
      </c>
      <c r="E228">
        <v>187</v>
      </c>
      <c r="F228" s="4" t="s">
        <v>377</v>
      </c>
      <c r="G228" s="4" t="s">
        <v>378</v>
      </c>
      <c r="H228" s="4" t="s">
        <v>42</v>
      </c>
      <c r="I228" s="4" t="s">
        <v>609</v>
      </c>
      <c r="J228" s="4" t="s">
        <v>43</v>
      </c>
      <c r="K228" s="4" t="s">
        <v>43</v>
      </c>
      <c r="L228" s="4" t="s">
        <v>38</v>
      </c>
      <c r="M228" s="4" t="s">
        <v>49</v>
      </c>
      <c r="N228" s="4" t="s">
        <v>31</v>
      </c>
      <c r="O228">
        <v>800000</v>
      </c>
      <c r="P228">
        <v>3</v>
      </c>
      <c r="Q228">
        <v>0</v>
      </c>
      <c r="R228">
        <v>2400000</v>
      </c>
      <c r="S228">
        <v>0</v>
      </c>
      <c r="T228">
        <v>2400000</v>
      </c>
    </row>
    <row r="229" spans="1:20" x14ac:dyDescent="0.25">
      <c r="A229">
        <v>228</v>
      </c>
      <c r="B229" s="5">
        <v>45155</v>
      </c>
      <c r="C229">
        <v>4</v>
      </c>
      <c r="D229">
        <v>3</v>
      </c>
      <c r="E229">
        <v>72</v>
      </c>
      <c r="F229" s="4" t="s">
        <v>262</v>
      </c>
      <c r="G229" s="4" t="s">
        <v>263</v>
      </c>
      <c r="H229" s="4" t="s">
        <v>19</v>
      </c>
      <c r="I229" s="4" t="s">
        <v>646</v>
      </c>
      <c r="J229" s="4" t="s">
        <v>52</v>
      </c>
      <c r="K229" s="4" t="s">
        <v>28</v>
      </c>
      <c r="L229" s="4" t="s">
        <v>29</v>
      </c>
      <c r="M229" s="4" t="s">
        <v>69</v>
      </c>
      <c r="N229" s="4" t="s">
        <v>53</v>
      </c>
      <c r="O229">
        <v>450000</v>
      </c>
      <c r="P229">
        <v>1</v>
      </c>
      <c r="Q229">
        <v>0</v>
      </c>
      <c r="R229">
        <v>450000</v>
      </c>
      <c r="S229">
        <v>0</v>
      </c>
      <c r="T229">
        <v>450000</v>
      </c>
    </row>
    <row r="230" spans="1:20" x14ac:dyDescent="0.25">
      <c r="A230">
        <v>229</v>
      </c>
      <c r="B230" s="5">
        <v>45156</v>
      </c>
      <c r="C230">
        <v>68</v>
      </c>
      <c r="D230">
        <v>2</v>
      </c>
      <c r="E230">
        <v>237</v>
      </c>
      <c r="F230" s="4" t="s">
        <v>266</v>
      </c>
      <c r="G230" s="4" t="s">
        <v>267</v>
      </c>
      <c r="H230" s="4" t="s">
        <v>19</v>
      </c>
      <c r="I230" s="4" t="s">
        <v>612</v>
      </c>
      <c r="J230" s="4" t="s">
        <v>34</v>
      </c>
      <c r="K230" s="4" t="s">
        <v>272</v>
      </c>
      <c r="L230" s="4" t="s">
        <v>38</v>
      </c>
      <c r="M230" s="4" t="s">
        <v>23</v>
      </c>
      <c r="N230" s="4" t="s">
        <v>24</v>
      </c>
      <c r="O230">
        <v>15000</v>
      </c>
      <c r="P230">
        <v>1</v>
      </c>
      <c r="Q230">
        <v>0</v>
      </c>
      <c r="R230">
        <v>15000</v>
      </c>
      <c r="S230">
        <v>0</v>
      </c>
      <c r="T230">
        <v>15000</v>
      </c>
    </row>
    <row r="231" spans="1:20" x14ac:dyDescent="0.25">
      <c r="A231">
        <v>230</v>
      </c>
      <c r="B231" s="5">
        <v>45157</v>
      </c>
      <c r="C231">
        <v>6</v>
      </c>
      <c r="D231">
        <v>2</v>
      </c>
      <c r="E231">
        <v>155</v>
      </c>
      <c r="F231" s="4" t="s">
        <v>379</v>
      </c>
      <c r="G231" s="4" t="s">
        <v>380</v>
      </c>
      <c r="H231" s="4" t="s">
        <v>42</v>
      </c>
      <c r="I231" s="4" t="s">
        <v>623</v>
      </c>
      <c r="J231" s="4" t="s">
        <v>52</v>
      </c>
      <c r="K231" s="4" t="s">
        <v>28</v>
      </c>
      <c r="L231" s="4" t="s">
        <v>22</v>
      </c>
      <c r="M231" s="4" t="s">
        <v>62</v>
      </c>
      <c r="N231" s="4" t="s">
        <v>31</v>
      </c>
      <c r="O231">
        <v>650000</v>
      </c>
      <c r="P231">
        <v>1</v>
      </c>
      <c r="Q231">
        <v>0</v>
      </c>
      <c r="R231">
        <v>650000</v>
      </c>
      <c r="S231">
        <v>0</v>
      </c>
      <c r="T231">
        <v>650000</v>
      </c>
    </row>
    <row r="232" spans="1:20" x14ac:dyDescent="0.25">
      <c r="A232">
        <v>231</v>
      </c>
      <c r="B232" s="5">
        <v>45158</v>
      </c>
      <c r="C232">
        <v>66</v>
      </c>
      <c r="D232">
        <v>2</v>
      </c>
      <c r="E232">
        <v>279</v>
      </c>
      <c r="F232" s="4" t="s">
        <v>381</v>
      </c>
      <c r="G232" s="4" t="s">
        <v>382</v>
      </c>
      <c r="H232" s="4" t="s">
        <v>42</v>
      </c>
      <c r="I232" s="4" t="s">
        <v>610</v>
      </c>
      <c r="J232" s="4" t="s">
        <v>27</v>
      </c>
      <c r="K232" s="4" t="s">
        <v>28</v>
      </c>
      <c r="L232" s="4" t="s">
        <v>29</v>
      </c>
      <c r="M232" s="4" t="s">
        <v>46</v>
      </c>
      <c r="N232" s="4" t="s">
        <v>53</v>
      </c>
      <c r="O232">
        <v>750000</v>
      </c>
      <c r="P232">
        <v>2</v>
      </c>
      <c r="Q232">
        <v>0</v>
      </c>
      <c r="R232">
        <v>1500000</v>
      </c>
      <c r="S232">
        <v>0</v>
      </c>
      <c r="T232">
        <v>1500000</v>
      </c>
    </row>
    <row r="233" spans="1:20" x14ac:dyDescent="0.25">
      <c r="A233">
        <v>232</v>
      </c>
      <c r="B233" s="5">
        <v>45159</v>
      </c>
      <c r="C233">
        <v>31</v>
      </c>
      <c r="D233">
        <v>4</v>
      </c>
      <c r="E233">
        <v>52</v>
      </c>
      <c r="F233" s="4" t="s">
        <v>383</v>
      </c>
      <c r="G233" s="4" t="s">
        <v>384</v>
      </c>
      <c r="H233" s="4" t="s">
        <v>19</v>
      </c>
      <c r="I233" s="4" t="s">
        <v>626</v>
      </c>
      <c r="J233" s="4" t="s">
        <v>101</v>
      </c>
      <c r="K233" s="4" t="s">
        <v>109</v>
      </c>
      <c r="L233" s="4" t="s">
        <v>38</v>
      </c>
      <c r="M233" s="4" t="s">
        <v>39</v>
      </c>
      <c r="N233" s="4" t="s">
        <v>24</v>
      </c>
      <c r="O233">
        <v>35000</v>
      </c>
      <c r="P233">
        <v>3</v>
      </c>
      <c r="Q233">
        <v>5</v>
      </c>
      <c r="R233">
        <v>105000</v>
      </c>
      <c r="S233">
        <v>5250</v>
      </c>
      <c r="T233">
        <v>99750</v>
      </c>
    </row>
    <row r="234" spans="1:20" x14ac:dyDescent="0.25">
      <c r="A234">
        <v>233</v>
      </c>
      <c r="B234" s="5">
        <v>45160</v>
      </c>
      <c r="C234">
        <v>43</v>
      </c>
      <c r="D234">
        <v>0</v>
      </c>
      <c r="E234">
        <v>44</v>
      </c>
      <c r="F234" s="4" t="s">
        <v>180</v>
      </c>
      <c r="G234" s="4" t="s">
        <v>181</v>
      </c>
      <c r="H234" s="4" t="s">
        <v>19</v>
      </c>
      <c r="I234" s="4" t="s">
        <v>611</v>
      </c>
      <c r="J234" s="4" t="s">
        <v>34</v>
      </c>
      <c r="K234" s="4" t="s">
        <v>272</v>
      </c>
      <c r="L234" s="4" t="s">
        <v>22</v>
      </c>
      <c r="M234" s="4" t="s">
        <v>46</v>
      </c>
      <c r="N234" s="4" t="s">
        <v>53</v>
      </c>
      <c r="O234">
        <v>750000</v>
      </c>
      <c r="P234">
        <v>1</v>
      </c>
      <c r="Q234">
        <v>0</v>
      </c>
      <c r="R234">
        <v>750000</v>
      </c>
      <c r="S234">
        <v>0</v>
      </c>
      <c r="T234">
        <v>750000</v>
      </c>
    </row>
    <row r="235" spans="1:20" x14ac:dyDescent="0.25">
      <c r="A235">
        <v>234</v>
      </c>
      <c r="B235" s="5">
        <v>45161</v>
      </c>
      <c r="C235">
        <v>25</v>
      </c>
      <c r="D235">
        <v>3</v>
      </c>
      <c r="E235">
        <v>131</v>
      </c>
      <c r="F235" s="4" t="s">
        <v>385</v>
      </c>
      <c r="G235" s="4" t="s">
        <v>386</v>
      </c>
      <c r="H235" s="4" t="s">
        <v>19</v>
      </c>
      <c r="I235" s="4" t="s">
        <v>652</v>
      </c>
      <c r="J235" s="4" t="s">
        <v>76</v>
      </c>
      <c r="K235" s="4" t="s">
        <v>77</v>
      </c>
      <c r="L235" s="4" t="s">
        <v>29</v>
      </c>
      <c r="M235" s="4" t="s">
        <v>23</v>
      </c>
      <c r="N235" s="4" t="s">
        <v>24</v>
      </c>
      <c r="O235">
        <v>15000</v>
      </c>
      <c r="P235">
        <v>3</v>
      </c>
      <c r="Q235">
        <v>0</v>
      </c>
      <c r="R235">
        <v>45000</v>
      </c>
      <c r="S235">
        <v>0</v>
      </c>
      <c r="T235">
        <v>45000</v>
      </c>
    </row>
    <row r="236" spans="1:20" x14ac:dyDescent="0.25">
      <c r="A236">
        <v>235</v>
      </c>
      <c r="B236" s="5">
        <v>45162</v>
      </c>
      <c r="C236">
        <v>17</v>
      </c>
      <c r="D236">
        <v>0</v>
      </c>
      <c r="E236">
        <v>209</v>
      </c>
      <c r="F236" s="4" t="s">
        <v>387</v>
      </c>
      <c r="G236" s="4" t="s">
        <v>388</v>
      </c>
      <c r="H236" s="4" t="s">
        <v>19</v>
      </c>
      <c r="I236" s="4" t="s">
        <v>620</v>
      </c>
      <c r="J236" s="4" t="s">
        <v>34</v>
      </c>
      <c r="K236" s="4" t="s">
        <v>272</v>
      </c>
      <c r="L236" s="4" t="s">
        <v>38</v>
      </c>
      <c r="M236" s="4" t="s">
        <v>49</v>
      </c>
      <c r="N236" s="4" t="s">
        <v>31</v>
      </c>
      <c r="O236">
        <v>800000</v>
      </c>
      <c r="P236">
        <v>2</v>
      </c>
      <c r="Q236">
        <v>5</v>
      </c>
      <c r="R236">
        <v>1600000</v>
      </c>
      <c r="S236">
        <v>80000</v>
      </c>
      <c r="T236">
        <v>1520000</v>
      </c>
    </row>
    <row r="237" spans="1:20" x14ac:dyDescent="0.25">
      <c r="A237">
        <v>236</v>
      </c>
      <c r="B237" s="5">
        <v>45163</v>
      </c>
      <c r="C237">
        <v>65</v>
      </c>
      <c r="D237">
        <v>0</v>
      </c>
      <c r="E237">
        <v>259</v>
      </c>
      <c r="F237" s="4" t="s">
        <v>389</v>
      </c>
      <c r="G237" s="4" t="s">
        <v>390</v>
      </c>
      <c r="H237" s="4" t="s">
        <v>42</v>
      </c>
      <c r="I237" s="4" t="s">
        <v>609</v>
      </c>
      <c r="J237" s="4" t="s">
        <v>101</v>
      </c>
      <c r="K237" s="4" t="s">
        <v>109</v>
      </c>
      <c r="L237" s="4" t="s">
        <v>38</v>
      </c>
      <c r="M237" s="4" t="s">
        <v>39</v>
      </c>
      <c r="N237" s="4" t="s">
        <v>24</v>
      </c>
      <c r="O237">
        <v>35000</v>
      </c>
      <c r="P237">
        <v>3</v>
      </c>
      <c r="Q237">
        <v>0</v>
      </c>
      <c r="R237">
        <v>105000</v>
      </c>
      <c r="S237">
        <v>0</v>
      </c>
      <c r="T237">
        <v>105000</v>
      </c>
    </row>
    <row r="238" spans="1:20" x14ac:dyDescent="0.25">
      <c r="A238">
        <v>237</v>
      </c>
      <c r="B238" s="5">
        <v>45164</v>
      </c>
      <c r="C238">
        <v>42</v>
      </c>
      <c r="D238">
        <v>4</v>
      </c>
      <c r="E238">
        <v>176</v>
      </c>
      <c r="F238" s="4" t="s">
        <v>170</v>
      </c>
      <c r="G238" s="4" t="s">
        <v>171</v>
      </c>
      <c r="H238" s="4" t="s">
        <v>42</v>
      </c>
      <c r="I238" s="4" t="s">
        <v>621</v>
      </c>
      <c r="J238" s="4" t="s">
        <v>27</v>
      </c>
      <c r="K238" s="4" t="s">
        <v>28</v>
      </c>
      <c r="L238" s="4" t="s">
        <v>38</v>
      </c>
      <c r="M238" s="4" t="s">
        <v>56</v>
      </c>
      <c r="N238" s="4" t="s">
        <v>57</v>
      </c>
      <c r="O238">
        <v>25000</v>
      </c>
      <c r="P238">
        <v>1</v>
      </c>
      <c r="Q238">
        <v>0</v>
      </c>
      <c r="R238">
        <v>25000</v>
      </c>
      <c r="S238">
        <v>0</v>
      </c>
      <c r="T238">
        <v>25000</v>
      </c>
    </row>
    <row r="239" spans="1:20" x14ac:dyDescent="0.25">
      <c r="A239">
        <v>238</v>
      </c>
      <c r="B239" s="5">
        <v>45165</v>
      </c>
      <c r="C239">
        <v>1</v>
      </c>
      <c r="D239">
        <v>8</v>
      </c>
      <c r="E239">
        <v>239</v>
      </c>
      <c r="F239" s="4" t="s">
        <v>141</v>
      </c>
      <c r="G239" s="4" t="s">
        <v>142</v>
      </c>
      <c r="H239" s="4" t="s">
        <v>42</v>
      </c>
      <c r="I239" s="4" t="s">
        <v>643</v>
      </c>
      <c r="J239" s="4" t="s">
        <v>34</v>
      </c>
      <c r="K239" s="4" t="s">
        <v>272</v>
      </c>
      <c r="L239" s="4" t="s">
        <v>22</v>
      </c>
      <c r="M239" s="4" t="s">
        <v>30</v>
      </c>
      <c r="N239" s="4" t="s">
        <v>31</v>
      </c>
      <c r="O239">
        <v>700000</v>
      </c>
      <c r="P239">
        <v>1</v>
      </c>
      <c r="Q239">
        <v>0</v>
      </c>
      <c r="R239">
        <v>700000</v>
      </c>
      <c r="S239">
        <v>0</v>
      </c>
      <c r="T239">
        <v>700000</v>
      </c>
    </row>
    <row r="240" spans="1:20" x14ac:dyDescent="0.25">
      <c r="A240">
        <v>239</v>
      </c>
      <c r="B240" s="5">
        <v>45166</v>
      </c>
      <c r="C240">
        <v>28</v>
      </c>
      <c r="D240">
        <v>5</v>
      </c>
      <c r="E240">
        <v>189</v>
      </c>
      <c r="F240" s="4" t="s">
        <v>67</v>
      </c>
      <c r="G240" s="4" t="s">
        <v>68</v>
      </c>
      <c r="H240" s="4" t="s">
        <v>42</v>
      </c>
      <c r="I240" s="4" t="s">
        <v>616</v>
      </c>
      <c r="J240" s="4" t="s">
        <v>116</v>
      </c>
      <c r="K240" s="4" t="s">
        <v>37</v>
      </c>
      <c r="L240" s="4" t="s">
        <v>38</v>
      </c>
      <c r="M240" s="4" t="s">
        <v>62</v>
      </c>
      <c r="N240" s="4" t="s">
        <v>31</v>
      </c>
      <c r="O240">
        <v>650000</v>
      </c>
      <c r="P240">
        <v>1</v>
      </c>
      <c r="Q240">
        <v>5</v>
      </c>
      <c r="R240">
        <v>650000</v>
      </c>
      <c r="S240">
        <v>32500</v>
      </c>
      <c r="T240">
        <v>617500</v>
      </c>
    </row>
    <row r="241" spans="1:20" x14ac:dyDescent="0.25">
      <c r="A241">
        <v>240</v>
      </c>
      <c r="B241" s="5">
        <v>45167</v>
      </c>
      <c r="C241">
        <v>52</v>
      </c>
      <c r="D241">
        <v>0</v>
      </c>
      <c r="E241">
        <v>16</v>
      </c>
      <c r="F241" s="4" t="s">
        <v>391</v>
      </c>
      <c r="G241" s="4" t="s">
        <v>392</v>
      </c>
      <c r="H241" s="4" t="s">
        <v>42</v>
      </c>
      <c r="I241" s="4" t="s">
        <v>630</v>
      </c>
      <c r="J241" s="4" t="s">
        <v>27</v>
      </c>
      <c r="K241" s="4" t="s">
        <v>28</v>
      </c>
      <c r="L241" s="4" t="s">
        <v>38</v>
      </c>
      <c r="M241" s="4" t="s">
        <v>49</v>
      </c>
      <c r="N241" s="4" t="s">
        <v>31</v>
      </c>
      <c r="O241">
        <v>800000</v>
      </c>
      <c r="P241">
        <v>3</v>
      </c>
      <c r="Q241">
        <v>1</v>
      </c>
      <c r="R241">
        <v>2400000</v>
      </c>
      <c r="S241">
        <v>24000</v>
      </c>
      <c r="T241">
        <v>2376000</v>
      </c>
    </row>
    <row r="242" spans="1:20" x14ac:dyDescent="0.25">
      <c r="A242">
        <v>241</v>
      </c>
      <c r="B242" s="5">
        <v>45168</v>
      </c>
      <c r="C242">
        <v>46</v>
      </c>
      <c r="D242">
        <v>5</v>
      </c>
      <c r="E242">
        <v>269</v>
      </c>
      <c r="F242" s="4" t="s">
        <v>72</v>
      </c>
      <c r="G242" s="4" t="s">
        <v>73</v>
      </c>
      <c r="H242" s="4" t="s">
        <v>42</v>
      </c>
      <c r="I242" s="4" t="s">
        <v>639</v>
      </c>
      <c r="J242" s="4" t="s">
        <v>84</v>
      </c>
      <c r="K242" s="4" t="s">
        <v>85</v>
      </c>
      <c r="L242" s="4" t="s">
        <v>22</v>
      </c>
      <c r="M242" s="4" t="s">
        <v>30</v>
      </c>
      <c r="N242" s="4" t="s">
        <v>31</v>
      </c>
      <c r="O242">
        <v>700000</v>
      </c>
      <c r="P242">
        <v>2</v>
      </c>
      <c r="Q242">
        <v>5</v>
      </c>
      <c r="R242">
        <v>1400000</v>
      </c>
      <c r="S242">
        <v>70000</v>
      </c>
      <c r="T242">
        <v>1330000</v>
      </c>
    </row>
    <row r="243" spans="1:20" x14ac:dyDescent="0.25">
      <c r="A243">
        <v>242</v>
      </c>
      <c r="B243" s="5">
        <v>45169</v>
      </c>
      <c r="C243">
        <v>64</v>
      </c>
      <c r="D243">
        <v>4</v>
      </c>
      <c r="E243">
        <v>164</v>
      </c>
      <c r="F243" s="4" t="s">
        <v>369</v>
      </c>
      <c r="G243" s="4" t="s">
        <v>370</v>
      </c>
      <c r="H243" s="4" t="s">
        <v>42</v>
      </c>
      <c r="I243" s="4" t="s">
        <v>631</v>
      </c>
      <c r="J243" s="4" t="s">
        <v>20</v>
      </c>
      <c r="K243" s="4" t="s">
        <v>21</v>
      </c>
      <c r="L243" s="4" t="s">
        <v>22</v>
      </c>
      <c r="M243" s="4" t="s">
        <v>98</v>
      </c>
      <c r="N243" s="4" t="s">
        <v>151</v>
      </c>
      <c r="O243">
        <v>55000</v>
      </c>
      <c r="P243">
        <v>3</v>
      </c>
      <c r="Q243">
        <v>5</v>
      </c>
      <c r="R243">
        <v>165000</v>
      </c>
      <c r="S243">
        <v>8250</v>
      </c>
      <c r="T243">
        <v>156750</v>
      </c>
    </row>
    <row r="244" spans="1:20" x14ac:dyDescent="0.25">
      <c r="A244">
        <v>243</v>
      </c>
      <c r="B244" s="5">
        <v>45170</v>
      </c>
      <c r="C244">
        <v>67</v>
      </c>
      <c r="D244">
        <v>0</v>
      </c>
      <c r="E244">
        <v>102</v>
      </c>
      <c r="F244" s="4" t="s">
        <v>25</v>
      </c>
      <c r="G244" s="4" t="s">
        <v>26</v>
      </c>
      <c r="H244" s="4" t="s">
        <v>19</v>
      </c>
      <c r="I244" s="4" t="s">
        <v>639</v>
      </c>
      <c r="J244" s="4" t="s">
        <v>27</v>
      </c>
      <c r="K244" s="4" t="s">
        <v>28</v>
      </c>
      <c r="L244" s="4" t="s">
        <v>29</v>
      </c>
      <c r="M244" s="4" t="s">
        <v>69</v>
      </c>
      <c r="N244" s="4" t="s">
        <v>53</v>
      </c>
      <c r="O244">
        <v>450000</v>
      </c>
      <c r="P244">
        <v>3</v>
      </c>
      <c r="Q244">
        <v>5</v>
      </c>
      <c r="R244">
        <v>1350000</v>
      </c>
      <c r="S244">
        <v>67500</v>
      </c>
      <c r="T244">
        <v>1282500</v>
      </c>
    </row>
    <row r="245" spans="1:20" x14ac:dyDescent="0.25">
      <c r="A245">
        <v>244</v>
      </c>
      <c r="B245" s="5">
        <v>45171</v>
      </c>
      <c r="C245">
        <v>7</v>
      </c>
      <c r="D245">
        <v>8</v>
      </c>
      <c r="E245">
        <v>53</v>
      </c>
      <c r="F245" s="4" t="s">
        <v>234</v>
      </c>
      <c r="G245" s="4" t="s">
        <v>235</v>
      </c>
      <c r="H245" s="4" t="s">
        <v>42</v>
      </c>
      <c r="I245" s="4" t="s">
        <v>614</v>
      </c>
      <c r="J245" s="4" t="s">
        <v>37</v>
      </c>
      <c r="K245" s="4" t="s">
        <v>37</v>
      </c>
      <c r="L245" s="4" t="s">
        <v>38</v>
      </c>
      <c r="M245" s="4" t="s">
        <v>69</v>
      </c>
      <c r="N245" s="4" t="s">
        <v>53</v>
      </c>
      <c r="O245">
        <v>450000</v>
      </c>
      <c r="P245">
        <v>2</v>
      </c>
      <c r="Q245">
        <v>0</v>
      </c>
      <c r="R245">
        <v>900000</v>
      </c>
      <c r="S245">
        <v>0</v>
      </c>
      <c r="T245">
        <v>900000</v>
      </c>
    </row>
    <row r="246" spans="1:20" x14ac:dyDescent="0.25">
      <c r="A246">
        <v>245</v>
      </c>
      <c r="B246" s="5">
        <v>45172</v>
      </c>
      <c r="C246">
        <v>65</v>
      </c>
      <c r="D246">
        <v>0</v>
      </c>
      <c r="E246">
        <v>17</v>
      </c>
      <c r="F246" s="4" t="s">
        <v>393</v>
      </c>
      <c r="G246" s="4" t="s">
        <v>394</v>
      </c>
      <c r="H246" s="4" t="s">
        <v>42</v>
      </c>
      <c r="I246" s="4" t="s">
        <v>615</v>
      </c>
      <c r="J246" s="4" t="s">
        <v>101</v>
      </c>
      <c r="K246" s="4" t="s">
        <v>109</v>
      </c>
      <c r="L246" s="4" t="s">
        <v>38</v>
      </c>
      <c r="M246" s="4" t="s">
        <v>49</v>
      </c>
      <c r="N246" s="4" t="s">
        <v>31</v>
      </c>
      <c r="O246">
        <v>800000</v>
      </c>
      <c r="P246">
        <v>1</v>
      </c>
      <c r="Q246">
        <v>1</v>
      </c>
      <c r="R246">
        <v>800000</v>
      </c>
      <c r="S246">
        <v>8000</v>
      </c>
      <c r="T246">
        <v>792000</v>
      </c>
    </row>
    <row r="247" spans="1:20" x14ac:dyDescent="0.25">
      <c r="A247">
        <v>246</v>
      </c>
      <c r="B247" s="5">
        <v>45173</v>
      </c>
      <c r="C247">
        <v>60</v>
      </c>
      <c r="D247">
        <v>1</v>
      </c>
      <c r="E247">
        <v>142</v>
      </c>
      <c r="F247" s="4" t="s">
        <v>277</v>
      </c>
      <c r="G247" s="4" t="s">
        <v>278</v>
      </c>
      <c r="H247" s="4" t="s">
        <v>19</v>
      </c>
      <c r="I247" s="4" t="s">
        <v>650</v>
      </c>
      <c r="J247" s="4" t="s">
        <v>37</v>
      </c>
      <c r="K247" s="4" t="s">
        <v>37</v>
      </c>
      <c r="L247" s="4" t="s">
        <v>29</v>
      </c>
      <c r="M247" s="4" t="s">
        <v>69</v>
      </c>
      <c r="N247" s="4" t="s">
        <v>53</v>
      </c>
      <c r="O247">
        <v>450000</v>
      </c>
      <c r="P247">
        <v>1</v>
      </c>
      <c r="Q247">
        <v>5</v>
      </c>
      <c r="R247">
        <v>450000</v>
      </c>
      <c r="S247">
        <v>22500</v>
      </c>
      <c r="T247">
        <v>427500</v>
      </c>
    </row>
    <row r="248" spans="1:20" x14ac:dyDescent="0.25">
      <c r="A248">
        <v>247</v>
      </c>
      <c r="B248" s="5">
        <v>45174</v>
      </c>
      <c r="C248">
        <v>61</v>
      </c>
      <c r="D248">
        <v>3</v>
      </c>
      <c r="E248">
        <v>8</v>
      </c>
      <c r="F248" s="4" t="s">
        <v>395</v>
      </c>
      <c r="G248" s="4" t="s">
        <v>396</v>
      </c>
      <c r="H248" s="4" t="s">
        <v>42</v>
      </c>
      <c r="I248" s="4" t="s">
        <v>621</v>
      </c>
      <c r="J248" s="4" t="s">
        <v>52</v>
      </c>
      <c r="K248" s="4" t="s">
        <v>28</v>
      </c>
      <c r="L248" s="4" t="s">
        <v>38</v>
      </c>
      <c r="M248" s="4" t="s">
        <v>98</v>
      </c>
      <c r="N248" s="4" t="s">
        <v>151</v>
      </c>
      <c r="O248">
        <v>55000</v>
      </c>
      <c r="P248">
        <v>2</v>
      </c>
      <c r="Q248">
        <v>0</v>
      </c>
      <c r="R248">
        <v>110000</v>
      </c>
      <c r="S248">
        <v>0</v>
      </c>
      <c r="T248">
        <v>110000</v>
      </c>
    </row>
    <row r="249" spans="1:20" x14ac:dyDescent="0.25">
      <c r="A249">
        <v>248</v>
      </c>
      <c r="B249" s="5">
        <v>45175</v>
      </c>
      <c r="C249">
        <v>49</v>
      </c>
      <c r="D249">
        <v>1</v>
      </c>
      <c r="E249">
        <v>63</v>
      </c>
      <c r="F249" s="4" t="s">
        <v>365</v>
      </c>
      <c r="G249" s="4" t="s">
        <v>366</v>
      </c>
      <c r="H249" s="4" t="s">
        <v>42</v>
      </c>
      <c r="I249" s="4" t="s">
        <v>638</v>
      </c>
      <c r="J249" s="4" t="s">
        <v>43</v>
      </c>
      <c r="K249" s="4" t="s">
        <v>43</v>
      </c>
      <c r="L249" s="4" t="s">
        <v>22</v>
      </c>
      <c r="M249" s="4" t="s">
        <v>49</v>
      </c>
      <c r="N249" s="4" t="s">
        <v>31</v>
      </c>
      <c r="O249">
        <v>800000</v>
      </c>
      <c r="P249">
        <v>3</v>
      </c>
      <c r="Q249">
        <v>5</v>
      </c>
      <c r="R249">
        <v>2400000</v>
      </c>
      <c r="S249">
        <v>120000</v>
      </c>
      <c r="T249">
        <v>2280000</v>
      </c>
    </row>
    <row r="250" spans="1:20" x14ac:dyDescent="0.25">
      <c r="A250">
        <v>249</v>
      </c>
      <c r="B250" s="5">
        <v>45176</v>
      </c>
      <c r="C250">
        <v>25</v>
      </c>
      <c r="D250">
        <v>3</v>
      </c>
      <c r="E250">
        <v>7</v>
      </c>
      <c r="F250" s="4" t="s">
        <v>397</v>
      </c>
      <c r="G250" s="4" t="s">
        <v>398</v>
      </c>
      <c r="H250" s="4" t="s">
        <v>19</v>
      </c>
      <c r="I250" s="4" t="s">
        <v>646</v>
      </c>
      <c r="J250" s="4" t="s">
        <v>76</v>
      </c>
      <c r="K250" s="4" t="s">
        <v>77</v>
      </c>
      <c r="L250" s="4" t="s">
        <v>29</v>
      </c>
      <c r="M250" s="4" t="s">
        <v>69</v>
      </c>
      <c r="N250" s="4" t="s">
        <v>53</v>
      </c>
      <c r="O250">
        <v>450000</v>
      </c>
      <c r="P250">
        <v>3</v>
      </c>
      <c r="Q250">
        <v>0</v>
      </c>
      <c r="R250">
        <v>1350000</v>
      </c>
      <c r="S250">
        <v>0</v>
      </c>
      <c r="T250">
        <v>1350000</v>
      </c>
    </row>
    <row r="251" spans="1:20" x14ac:dyDescent="0.25">
      <c r="A251">
        <v>250</v>
      </c>
      <c r="B251" s="5">
        <v>45177</v>
      </c>
      <c r="C251">
        <v>55</v>
      </c>
      <c r="D251">
        <v>9</v>
      </c>
      <c r="E251">
        <v>114</v>
      </c>
      <c r="F251" s="4" t="s">
        <v>96</v>
      </c>
      <c r="G251" s="4" t="s">
        <v>97</v>
      </c>
      <c r="H251" s="4" t="s">
        <v>42</v>
      </c>
      <c r="I251" s="4" t="s">
        <v>640</v>
      </c>
      <c r="J251" s="4" t="s">
        <v>43</v>
      </c>
      <c r="K251" s="4" t="s">
        <v>43</v>
      </c>
      <c r="L251" s="4" t="s">
        <v>29</v>
      </c>
      <c r="M251" s="4" t="s">
        <v>62</v>
      </c>
      <c r="N251" s="4" t="s">
        <v>31</v>
      </c>
      <c r="O251">
        <v>650000</v>
      </c>
      <c r="P251">
        <v>3</v>
      </c>
      <c r="Q251">
        <v>5</v>
      </c>
      <c r="R251">
        <v>1950000</v>
      </c>
      <c r="S251">
        <v>97500</v>
      </c>
      <c r="T251">
        <v>1852500</v>
      </c>
    </row>
    <row r="252" spans="1:20" x14ac:dyDescent="0.25">
      <c r="A252">
        <v>251</v>
      </c>
      <c r="B252" s="5">
        <v>45178</v>
      </c>
      <c r="C252">
        <v>58</v>
      </c>
      <c r="D252">
        <v>1</v>
      </c>
      <c r="E252">
        <v>258</v>
      </c>
      <c r="F252" s="4" t="s">
        <v>399</v>
      </c>
      <c r="G252" s="4" t="s">
        <v>400</v>
      </c>
      <c r="H252" s="4" t="s">
        <v>42</v>
      </c>
      <c r="I252" s="4" t="s">
        <v>614</v>
      </c>
      <c r="J252" s="4" t="s">
        <v>76</v>
      </c>
      <c r="K252" s="4" t="s">
        <v>77</v>
      </c>
      <c r="L252" s="4" t="s">
        <v>22</v>
      </c>
      <c r="M252" s="4" t="s">
        <v>23</v>
      </c>
      <c r="N252" s="4" t="s">
        <v>24</v>
      </c>
      <c r="O252">
        <v>15000</v>
      </c>
      <c r="P252">
        <v>3</v>
      </c>
      <c r="Q252">
        <v>0</v>
      </c>
      <c r="R252">
        <v>45000</v>
      </c>
      <c r="S252">
        <v>0</v>
      </c>
      <c r="T252">
        <v>45000</v>
      </c>
    </row>
    <row r="253" spans="1:20" x14ac:dyDescent="0.25">
      <c r="A253">
        <v>252</v>
      </c>
      <c r="B253" s="5">
        <v>45179</v>
      </c>
      <c r="C253">
        <v>43</v>
      </c>
      <c r="D253">
        <v>0</v>
      </c>
      <c r="E253">
        <v>132</v>
      </c>
      <c r="F253" s="4" t="s">
        <v>94</v>
      </c>
      <c r="G253" s="4" t="s">
        <v>95</v>
      </c>
      <c r="H253" s="4" t="s">
        <v>42</v>
      </c>
      <c r="I253" s="4" t="s">
        <v>610</v>
      </c>
      <c r="J253" s="4" t="s">
        <v>34</v>
      </c>
      <c r="K253" s="4" t="s">
        <v>272</v>
      </c>
      <c r="L253" s="4" t="s">
        <v>38</v>
      </c>
      <c r="M253" s="4" t="s">
        <v>39</v>
      </c>
      <c r="N253" s="4" t="s">
        <v>24</v>
      </c>
      <c r="O253">
        <v>35000</v>
      </c>
      <c r="P253">
        <v>2</v>
      </c>
      <c r="Q253">
        <v>5</v>
      </c>
      <c r="R253">
        <v>70000</v>
      </c>
      <c r="S253">
        <v>3500</v>
      </c>
      <c r="T253">
        <v>66500</v>
      </c>
    </row>
    <row r="254" spans="1:20" x14ac:dyDescent="0.25">
      <c r="A254">
        <v>253</v>
      </c>
      <c r="B254" s="5">
        <v>45180</v>
      </c>
      <c r="C254">
        <v>70</v>
      </c>
      <c r="D254">
        <v>6</v>
      </c>
      <c r="E254">
        <v>21</v>
      </c>
      <c r="F254" s="4" t="s">
        <v>401</v>
      </c>
      <c r="G254" s="4" t="s">
        <v>402</v>
      </c>
      <c r="H254" s="4" t="s">
        <v>19</v>
      </c>
      <c r="I254" s="4" t="s">
        <v>628</v>
      </c>
      <c r="J254" s="4" t="s">
        <v>27</v>
      </c>
      <c r="K254" s="4" t="s">
        <v>28</v>
      </c>
      <c r="L254" s="4" t="s">
        <v>38</v>
      </c>
      <c r="M254" s="4" t="s">
        <v>46</v>
      </c>
      <c r="N254" s="4" t="s">
        <v>53</v>
      </c>
      <c r="O254">
        <v>750000</v>
      </c>
      <c r="P254">
        <v>1</v>
      </c>
      <c r="Q254">
        <v>5</v>
      </c>
      <c r="R254">
        <v>750000</v>
      </c>
      <c r="S254">
        <v>37500</v>
      </c>
      <c r="T254">
        <v>712500</v>
      </c>
    </row>
    <row r="255" spans="1:20" x14ac:dyDescent="0.25">
      <c r="A255">
        <v>254</v>
      </c>
      <c r="B255" s="5">
        <v>45181</v>
      </c>
      <c r="C255">
        <v>28</v>
      </c>
      <c r="D255">
        <v>5</v>
      </c>
      <c r="E255">
        <v>272</v>
      </c>
      <c r="F255" s="4" t="s">
        <v>403</v>
      </c>
      <c r="G255" s="4" t="s">
        <v>404</v>
      </c>
      <c r="H255" s="4" t="s">
        <v>19</v>
      </c>
      <c r="I255" s="4" t="s">
        <v>642</v>
      </c>
      <c r="J255" s="4" t="s">
        <v>116</v>
      </c>
      <c r="K255" s="4" t="s">
        <v>37</v>
      </c>
      <c r="L255" s="4" t="s">
        <v>29</v>
      </c>
      <c r="M255" s="4" t="s">
        <v>39</v>
      </c>
      <c r="N255" s="4" t="s">
        <v>24</v>
      </c>
      <c r="O255">
        <v>35000</v>
      </c>
      <c r="P255">
        <v>1</v>
      </c>
      <c r="Q255">
        <v>5</v>
      </c>
      <c r="R255">
        <v>35000</v>
      </c>
      <c r="S255">
        <v>1750</v>
      </c>
      <c r="T255">
        <v>33250</v>
      </c>
    </row>
    <row r="256" spans="1:20" x14ac:dyDescent="0.25">
      <c r="A256">
        <v>255</v>
      </c>
      <c r="B256" s="5">
        <v>45182</v>
      </c>
      <c r="C256">
        <v>60</v>
      </c>
      <c r="D256">
        <v>1</v>
      </c>
      <c r="E256">
        <v>122</v>
      </c>
      <c r="F256" s="4" t="s">
        <v>107</v>
      </c>
      <c r="G256" s="4" t="s">
        <v>108</v>
      </c>
      <c r="H256" s="4" t="s">
        <v>42</v>
      </c>
      <c r="I256" s="4" t="s">
        <v>616</v>
      </c>
      <c r="J256" s="4" t="s">
        <v>37</v>
      </c>
      <c r="K256" s="4" t="s">
        <v>37</v>
      </c>
      <c r="L256" s="4" t="s">
        <v>38</v>
      </c>
      <c r="M256" s="4" t="s">
        <v>69</v>
      </c>
      <c r="N256" s="4" t="s">
        <v>53</v>
      </c>
      <c r="O256">
        <v>450000</v>
      </c>
      <c r="P256">
        <v>2</v>
      </c>
      <c r="Q256">
        <v>0</v>
      </c>
      <c r="R256">
        <v>900000</v>
      </c>
      <c r="S256">
        <v>0</v>
      </c>
      <c r="T256">
        <v>900000</v>
      </c>
    </row>
    <row r="257" spans="1:20" x14ac:dyDescent="0.25">
      <c r="A257">
        <v>256</v>
      </c>
      <c r="B257" s="5">
        <v>45183</v>
      </c>
      <c r="C257">
        <v>6</v>
      </c>
      <c r="D257">
        <v>2</v>
      </c>
      <c r="E257">
        <v>38</v>
      </c>
      <c r="F257" s="4" t="s">
        <v>200</v>
      </c>
      <c r="G257" s="4" t="s">
        <v>201</v>
      </c>
      <c r="H257" s="4" t="s">
        <v>19</v>
      </c>
      <c r="I257" s="4" t="s">
        <v>612</v>
      </c>
      <c r="J257" s="4" t="s">
        <v>52</v>
      </c>
      <c r="K257" s="4" t="s">
        <v>28</v>
      </c>
      <c r="L257" s="4" t="s">
        <v>29</v>
      </c>
      <c r="M257" s="4" t="s">
        <v>62</v>
      </c>
      <c r="N257" s="4" t="s">
        <v>31</v>
      </c>
      <c r="O257">
        <v>650000</v>
      </c>
      <c r="P257">
        <v>2</v>
      </c>
      <c r="Q257">
        <v>1</v>
      </c>
      <c r="R257">
        <v>1300000</v>
      </c>
      <c r="S257">
        <v>13000</v>
      </c>
      <c r="T257">
        <v>1287000</v>
      </c>
    </row>
    <row r="258" spans="1:20" x14ac:dyDescent="0.25">
      <c r="A258">
        <v>257</v>
      </c>
      <c r="B258" s="5">
        <v>45184</v>
      </c>
      <c r="C258">
        <v>7</v>
      </c>
      <c r="D258">
        <v>8</v>
      </c>
      <c r="E258">
        <v>243</v>
      </c>
      <c r="F258" s="4" t="s">
        <v>327</v>
      </c>
      <c r="G258" s="4" t="s">
        <v>328</v>
      </c>
      <c r="H258" s="4" t="s">
        <v>42</v>
      </c>
      <c r="I258" s="4" t="s">
        <v>620</v>
      </c>
      <c r="J258" s="4" t="s">
        <v>37</v>
      </c>
      <c r="K258" s="4" t="s">
        <v>37</v>
      </c>
      <c r="L258" s="4" t="s">
        <v>38</v>
      </c>
      <c r="M258" s="4" t="s">
        <v>49</v>
      </c>
      <c r="N258" s="4" t="s">
        <v>31</v>
      </c>
      <c r="O258">
        <v>800000</v>
      </c>
      <c r="P258">
        <v>3</v>
      </c>
      <c r="Q258">
        <v>0</v>
      </c>
      <c r="R258">
        <v>2400000</v>
      </c>
      <c r="S258">
        <v>0</v>
      </c>
      <c r="T258">
        <v>2400000</v>
      </c>
    </row>
    <row r="259" spans="1:20" x14ac:dyDescent="0.25">
      <c r="A259">
        <v>258</v>
      </c>
      <c r="B259" s="5">
        <v>45185</v>
      </c>
      <c r="C259">
        <v>70</v>
      </c>
      <c r="D259">
        <v>6</v>
      </c>
      <c r="E259">
        <v>102</v>
      </c>
      <c r="F259" s="4" t="s">
        <v>25</v>
      </c>
      <c r="G259" s="4" t="s">
        <v>26</v>
      </c>
      <c r="H259" s="4" t="s">
        <v>19</v>
      </c>
      <c r="I259" s="4" t="s">
        <v>639</v>
      </c>
      <c r="J259" s="4" t="s">
        <v>27</v>
      </c>
      <c r="K259" s="4" t="s">
        <v>28</v>
      </c>
      <c r="L259" s="4" t="s">
        <v>22</v>
      </c>
      <c r="M259" s="4" t="s">
        <v>46</v>
      </c>
      <c r="N259" s="4" t="s">
        <v>53</v>
      </c>
      <c r="O259">
        <v>750000</v>
      </c>
      <c r="P259">
        <v>2</v>
      </c>
      <c r="Q259">
        <v>0</v>
      </c>
      <c r="R259">
        <v>1500000</v>
      </c>
      <c r="S259">
        <v>0</v>
      </c>
      <c r="T259">
        <v>1500000</v>
      </c>
    </row>
    <row r="260" spans="1:20" x14ac:dyDescent="0.25">
      <c r="A260">
        <v>259</v>
      </c>
      <c r="B260" s="5">
        <v>45186</v>
      </c>
      <c r="C260">
        <v>7</v>
      </c>
      <c r="D260">
        <v>8</v>
      </c>
      <c r="E260">
        <v>197</v>
      </c>
      <c r="F260" s="4" t="s">
        <v>405</v>
      </c>
      <c r="G260" s="4" t="s">
        <v>406</v>
      </c>
      <c r="H260" s="4" t="s">
        <v>42</v>
      </c>
      <c r="I260" s="4" t="s">
        <v>616</v>
      </c>
      <c r="J260" s="4" t="s">
        <v>37</v>
      </c>
      <c r="K260" s="4" t="s">
        <v>37</v>
      </c>
      <c r="L260" s="4" t="s">
        <v>22</v>
      </c>
      <c r="M260" s="4" t="s">
        <v>30</v>
      </c>
      <c r="N260" s="4" t="s">
        <v>31</v>
      </c>
      <c r="O260">
        <v>700000</v>
      </c>
      <c r="P260">
        <v>1</v>
      </c>
      <c r="Q260">
        <v>1</v>
      </c>
      <c r="R260">
        <v>700000</v>
      </c>
      <c r="S260">
        <v>7000</v>
      </c>
      <c r="T260">
        <v>693000</v>
      </c>
    </row>
    <row r="261" spans="1:20" x14ac:dyDescent="0.25">
      <c r="A261">
        <v>260</v>
      </c>
      <c r="B261" s="5">
        <v>45187</v>
      </c>
      <c r="C261">
        <v>28</v>
      </c>
      <c r="D261">
        <v>5</v>
      </c>
      <c r="E261">
        <v>91</v>
      </c>
      <c r="F261" s="4" t="s">
        <v>407</v>
      </c>
      <c r="G261" s="4" t="s">
        <v>408</v>
      </c>
      <c r="H261" s="4" t="s">
        <v>19</v>
      </c>
      <c r="I261" s="4" t="s">
        <v>622</v>
      </c>
      <c r="J261" s="4" t="s">
        <v>116</v>
      </c>
      <c r="K261" s="4" t="s">
        <v>37</v>
      </c>
      <c r="L261" s="4" t="s">
        <v>22</v>
      </c>
      <c r="M261" s="4" t="s">
        <v>49</v>
      </c>
      <c r="N261" s="4" t="s">
        <v>31</v>
      </c>
      <c r="O261">
        <v>800000</v>
      </c>
      <c r="P261">
        <v>2</v>
      </c>
      <c r="Q261">
        <v>1</v>
      </c>
      <c r="R261">
        <v>1600000</v>
      </c>
      <c r="S261">
        <v>16000</v>
      </c>
      <c r="T261">
        <v>1584000</v>
      </c>
    </row>
    <row r="262" spans="1:20" x14ac:dyDescent="0.25">
      <c r="A262">
        <v>261</v>
      </c>
      <c r="B262" s="5">
        <v>45188</v>
      </c>
      <c r="C262">
        <v>3</v>
      </c>
      <c r="D262">
        <v>1</v>
      </c>
      <c r="E262">
        <v>108</v>
      </c>
      <c r="F262" s="4" t="s">
        <v>409</v>
      </c>
      <c r="G262" s="4" t="s">
        <v>410</v>
      </c>
      <c r="H262" s="4" t="s">
        <v>19</v>
      </c>
      <c r="I262" s="4" t="s">
        <v>625</v>
      </c>
      <c r="J262" s="4" t="s">
        <v>37</v>
      </c>
      <c r="K262" s="4" t="s">
        <v>37</v>
      </c>
      <c r="L262" s="4" t="s">
        <v>22</v>
      </c>
      <c r="M262" s="4" t="s">
        <v>102</v>
      </c>
      <c r="N262" s="4" t="s">
        <v>57</v>
      </c>
      <c r="O262">
        <v>12000</v>
      </c>
      <c r="P262">
        <v>3</v>
      </c>
      <c r="Q262">
        <v>5</v>
      </c>
      <c r="R262">
        <v>36000</v>
      </c>
      <c r="S262">
        <v>1800</v>
      </c>
      <c r="T262">
        <v>34200</v>
      </c>
    </row>
    <row r="263" spans="1:20" x14ac:dyDescent="0.25">
      <c r="A263">
        <v>262</v>
      </c>
      <c r="B263" s="5">
        <v>45189</v>
      </c>
      <c r="C263">
        <v>62</v>
      </c>
      <c r="D263">
        <v>4</v>
      </c>
      <c r="E263">
        <v>70</v>
      </c>
      <c r="F263" s="4" t="s">
        <v>343</v>
      </c>
      <c r="G263" s="4" t="s">
        <v>344</v>
      </c>
      <c r="H263" s="4" t="s">
        <v>42</v>
      </c>
      <c r="I263" s="4" t="s">
        <v>643</v>
      </c>
      <c r="J263" s="4" t="s">
        <v>76</v>
      </c>
      <c r="K263" s="4" t="s">
        <v>77</v>
      </c>
      <c r="L263" s="4" t="s">
        <v>29</v>
      </c>
      <c r="M263" s="4" t="s">
        <v>62</v>
      </c>
      <c r="N263" s="4" t="s">
        <v>31</v>
      </c>
      <c r="O263">
        <v>650000</v>
      </c>
      <c r="P263">
        <v>2</v>
      </c>
      <c r="Q263">
        <v>1</v>
      </c>
      <c r="R263">
        <v>1300000</v>
      </c>
      <c r="S263">
        <v>13000</v>
      </c>
      <c r="T263">
        <v>1287000</v>
      </c>
    </row>
    <row r="264" spans="1:20" x14ac:dyDescent="0.25">
      <c r="A264">
        <v>263</v>
      </c>
      <c r="B264" s="5">
        <v>45190</v>
      </c>
      <c r="C264">
        <v>67</v>
      </c>
      <c r="D264">
        <v>0</v>
      </c>
      <c r="E264">
        <v>118</v>
      </c>
      <c r="F264" s="4" t="s">
        <v>133</v>
      </c>
      <c r="G264" s="4" t="s">
        <v>134</v>
      </c>
      <c r="H264" s="4" t="s">
        <v>42</v>
      </c>
      <c r="I264" s="4" t="s">
        <v>618</v>
      </c>
      <c r="J264" s="4" t="s">
        <v>27</v>
      </c>
      <c r="K264" s="4" t="s">
        <v>28</v>
      </c>
      <c r="L264" s="4" t="s">
        <v>22</v>
      </c>
      <c r="M264" s="4" t="s">
        <v>62</v>
      </c>
      <c r="N264" s="4" t="s">
        <v>31</v>
      </c>
      <c r="O264">
        <v>650000</v>
      </c>
      <c r="P264">
        <v>2</v>
      </c>
      <c r="Q264">
        <v>0</v>
      </c>
      <c r="R264">
        <v>1300000</v>
      </c>
      <c r="S264">
        <v>0</v>
      </c>
      <c r="T264">
        <v>1300000</v>
      </c>
    </row>
    <row r="265" spans="1:20" x14ac:dyDescent="0.25">
      <c r="A265">
        <v>264</v>
      </c>
      <c r="B265" s="5">
        <v>45191</v>
      </c>
      <c r="C265">
        <v>40</v>
      </c>
      <c r="D265">
        <v>1</v>
      </c>
      <c r="E265">
        <v>192</v>
      </c>
      <c r="F265" s="4" t="s">
        <v>411</v>
      </c>
      <c r="G265" s="4" t="s">
        <v>412</v>
      </c>
      <c r="H265" s="4" t="s">
        <v>42</v>
      </c>
      <c r="I265" s="4"/>
      <c r="J265" s="4" t="s">
        <v>27</v>
      </c>
      <c r="K265" s="4" t="s">
        <v>28</v>
      </c>
      <c r="L265" s="4" t="s">
        <v>29</v>
      </c>
      <c r="M265" s="4" t="s">
        <v>102</v>
      </c>
      <c r="N265" s="4" t="s">
        <v>57</v>
      </c>
      <c r="O265">
        <v>12000</v>
      </c>
      <c r="P265">
        <v>1</v>
      </c>
      <c r="Q265">
        <v>0</v>
      </c>
      <c r="R265">
        <v>12000</v>
      </c>
      <c r="S265">
        <v>0</v>
      </c>
      <c r="T265">
        <v>12000</v>
      </c>
    </row>
    <row r="266" spans="1:20" x14ac:dyDescent="0.25">
      <c r="A266">
        <v>265</v>
      </c>
      <c r="B266" s="5">
        <v>45192</v>
      </c>
      <c r="C266">
        <v>19</v>
      </c>
      <c r="D266">
        <v>5</v>
      </c>
      <c r="E266">
        <v>192</v>
      </c>
      <c r="F266" s="4" t="s">
        <v>411</v>
      </c>
      <c r="G266" s="4" t="s">
        <v>412</v>
      </c>
      <c r="H266" s="4" t="s">
        <v>42</v>
      </c>
      <c r="I266" s="4"/>
      <c r="J266" s="4" t="s">
        <v>20</v>
      </c>
      <c r="K266" s="4" t="s">
        <v>21</v>
      </c>
      <c r="L266" s="4" t="s">
        <v>38</v>
      </c>
      <c r="M266" s="4" t="s">
        <v>102</v>
      </c>
      <c r="N266" s="4" t="s">
        <v>57</v>
      </c>
      <c r="O266">
        <v>12000</v>
      </c>
      <c r="P266">
        <v>3</v>
      </c>
      <c r="Q266">
        <v>0</v>
      </c>
      <c r="R266">
        <v>36000</v>
      </c>
      <c r="S266">
        <v>0</v>
      </c>
      <c r="T266">
        <v>36000</v>
      </c>
    </row>
    <row r="267" spans="1:20" x14ac:dyDescent="0.25">
      <c r="A267">
        <v>266</v>
      </c>
      <c r="B267" s="5">
        <v>45193</v>
      </c>
      <c r="C267">
        <v>18</v>
      </c>
      <c r="D267">
        <v>1</v>
      </c>
      <c r="E267">
        <v>76</v>
      </c>
      <c r="F267" s="4" t="s">
        <v>317</v>
      </c>
      <c r="G267" s="4" t="s">
        <v>318</v>
      </c>
      <c r="H267" s="4" t="s">
        <v>19</v>
      </c>
      <c r="I267" s="4" t="s">
        <v>621</v>
      </c>
      <c r="J267" s="4" t="s">
        <v>27</v>
      </c>
      <c r="K267" s="4" t="s">
        <v>28</v>
      </c>
      <c r="L267" s="4" t="s">
        <v>22</v>
      </c>
      <c r="M267" s="4" t="s">
        <v>49</v>
      </c>
      <c r="N267" s="4" t="s">
        <v>31</v>
      </c>
      <c r="O267">
        <v>800000</v>
      </c>
      <c r="P267">
        <v>3</v>
      </c>
      <c r="Q267">
        <v>0</v>
      </c>
      <c r="R267">
        <v>2400000</v>
      </c>
      <c r="S267">
        <v>0</v>
      </c>
      <c r="T267">
        <v>2400000</v>
      </c>
    </row>
    <row r="268" spans="1:20" x14ac:dyDescent="0.25">
      <c r="A268">
        <v>267</v>
      </c>
      <c r="B268" s="5">
        <v>45194</v>
      </c>
      <c r="C268">
        <v>66</v>
      </c>
      <c r="D268">
        <v>2</v>
      </c>
      <c r="E268">
        <v>139</v>
      </c>
      <c r="F268" s="4" t="s">
        <v>413</v>
      </c>
      <c r="G268" s="4" t="s">
        <v>414</v>
      </c>
      <c r="H268" s="4" t="s">
        <v>19</v>
      </c>
      <c r="I268" s="4" t="s">
        <v>621</v>
      </c>
      <c r="J268" s="4" t="s">
        <v>27</v>
      </c>
      <c r="K268" s="4" t="s">
        <v>28</v>
      </c>
      <c r="L268" s="4" t="s">
        <v>38</v>
      </c>
      <c r="M268" s="4" t="s">
        <v>23</v>
      </c>
      <c r="N268" s="4" t="s">
        <v>24</v>
      </c>
      <c r="O268">
        <v>15000</v>
      </c>
      <c r="P268">
        <v>1</v>
      </c>
      <c r="Q268">
        <v>0</v>
      </c>
      <c r="R268">
        <v>15000</v>
      </c>
      <c r="S268">
        <v>0</v>
      </c>
      <c r="T268">
        <v>15000</v>
      </c>
    </row>
    <row r="269" spans="1:20" x14ac:dyDescent="0.25">
      <c r="A269">
        <v>268</v>
      </c>
      <c r="B269" s="5">
        <v>45195</v>
      </c>
      <c r="C269">
        <v>58</v>
      </c>
      <c r="D269">
        <v>1</v>
      </c>
      <c r="E269">
        <v>60</v>
      </c>
      <c r="F269" s="4" t="s">
        <v>307</v>
      </c>
      <c r="G269" s="4" t="s">
        <v>308</v>
      </c>
      <c r="H269" s="4" t="s">
        <v>19</v>
      </c>
      <c r="I269" s="4" t="s">
        <v>637</v>
      </c>
      <c r="J269" s="4" t="s">
        <v>76</v>
      </c>
      <c r="K269" s="4" t="s">
        <v>77</v>
      </c>
      <c r="L269" s="4" t="s">
        <v>38</v>
      </c>
      <c r="M269" s="4" t="s">
        <v>102</v>
      </c>
      <c r="N269" s="4" t="s">
        <v>57</v>
      </c>
      <c r="O269">
        <v>12000</v>
      </c>
      <c r="P269">
        <v>2</v>
      </c>
      <c r="Q269">
        <v>0</v>
      </c>
      <c r="R269">
        <v>24000</v>
      </c>
      <c r="S269">
        <v>0</v>
      </c>
      <c r="T269">
        <v>24000</v>
      </c>
    </row>
    <row r="270" spans="1:20" x14ac:dyDescent="0.25">
      <c r="A270">
        <v>269</v>
      </c>
      <c r="B270" s="5">
        <v>45196</v>
      </c>
      <c r="C270">
        <v>55</v>
      </c>
      <c r="D270">
        <v>9</v>
      </c>
      <c r="E270">
        <v>118</v>
      </c>
      <c r="F270" s="4" t="s">
        <v>133</v>
      </c>
      <c r="G270" s="4" t="s">
        <v>134</v>
      </c>
      <c r="H270" s="4" t="s">
        <v>42</v>
      </c>
      <c r="I270" s="4" t="s">
        <v>618</v>
      </c>
      <c r="J270" s="4" t="s">
        <v>43</v>
      </c>
      <c r="K270" s="4" t="s">
        <v>43</v>
      </c>
      <c r="L270" s="4" t="s">
        <v>29</v>
      </c>
      <c r="M270" s="4" t="s">
        <v>30</v>
      </c>
      <c r="N270" s="4" t="s">
        <v>31</v>
      </c>
      <c r="O270">
        <v>700000</v>
      </c>
      <c r="P270">
        <v>2</v>
      </c>
      <c r="Q270">
        <v>0</v>
      </c>
      <c r="R270">
        <v>1400000</v>
      </c>
      <c r="S270">
        <v>0</v>
      </c>
      <c r="T270">
        <v>1400000</v>
      </c>
    </row>
    <row r="271" spans="1:20" x14ac:dyDescent="0.25">
      <c r="A271">
        <v>270</v>
      </c>
      <c r="B271" s="5">
        <v>45197</v>
      </c>
      <c r="C271">
        <v>13</v>
      </c>
      <c r="D271">
        <v>0</v>
      </c>
      <c r="E271">
        <v>144</v>
      </c>
      <c r="F271" s="4" t="s">
        <v>184</v>
      </c>
      <c r="G271" s="4" t="s">
        <v>185</v>
      </c>
      <c r="H271" s="4" t="s">
        <v>42</v>
      </c>
      <c r="I271" s="4" t="s">
        <v>625</v>
      </c>
      <c r="J271" s="4" t="s">
        <v>27</v>
      </c>
      <c r="K271" s="4" t="s">
        <v>28</v>
      </c>
      <c r="L271" s="4" t="s">
        <v>22</v>
      </c>
      <c r="M271" s="4" t="s">
        <v>23</v>
      </c>
      <c r="N271" s="4" t="s">
        <v>24</v>
      </c>
      <c r="O271">
        <v>15000</v>
      </c>
      <c r="P271">
        <v>1</v>
      </c>
      <c r="Q271">
        <v>0</v>
      </c>
      <c r="R271">
        <v>15000</v>
      </c>
      <c r="S271">
        <v>0</v>
      </c>
      <c r="T271">
        <v>15000</v>
      </c>
    </row>
    <row r="272" spans="1:20" x14ac:dyDescent="0.25">
      <c r="A272">
        <v>271</v>
      </c>
      <c r="B272" s="5">
        <v>45198</v>
      </c>
      <c r="C272">
        <v>30</v>
      </c>
      <c r="D272">
        <v>0</v>
      </c>
      <c r="E272">
        <v>74</v>
      </c>
      <c r="F272" s="4" t="s">
        <v>415</v>
      </c>
      <c r="G272" s="4" t="s">
        <v>416</v>
      </c>
      <c r="H272" s="4" t="s">
        <v>19</v>
      </c>
      <c r="I272" s="4" t="s">
        <v>646</v>
      </c>
      <c r="J272" s="4" t="s">
        <v>37</v>
      </c>
      <c r="K272" s="4" t="s">
        <v>37</v>
      </c>
      <c r="L272" s="4" t="s">
        <v>29</v>
      </c>
      <c r="M272" s="4" t="s">
        <v>49</v>
      </c>
      <c r="N272" s="4" t="s">
        <v>31</v>
      </c>
      <c r="O272">
        <v>800000</v>
      </c>
      <c r="P272">
        <v>2</v>
      </c>
      <c r="Q272">
        <v>0</v>
      </c>
      <c r="R272">
        <v>1600000</v>
      </c>
      <c r="S272">
        <v>0</v>
      </c>
      <c r="T272">
        <v>1600000</v>
      </c>
    </row>
    <row r="273" spans="1:20" x14ac:dyDescent="0.25">
      <c r="A273">
        <v>272</v>
      </c>
      <c r="B273" s="5">
        <v>45199</v>
      </c>
      <c r="C273">
        <v>28</v>
      </c>
      <c r="D273">
        <v>5</v>
      </c>
      <c r="E273">
        <v>269</v>
      </c>
      <c r="F273" s="4" t="s">
        <v>72</v>
      </c>
      <c r="G273" s="4" t="s">
        <v>73</v>
      </c>
      <c r="H273" s="4" t="s">
        <v>42</v>
      </c>
      <c r="I273" s="4" t="s">
        <v>639</v>
      </c>
      <c r="J273" s="4" t="s">
        <v>116</v>
      </c>
      <c r="K273" s="4" t="s">
        <v>37</v>
      </c>
      <c r="L273" s="4" t="s">
        <v>22</v>
      </c>
      <c r="M273" s="4" t="s">
        <v>49</v>
      </c>
      <c r="N273" s="4" t="s">
        <v>31</v>
      </c>
      <c r="O273">
        <v>800000</v>
      </c>
      <c r="P273">
        <v>1</v>
      </c>
      <c r="Q273">
        <v>0</v>
      </c>
      <c r="R273">
        <v>800000</v>
      </c>
      <c r="S273">
        <v>0</v>
      </c>
      <c r="T273">
        <v>800000</v>
      </c>
    </row>
    <row r="274" spans="1:20" x14ac:dyDescent="0.25">
      <c r="A274">
        <v>273</v>
      </c>
      <c r="B274" s="5">
        <v>45200</v>
      </c>
      <c r="C274">
        <v>45</v>
      </c>
      <c r="D274">
        <v>2</v>
      </c>
      <c r="E274">
        <v>267</v>
      </c>
      <c r="F274" s="4" t="s">
        <v>252</v>
      </c>
      <c r="G274" s="4" t="s">
        <v>253</v>
      </c>
      <c r="H274" s="4" t="s">
        <v>42</v>
      </c>
      <c r="I274" s="4" t="s">
        <v>653</v>
      </c>
      <c r="J274" s="4" t="s">
        <v>27</v>
      </c>
      <c r="K274" s="4" t="s">
        <v>28</v>
      </c>
      <c r="L274" s="4" t="s">
        <v>38</v>
      </c>
      <c r="M274" s="4" t="s">
        <v>39</v>
      </c>
      <c r="N274" s="4" t="s">
        <v>24</v>
      </c>
      <c r="O274">
        <v>35000</v>
      </c>
      <c r="P274">
        <v>3</v>
      </c>
      <c r="Q274">
        <v>1</v>
      </c>
      <c r="R274">
        <v>105000</v>
      </c>
      <c r="S274">
        <v>1050</v>
      </c>
      <c r="T274">
        <v>103950</v>
      </c>
    </row>
    <row r="275" spans="1:20" x14ac:dyDescent="0.25">
      <c r="A275">
        <v>274</v>
      </c>
      <c r="B275" s="5">
        <v>45201</v>
      </c>
      <c r="C275">
        <v>34</v>
      </c>
      <c r="D275">
        <v>1</v>
      </c>
      <c r="E275">
        <v>269</v>
      </c>
      <c r="F275" s="4" t="s">
        <v>72</v>
      </c>
      <c r="G275" s="4" t="s">
        <v>73</v>
      </c>
      <c r="H275" s="4" t="s">
        <v>42</v>
      </c>
      <c r="I275" s="4" t="s">
        <v>639</v>
      </c>
      <c r="J275" s="4" t="s">
        <v>52</v>
      </c>
      <c r="K275" s="4" t="s">
        <v>28</v>
      </c>
      <c r="L275" s="4" t="s">
        <v>38</v>
      </c>
      <c r="M275" s="4" t="s">
        <v>46</v>
      </c>
      <c r="N275" s="4" t="s">
        <v>53</v>
      </c>
      <c r="O275">
        <v>750000</v>
      </c>
      <c r="P275">
        <v>2</v>
      </c>
      <c r="Q275">
        <v>0</v>
      </c>
      <c r="R275">
        <v>1500000</v>
      </c>
      <c r="S275">
        <v>0</v>
      </c>
      <c r="T275">
        <v>1500000</v>
      </c>
    </row>
    <row r="276" spans="1:20" x14ac:dyDescent="0.25">
      <c r="A276">
        <v>275</v>
      </c>
      <c r="B276" s="5">
        <v>45202</v>
      </c>
      <c r="C276">
        <v>24</v>
      </c>
      <c r="D276">
        <v>3</v>
      </c>
      <c r="E276">
        <v>119</v>
      </c>
      <c r="F276" s="4" t="s">
        <v>417</v>
      </c>
      <c r="G276" s="4" t="s">
        <v>418</v>
      </c>
      <c r="H276" s="4" t="s">
        <v>19</v>
      </c>
      <c r="I276" s="4" t="s">
        <v>644</v>
      </c>
      <c r="J276" s="4" t="s">
        <v>84</v>
      </c>
      <c r="K276" s="4" t="s">
        <v>85</v>
      </c>
      <c r="L276" s="4" t="s">
        <v>38</v>
      </c>
      <c r="M276" s="4" t="s">
        <v>62</v>
      </c>
      <c r="N276" s="4" t="s">
        <v>31</v>
      </c>
      <c r="O276">
        <v>650000</v>
      </c>
      <c r="P276">
        <v>1</v>
      </c>
      <c r="Q276">
        <v>1</v>
      </c>
      <c r="R276">
        <v>650000</v>
      </c>
      <c r="S276">
        <v>6500</v>
      </c>
      <c r="T276">
        <v>643500</v>
      </c>
    </row>
    <row r="277" spans="1:20" x14ac:dyDescent="0.25">
      <c r="A277">
        <v>276</v>
      </c>
      <c r="B277" s="5">
        <v>45203</v>
      </c>
      <c r="C277">
        <v>23</v>
      </c>
      <c r="D277">
        <v>0</v>
      </c>
      <c r="E277">
        <v>67</v>
      </c>
      <c r="F277" s="4" t="s">
        <v>70</v>
      </c>
      <c r="G277" s="4" t="s">
        <v>71</v>
      </c>
      <c r="H277" s="4" t="s">
        <v>19</v>
      </c>
      <c r="I277" s="4" t="s">
        <v>641</v>
      </c>
      <c r="J277" s="4" t="s">
        <v>52</v>
      </c>
      <c r="K277" s="4" t="s">
        <v>28</v>
      </c>
      <c r="L277" s="4" t="s">
        <v>38</v>
      </c>
      <c r="M277" s="4" t="s">
        <v>39</v>
      </c>
      <c r="N277" s="4" t="s">
        <v>24</v>
      </c>
      <c r="O277">
        <v>35000</v>
      </c>
      <c r="P277">
        <v>1</v>
      </c>
      <c r="Q277">
        <v>0</v>
      </c>
      <c r="R277">
        <v>35000</v>
      </c>
      <c r="S277">
        <v>0</v>
      </c>
      <c r="T277">
        <v>35000</v>
      </c>
    </row>
    <row r="278" spans="1:20" x14ac:dyDescent="0.25">
      <c r="A278">
        <v>277</v>
      </c>
      <c r="B278" s="5">
        <v>45204</v>
      </c>
      <c r="C278">
        <v>55</v>
      </c>
      <c r="D278">
        <v>9</v>
      </c>
      <c r="E278">
        <v>186</v>
      </c>
      <c r="F278" s="4" t="s">
        <v>152</v>
      </c>
      <c r="G278" s="4" t="s">
        <v>153</v>
      </c>
      <c r="H278" s="4" t="s">
        <v>42</v>
      </c>
      <c r="I278" s="4" t="s">
        <v>636</v>
      </c>
      <c r="J278" s="4" t="s">
        <v>43</v>
      </c>
      <c r="K278" s="4" t="s">
        <v>43</v>
      </c>
      <c r="L278" s="4" t="s">
        <v>38</v>
      </c>
      <c r="M278" s="4" t="s">
        <v>69</v>
      </c>
      <c r="N278" s="4" t="s">
        <v>53</v>
      </c>
      <c r="O278">
        <v>450000</v>
      </c>
      <c r="P278">
        <v>1</v>
      </c>
      <c r="Q278">
        <v>0</v>
      </c>
      <c r="R278">
        <v>450000</v>
      </c>
      <c r="S278">
        <v>0</v>
      </c>
      <c r="T278">
        <v>450000</v>
      </c>
    </row>
    <row r="279" spans="1:20" x14ac:dyDescent="0.25">
      <c r="A279">
        <v>278</v>
      </c>
      <c r="B279" s="5">
        <v>45205</v>
      </c>
      <c r="C279">
        <v>57</v>
      </c>
      <c r="D279">
        <v>3</v>
      </c>
      <c r="E279">
        <v>264</v>
      </c>
      <c r="F279" s="4" t="s">
        <v>419</v>
      </c>
      <c r="G279" s="4" t="s">
        <v>420</v>
      </c>
      <c r="H279" s="4" t="s">
        <v>42</v>
      </c>
      <c r="I279" s="4" t="s">
        <v>615</v>
      </c>
      <c r="J279" s="4" t="s">
        <v>52</v>
      </c>
      <c r="K279" s="4" t="s">
        <v>28</v>
      </c>
      <c r="L279" s="4" t="s">
        <v>38</v>
      </c>
      <c r="M279" s="4" t="s">
        <v>102</v>
      </c>
      <c r="N279" s="4" t="s">
        <v>57</v>
      </c>
      <c r="O279">
        <v>12000</v>
      </c>
      <c r="P279">
        <v>3</v>
      </c>
      <c r="Q279">
        <v>1</v>
      </c>
      <c r="R279">
        <v>36000</v>
      </c>
      <c r="S279">
        <v>360</v>
      </c>
      <c r="T279">
        <v>35640</v>
      </c>
    </row>
    <row r="280" spans="1:20" x14ac:dyDescent="0.25">
      <c r="A280">
        <v>279</v>
      </c>
      <c r="B280" s="5">
        <v>45206</v>
      </c>
      <c r="C280">
        <v>30</v>
      </c>
      <c r="D280">
        <v>0</v>
      </c>
      <c r="E280">
        <v>132</v>
      </c>
      <c r="F280" s="4" t="s">
        <v>94</v>
      </c>
      <c r="G280" s="4" t="s">
        <v>95</v>
      </c>
      <c r="H280" s="4" t="s">
        <v>42</v>
      </c>
      <c r="I280" s="4" t="s">
        <v>610</v>
      </c>
      <c r="J280" s="4" t="s">
        <v>37</v>
      </c>
      <c r="K280" s="4" t="s">
        <v>37</v>
      </c>
      <c r="L280" s="4" t="s">
        <v>38</v>
      </c>
      <c r="M280" s="4" t="s">
        <v>30</v>
      </c>
      <c r="N280" s="4" t="s">
        <v>31</v>
      </c>
      <c r="O280">
        <v>700000</v>
      </c>
      <c r="P280">
        <v>3</v>
      </c>
      <c r="Q280">
        <v>0</v>
      </c>
      <c r="R280">
        <v>2100000</v>
      </c>
      <c r="S280">
        <v>0</v>
      </c>
      <c r="T280">
        <v>2100000</v>
      </c>
    </row>
    <row r="281" spans="1:20" x14ac:dyDescent="0.25">
      <c r="A281">
        <v>280</v>
      </c>
      <c r="B281" s="5">
        <v>45207</v>
      </c>
      <c r="C281">
        <v>28</v>
      </c>
      <c r="D281">
        <v>5</v>
      </c>
      <c r="E281">
        <v>65</v>
      </c>
      <c r="F281" s="4" t="s">
        <v>35</v>
      </c>
      <c r="G281" s="4" t="s">
        <v>36</v>
      </c>
      <c r="H281" s="4" t="s">
        <v>19</v>
      </c>
      <c r="I281" s="4" t="s">
        <v>621</v>
      </c>
      <c r="J281" s="4" t="s">
        <v>116</v>
      </c>
      <c r="K281" s="4" t="s">
        <v>37</v>
      </c>
      <c r="L281" s="4" t="s">
        <v>38</v>
      </c>
      <c r="M281" s="4" t="s">
        <v>56</v>
      </c>
      <c r="N281" s="4" t="s">
        <v>57</v>
      </c>
      <c r="O281">
        <v>25000</v>
      </c>
      <c r="P281">
        <v>3</v>
      </c>
      <c r="Q281">
        <v>0</v>
      </c>
      <c r="R281">
        <v>75000</v>
      </c>
      <c r="S281">
        <v>0</v>
      </c>
      <c r="T281">
        <v>75000</v>
      </c>
    </row>
    <row r="282" spans="1:20" x14ac:dyDescent="0.25">
      <c r="A282">
        <v>281</v>
      </c>
      <c r="B282" s="5">
        <v>45208</v>
      </c>
      <c r="C282">
        <v>54</v>
      </c>
      <c r="D282">
        <v>9</v>
      </c>
      <c r="E282">
        <v>241</v>
      </c>
      <c r="F282" s="4" t="s">
        <v>297</v>
      </c>
      <c r="G282" s="4" t="s">
        <v>298</v>
      </c>
      <c r="H282" s="4" t="s">
        <v>42</v>
      </c>
      <c r="I282" s="4" t="s">
        <v>631</v>
      </c>
      <c r="J282" s="4" t="s">
        <v>27</v>
      </c>
      <c r="K282" s="4" t="s">
        <v>28</v>
      </c>
      <c r="L282" s="4" t="s">
        <v>22</v>
      </c>
      <c r="M282" s="4" t="s">
        <v>98</v>
      </c>
      <c r="N282" s="4" t="s">
        <v>151</v>
      </c>
      <c r="O282">
        <v>55000</v>
      </c>
      <c r="P282">
        <v>2</v>
      </c>
      <c r="Q282">
        <v>0</v>
      </c>
      <c r="R282">
        <v>110000</v>
      </c>
      <c r="S282">
        <v>0</v>
      </c>
      <c r="T282">
        <v>110000</v>
      </c>
    </row>
    <row r="283" spans="1:20" x14ac:dyDescent="0.25">
      <c r="A283">
        <v>282</v>
      </c>
      <c r="B283" s="5">
        <v>45209</v>
      </c>
      <c r="C283">
        <v>65</v>
      </c>
      <c r="D283">
        <v>0</v>
      </c>
      <c r="E283">
        <v>228</v>
      </c>
      <c r="F283" s="4" t="s">
        <v>236</v>
      </c>
      <c r="G283" s="4" t="s">
        <v>237</v>
      </c>
      <c r="H283" s="4" t="s">
        <v>42</v>
      </c>
      <c r="I283" s="4" t="s">
        <v>615</v>
      </c>
      <c r="J283" s="4" t="s">
        <v>101</v>
      </c>
      <c r="K283" s="4" t="s">
        <v>109</v>
      </c>
      <c r="L283" s="4" t="s">
        <v>38</v>
      </c>
      <c r="M283" s="4" t="s">
        <v>102</v>
      </c>
      <c r="N283" s="4" t="s">
        <v>57</v>
      </c>
      <c r="O283">
        <v>12000</v>
      </c>
      <c r="P283">
        <v>1</v>
      </c>
      <c r="Q283">
        <v>5</v>
      </c>
      <c r="R283">
        <v>12000</v>
      </c>
      <c r="S283">
        <v>600</v>
      </c>
      <c r="T283">
        <v>11400</v>
      </c>
    </row>
    <row r="284" spans="1:20" x14ac:dyDescent="0.25">
      <c r="A284">
        <v>283</v>
      </c>
      <c r="B284" s="5">
        <v>45210</v>
      </c>
      <c r="C284">
        <v>41</v>
      </c>
      <c r="D284">
        <v>4</v>
      </c>
      <c r="E284">
        <v>138</v>
      </c>
      <c r="F284" s="4" t="s">
        <v>421</v>
      </c>
      <c r="G284" s="4" t="s">
        <v>422</v>
      </c>
      <c r="H284" s="4" t="s">
        <v>42</v>
      </c>
      <c r="I284" s="4" t="s">
        <v>611</v>
      </c>
      <c r="J284" s="4" t="s">
        <v>43</v>
      </c>
      <c r="K284" s="4" t="s">
        <v>43</v>
      </c>
      <c r="L284" s="4" t="s">
        <v>22</v>
      </c>
      <c r="M284" s="4" t="s">
        <v>69</v>
      </c>
      <c r="N284" s="4" t="s">
        <v>53</v>
      </c>
      <c r="O284">
        <v>450000</v>
      </c>
      <c r="P284">
        <v>3</v>
      </c>
      <c r="Q284">
        <v>5</v>
      </c>
      <c r="R284">
        <v>1350000</v>
      </c>
      <c r="S284">
        <v>67500</v>
      </c>
      <c r="T284">
        <v>1282500</v>
      </c>
    </row>
    <row r="285" spans="1:20" x14ac:dyDescent="0.25">
      <c r="A285">
        <v>284</v>
      </c>
      <c r="B285" s="5">
        <v>45211</v>
      </c>
      <c r="C285">
        <v>1</v>
      </c>
      <c r="D285">
        <v>8</v>
      </c>
      <c r="E285">
        <v>196</v>
      </c>
      <c r="F285" s="4" t="s">
        <v>32</v>
      </c>
      <c r="G285" s="4" t="s">
        <v>33</v>
      </c>
      <c r="H285" s="4" t="s">
        <v>19</v>
      </c>
      <c r="I285" s="4" t="s">
        <v>627</v>
      </c>
      <c r="J285" s="4" t="s">
        <v>34</v>
      </c>
      <c r="K285" s="4" t="s">
        <v>272</v>
      </c>
      <c r="L285" s="4" t="s">
        <v>38</v>
      </c>
      <c r="M285" s="4" t="s">
        <v>30</v>
      </c>
      <c r="N285" s="4" t="s">
        <v>31</v>
      </c>
      <c r="O285">
        <v>700000</v>
      </c>
      <c r="P285">
        <v>2</v>
      </c>
      <c r="Q285">
        <v>0</v>
      </c>
      <c r="R285">
        <v>1400000</v>
      </c>
      <c r="S285">
        <v>0</v>
      </c>
      <c r="T285">
        <v>1400000</v>
      </c>
    </row>
    <row r="286" spans="1:20" x14ac:dyDescent="0.25">
      <c r="A286">
        <v>285</v>
      </c>
      <c r="B286" s="5">
        <v>45212</v>
      </c>
      <c r="C286">
        <v>60</v>
      </c>
      <c r="D286">
        <v>1</v>
      </c>
      <c r="E286">
        <v>135</v>
      </c>
      <c r="F286" s="4" t="s">
        <v>423</v>
      </c>
      <c r="G286" s="4" t="s">
        <v>424</v>
      </c>
      <c r="H286" s="4" t="s">
        <v>42</v>
      </c>
      <c r="I286" s="4" t="s">
        <v>608</v>
      </c>
      <c r="J286" s="4" t="s">
        <v>37</v>
      </c>
      <c r="K286" s="4" t="s">
        <v>37</v>
      </c>
      <c r="L286" s="4" t="s">
        <v>22</v>
      </c>
      <c r="M286" s="4" t="s">
        <v>102</v>
      </c>
      <c r="N286" s="4" t="s">
        <v>57</v>
      </c>
      <c r="O286">
        <v>12000</v>
      </c>
      <c r="P286">
        <v>1</v>
      </c>
      <c r="Q286">
        <v>1</v>
      </c>
      <c r="R286">
        <v>12000</v>
      </c>
      <c r="S286">
        <v>120</v>
      </c>
      <c r="T286">
        <v>11880</v>
      </c>
    </row>
    <row r="287" spans="1:20" x14ac:dyDescent="0.25">
      <c r="A287">
        <v>286</v>
      </c>
      <c r="B287" s="5">
        <v>45213</v>
      </c>
      <c r="C287">
        <v>24</v>
      </c>
      <c r="D287">
        <v>3</v>
      </c>
      <c r="E287">
        <v>128</v>
      </c>
      <c r="F287" s="4" t="s">
        <v>425</v>
      </c>
      <c r="G287" s="4" t="s">
        <v>426</v>
      </c>
      <c r="H287" s="4" t="s">
        <v>42</v>
      </c>
      <c r="I287" s="4" t="s">
        <v>630</v>
      </c>
      <c r="J287" s="4" t="s">
        <v>84</v>
      </c>
      <c r="K287" s="4" t="s">
        <v>85</v>
      </c>
      <c r="L287" s="4" t="s">
        <v>38</v>
      </c>
      <c r="M287" s="4" t="s">
        <v>23</v>
      </c>
      <c r="N287" s="4" t="s">
        <v>24</v>
      </c>
      <c r="O287">
        <v>15000</v>
      </c>
      <c r="P287">
        <v>1</v>
      </c>
      <c r="Q287">
        <v>1</v>
      </c>
      <c r="R287">
        <v>15000</v>
      </c>
      <c r="S287">
        <v>150</v>
      </c>
      <c r="T287">
        <v>14850</v>
      </c>
    </row>
    <row r="288" spans="1:20" x14ac:dyDescent="0.25">
      <c r="A288">
        <v>287</v>
      </c>
      <c r="B288" s="5">
        <v>45214</v>
      </c>
      <c r="C288">
        <v>17</v>
      </c>
      <c r="D288">
        <v>0</v>
      </c>
      <c r="E288">
        <v>107</v>
      </c>
      <c r="F288" s="4" t="s">
        <v>323</v>
      </c>
      <c r="G288" s="4" t="s">
        <v>324</v>
      </c>
      <c r="H288" s="4" t="s">
        <v>42</v>
      </c>
      <c r="I288" s="4" t="s">
        <v>651</v>
      </c>
      <c r="J288" s="4" t="s">
        <v>34</v>
      </c>
      <c r="K288" s="4" t="s">
        <v>272</v>
      </c>
      <c r="L288" s="4" t="s">
        <v>38</v>
      </c>
      <c r="M288" s="4" t="s">
        <v>30</v>
      </c>
      <c r="N288" s="4" t="s">
        <v>31</v>
      </c>
      <c r="O288">
        <v>700000</v>
      </c>
      <c r="P288">
        <v>2</v>
      </c>
      <c r="Q288">
        <v>0</v>
      </c>
      <c r="R288">
        <v>1400000</v>
      </c>
      <c r="S288">
        <v>0</v>
      </c>
      <c r="T288">
        <v>1400000</v>
      </c>
    </row>
    <row r="289" spans="1:20" x14ac:dyDescent="0.25">
      <c r="A289">
        <v>288</v>
      </c>
      <c r="B289" s="5">
        <v>45215</v>
      </c>
      <c r="C289">
        <v>50</v>
      </c>
      <c r="D289">
        <v>0</v>
      </c>
      <c r="E289">
        <v>73</v>
      </c>
      <c r="F289" s="4" t="s">
        <v>427</v>
      </c>
      <c r="G289" s="4" t="s">
        <v>428</v>
      </c>
      <c r="H289" s="4" t="s">
        <v>42</v>
      </c>
      <c r="I289" s="4" t="s">
        <v>641</v>
      </c>
      <c r="J289" s="4" t="s">
        <v>20</v>
      </c>
      <c r="K289" s="4" t="s">
        <v>21</v>
      </c>
      <c r="L289" s="4" t="s">
        <v>22</v>
      </c>
      <c r="M289" s="4" t="s">
        <v>98</v>
      </c>
      <c r="N289" s="4" t="s">
        <v>151</v>
      </c>
      <c r="O289">
        <v>55000</v>
      </c>
      <c r="P289">
        <v>1</v>
      </c>
      <c r="Q289">
        <v>1</v>
      </c>
      <c r="R289">
        <v>55000</v>
      </c>
      <c r="S289">
        <v>550</v>
      </c>
      <c r="T289">
        <v>54450</v>
      </c>
    </row>
    <row r="290" spans="1:20" x14ac:dyDescent="0.25">
      <c r="A290">
        <v>289</v>
      </c>
      <c r="B290" s="5">
        <v>45216</v>
      </c>
      <c r="C290">
        <v>62</v>
      </c>
      <c r="D290">
        <v>4</v>
      </c>
      <c r="E290">
        <v>225</v>
      </c>
      <c r="F290" s="4" t="s">
        <v>248</v>
      </c>
      <c r="G290" s="4" t="s">
        <v>249</v>
      </c>
      <c r="H290" s="4" t="s">
        <v>19</v>
      </c>
      <c r="I290" s="4" t="s">
        <v>639</v>
      </c>
      <c r="J290" s="4" t="s">
        <v>76</v>
      </c>
      <c r="K290" s="4" t="s">
        <v>77</v>
      </c>
      <c r="L290" s="4" t="s">
        <v>22</v>
      </c>
      <c r="M290" s="4" t="s">
        <v>49</v>
      </c>
      <c r="N290" s="4" t="s">
        <v>31</v>
      </c>
      <c r="O290">
        <v>800000</v>
      </c>
      <c r="P290">
        <v>3</v>
      </c>
      <c r="Q290">
        <v>0</v>
      </c>
      <c r="R290">
        <v>2400000</v>
      </c>
      <c r="S290">
        <v>0</v>
      </c>
      <c r="T290">
        <v>2400000</v>
      </c>
    </row>
    <row r="291" spans="1:20" x14ac:dyDescent="0.25">
      <c r="A291">
        <v>290</v>
      </c>
      <c r="B291" s="5">
        <v>45217</v>
      </c>
      <c r="C291">
        <v>58</v>
      </c>
      <c r="D291">
        <v>1</v>
      </c>
      <c r="E291">
        <v>213</v>
      </c>
      <c r="F291" s="4" t="s">
        <v>315</v>
      </c>
      <c r="G291" s="4" t="s">
        <v>316</v>
      </c>
      <c r="H291" s="4" t="s">
        <v>42</v>
      </c>
      <c r="I291" s="4" t="s">
        <v>637</v>
      </c>
      <c r="J291" s="4" t="s">
        <v>76</v>
      </c>
      <c r="K291" s="4" t="s">
        <v>77</v>
      </c>
      <c r="L291" s="4" t="s">
        <v>29</v>
      </c>
      <c r="M291" s="4" t="s">
        <v>39</v>
      </c>
      <c r="N291" s="4" t="s">
        <v>24</v>
      </c>
      <c r="O291">
        <v>35000</v>
      </c>
      <c r="P291">
        <v>1</v>
      </c>
      <c r="Q291">
        <v>0</v>
      </c>
      <c r="R291">
        <v>35000</v>
      </c>
      <c r="S291">
        <v>0</v>
      </c>
      <c r="T291">
        <v>35000</v>
      </c>
    </row>
    <row r="292" spans="1:20" x14ac:dyDescent="0.25">
      <c r="A292">
        <v>291</v>
      </c>
      <c r="B292" s="5">
        <v>45218</v>
      </c>
      <c r="C292">
        <v>21</v>
      </c>
      <c r="D292">
        <v>5</v>
      </c>
      <c r="E292">
        <v>271</v>
      </c>
      <c r="F292" s="4" t="s">
        <v>127</v>
      </c>
      <c r="G292" s="4" t="s">
        <v>128</v>
      </c>
      <c r="H292" s="4" t="s">
        <v>42</v>
      </c>
      <c r="I292" s="4" t="s">
        <v>628</v>
      </c>
      <c r="J292" s="4" t="s">
        <v>76</v>
      </c>
      <c r="K292" s="4" t="s">
        <v>77</v>
      </c>
      <c r="L292" s="4" t="s">
        <v>29</v>
      </c>
      <c r="M292" s="4" t="s">
        <v>39</v>
      </c>
      <c r="N292" s="4" t="s">
        <v>24</v>
      </c>
      <c r="O292">
        <v>35000</v>
      </c>
      <c r="P292">
        <v>3</v>
      </c>
      <c r="Q292">
        <v>5</v>
      </c>
      <c r="R292">
        <v>105000</v>
      </c>
      <c r="S292">
        <v>5250</v>
      </c>
      <c r="T292">
        <v>99750</v>
      </c>
    </row>
    <row r="293" spans="1:20" x14ac:dyDescent="0.25">
      <c r="A293">
        <v>292</v>
      </c>
      <c r="B293" s="5">
        <v>45219</v>
      </c>
      <c r="C293">
        <v>62</v>
      </c>
      <c r="D293">
        <v>4</v>
      </c>
      <c r="E293">
        <v>3</v>
      </c>
      <c r="F293" s="4" t="s">
        <v>429</v>
      </c>
      <c r="G293" s="4" t="s">
        <v>430</v>
      </c>
      <c r="H293" s="4" t="s">
        <v>19</v>
      </c>
      <c r="I293" s="4" t="s">
        <v>617</v>
      </c>
      <c r="J293" s="4" t="s">
        <v>76</v>
      </c>
      <c r="K293" s="4" t="s">
        <v>77</v>
      </c>
      <c r="L293" s="4" t="s">
        <v>22</v>
      </c>
      <c r="M293" s="4" t="s">
        <v>69</v>
      </c>
      <c r="N293" s="4" t="s">
        <v>53</v>
      </c>
      <c r="O293">
        <v>450000</v>
      </c>
      <c r="P293">
        <v>1</v>
      </c>
      <c r="Q293">
        <v>1</v>
      </c>
      <c r="R293">
        <v>450000</v>
      </c>
      <c r="S293">
        <v>4500</v>
      </c>
      <c r="T293">
        <v>445500</v>
      </c>
    </row>
    <row r="294" spans="1:20" x14ac:dyDescent="0.25">
      <c r="A294">
        <v>293</v>
      </c>
      <c r="B294" s="5">
        <v>45220</v>
      </c>
      <c r="C294">
        <v>20</v>
      </c>
      <c r="D294">
        <v>0</v>
      </c>
      <c r="E294">
        <v>272</v>
      </c>
      <c r="F294" s="4" t="s">
        <v>403</v>
      </c>
      <c r="G294" s="4" t="s">
        <v>404</v>
      </c>
      <c r="H294" s="4" t="s">
        <v>19</v>
      </c>
      <c r="I294" s="4" t="s">
        <v>642</v>
      </c>
      <c r="J294" s="4" t="s">
        <v>20</v>
      </c>
      <c r="K294" s="4" t="s">
        <v>21</v>
      </c>
      <c r="L294" s="4" t="s">
        <v>38</v>
      </c>
      <c r="M294" s="4" t="s">
        <v>62</v>
      </c>
      <c r="N294" s="4" t="s">
        <v>31</v>
      </c>
      <c r="O294">
        <v>650000</v>
      </c>
      <c r="P294">
        <v>1</v>
      </c>
      <c r="Q294">
        <v>0</v>
      </c>
      <c r="R294">
        <v>650000</v>
      </c>
      <c r="S294">
        <v>0</v>
      </c>
      <c r="T294">
        <v>650000</v>
      </c>
    </row>
    <row r="295" spans="1:20" x14ac:dyDescent="0.25">
      <c r="A295">
        <v>294</v>
      </c>
      <c r="B295" s="5">
        <v>45221</v>
      </c>
      <c r="C295">
        <v>36</v>
      </c>
      <c r="D295">
        <v>4</v>
      </c>
      <c r="E295">
        <v>237</v>
      </c>
      <c r="F295" s="4" t="s">
        <v>266</v>
      </c>
      <c r="G295" s="4" t="s">
        <v>267</v>
      </c>
      <c r="H295" s="4" t="s">
        <v>19</v>
      </c>
      <c r="I295" s="4" t="s">
        <v>612</v>
      </c>
      <c r="J295" s="4" t="s">
        <v>101</v>
      </c>
      <c r="K295" s="4" t="s">
        <v>109</v>
      </c>
      <c r="L295" s="4" t="s">
        <v>38</v>
      </c>
      <c r="M295" s="4" t="s">
        <v>102</v>
      </c>
      <c r="N295" s="4" t="s">
        <v>57</v>
      </c>
      <c r="O295">
        <v>12000</v>
      </c>
      <c r="P295">
        <v>3</v>
      </c>
      <c r="Q295">
        <v>0</v>
      </c>
      <c r="R295">
        <v>36000</v>
      </c>
      <c r="S295">
        <v>0</v>
      </c>
      <c r="T295">
        <v>36000</v>
      </c>
    </row>
    <row r="296" spans="1:20" x14ac:dyDescent="0.25">
      <c r="A296">
        <v>295</v>
      </c>
      <c r="B296" s="5">
        <v>45222</v>
      </c>
      <c r="C296">
        <v>1</v>
      </c>
      <c r="D296">
        <v>8</v>
      </c>
      <c r="E296">
        <v>251</v>
      </c>
      <c r="F296" s="4" t="s">
        <v>431</v>
      </c>
      <c r="G296" s="4" t="s">
        <v>432</v>
      </c>
      <c r="H296" s="4" t="s">
        <v>19</v>
      </c>
      <c r="I296" s="4" t="s">
        <v>624</v>
      </c>
      <c r="J296" s="4" t="s">
        <v>34</v>
      </c>
      <c r="K296" s="4" t="s">
        <v>272</v>
      </c>
      <c r="L296" s="4" t="s">
        <v>29</v>
      </c>
      <c r="M296" s="4" t="s">
        <v>39</v>
      </c>
      <c r="N296" s="4" t="s">
        <v>24</v>
      </c>
      <c r="O296">
        <v>35000</v>
      </c>
      <c r="P296">
        <v>2</v>
      </c>
      <c r="Q296">
        <v>0</v>
      </c>
      <c r="R296">
        <v>70000</v>
      </c>
      <c r="S296">
        <v>0</v>
      </c>
      <c r="T296">
        <v>70000</v>
      </c>
    </row>
    <row r="297" spans="1:20" x14ac:dyDescent="0.25">
      <c r="A297">
        <v>296</v>
      </c>
      <c r="B297" s="5">
        <v>45223</v>
      </c>
      <c r="C297">
        <v>4</v>
      </c>
      <c r="D297">
        <v>3</v>
      </c>
      <c r="E297">
        <v>214</v>
      </c>
      <c r="F297" s="4" t="s">
        <v>433</v>
      </c>
      <c r="G297" s="4" t="s">
        <v>434</v>
      </c>
      <c r="H297" s="4" t="s">
        <v>19</v>
      </c>
      <c r="I297" s="4" t="s">
        <v>617</v>
      </c>
      <c r="J297" s="4" t="s">
        <v>52</v>
      </c>
      <c r="K297" s="4" t="s">
        <v>28</v>
      </c>
      <c r="L297" s="4" t="s">
        <v>38</v>
      </c>
      <c r="M297" s="4" t="s">
        <v>23</v>
      </c>
      <c r="N297" s="4" t="s">
        <v>24</v>
      </c>
      <c r="O297">
        <v>15000</v>
      </c>
      <c r="P297">
        <v>1</v>
      </c>
      <c r="Q297">
        <v>5</v>
      </c>
      <c r="R297">
        <v>15000</v>
      </c>
      <c r="S297">
        <v>750</v>
      </c>
      <c r="T297">
        <v>14250</v>
      </c>
    </row>
    <row r="298" spans="1:20" x14ac:dyDescent="0.25">
      <c r="A298">
        <v>297</v>
      </c>
      <c r="B298" s="5">
        <v>45224</v>
      </c>
      <c r="C298">
        <v>6</v>
      </c>
      <c r="D298">
        <v>2</v>
      </c>
      <c r="E298">
        <v>223</v>
      </c>
      <c r="F298" s="4" t="s">
        <v>435</v>
      </c>
      <c r="G298" s="4" t="s">
        <v>436</v>
      </c>
      <c r="H298" s="4" t="s">
        <v>19</v>
      </c>
      <c r="I298" s="4" t="s">
        <v>636</v>
      </c>
      <c r="J298" s="4" t="s">
        <v>52</v>
      </c>
      <c r="K298" s="4" t="s">
        <v>28</v>
      </c>
      <c r="L298" s="4" t="s">
        <v>22</v>
      </c>
      <c r="M298" s="4" t="s">
        <v>30</v>
      </c>
      <c r="N298" s="4" t="s">
        <v>31</v>
      </c>
      <c r="O298">
        <v>700000</v>
      </c>
      <c r="P298">
        <v>1</v>
      </c>
      <c r="Q298">
        <v>5</v>
      </c>
      <c r="R298">
        <v>700000</v>
      </c>
      <c r="S298">
        <v>35000</v>
      </c>
      <c r="T298">
        <v>665000</v>
      </c>
    </row>
    <row r="299" spans="1:20" x14ac:dyDescent="0.25">
      <c r="A299">
        <v>298</v>
      </c>
      <c r="B299" s="5">
        <v>45225</v>
      </c>
      <c r="C299">
        <v>4</v>
      </c>
      <c r="D299">
        <v>3</v>
      </c>
      <c r="E299">
        <v>109</v>
      </c>
      <c r="F299" s="4" t="s">
        <v>242</v>
      </c>
      <c r="G299" s="4" t="s">
        <v>243</v>
      </c>
      <c r="H299" s="4" t="s">
        <v>19</v>
      </c>
      <c r="I299" s="4" t="s">
        <v>623</v>
      </c>
      <c r="J299" s="4" t="s">
        <v>52</v>
      </c>
      <c r="K299" s="4" t="s">
        <v>28</v>
      </c>
      <c r="L299" s="4" t="s">
        <v>38</v>
      </c>
      <c r="M299" s="4" t="s">
        <v>98</v>
      </c>
      <c r="N299" s="4" t="s">
        <v>151</v>
      </c>
      <c r="O299">
        <v>55000</v>
      </c>
      <c r="P299">
        <v>1</v>
      </c>
      <c r="Q299">
        <v>5</v>
      </c>
      <c r="R299">
        <v>55000</v>
      </c>
      <c r="S299">
        <v>2750</v>
      </c>
      <c r="T299">
        <v>52250</v>
      </c>
    </row>
    <row r="300" spans="1:20" x14ac:dyDescent="0.25">
      <c r="A300">
        <v>299</v>
      </c>
      <c r="B300" s="5">
        <v>45226</v>
      </c>
      <c r="C300">
        <v>5</v>
      </c>
      <c r="D300">
        <v>1</v>
      </c>
      <c r="E300">
        <v>17</v>
      </c>
      <c r="F300" s="4" t="s">
        <v>393</v>
      </c>
      <c r="G300" s="4" t="s">
        <v>394</v>
      </c>
      <c r="H300" s="4" t="s">
        <v>42</v>
      </c>
      <c r="I300" s="4" t="s">
        <v>615</v>
      </c>
      <c r="J300" s="4" t="s">
        <v>27</v>
      </c>
      <c r="K300" s="4" t="s">
        <v>28</v>
      </c>
      <c r="L300" s="4" t="s">
        <v>38</v>
      </c>
      <c r="M300" s="4" t="s">
        <v>69</v>
      </c>
      <c r="N300" s="4" t="s">
        <v>53</v>
      </c>
      <c r="O300">
        <v>450000</v>
      </c>
      <c r="P300">
        <v>1</v>
      </c>
      <c r="Q300">
        <v>1</v>
      </c>
      <c r="R300">
        <v>450000</v>
      </c>
      <c r="S300">
        <v>4500</v>
      </c>
      <c r="T300">
        <v>445500</v>
      </c>
    </row>
    <row r="301" spans="1:20" x14ac:dyDescent="0.25">
      <c r="A301">
        <v>300</v>
      </c>
      <c r="B301" s="5">
        <v>45227</v>
      </c>
      <c r="C301">
        <v>58</v>
      </c>
      <c r="D301">
        <v>1</v>
      </c>
      <c r="E301">
        <v>75</v>
      </c>
      <c r="F301" s="4" t="s">
        <v>240</v>
      </c>
      <c r="G301" s="4" t="s">
        <v>241</v>
      </c>
      <c r="H301" s="4" t="s">
        <v>19</v>
      </c>
      <c r="I301" s="4" t="s">
        <v>612</v>
      </c>
      <c r="J301" s="4" t="s">
        <v>76</v>
      </c>
      <c r="K301" s="4" t="s">
        <v>77</v>
      </c>
      <c r="L301" s="4" t="s">
        <v>38</v>
      </c>
      <c r="M301" s="4" t="s">
        <v>98</v>
      </c>
      <c r="N301" s="4" t="s">
        <v>151</v>
      </c>
      <c r="O301">
        <v>55000</v>
      </c>
      <c r="P301">
        <v>2</v>
      </c>
      <c r="Q301">
        <v>5</v>
      </c>
      <c r="R301">
        <v>110000</v>
      </c>
      <c r="S301">
        <v>5500</v>
      </c>
      <c r="T301">
        <v>104500</v>
      </c>
    </row>
    <row r="302" spans="1:20" x14ac:dyDescent="0.25">
      <c r="A302">
        <v>301</v>
      </c>
      <c r="B302" s="5">
        <v>45228</v>
      </c>
      <c r="C302">
        <v>62</v>
      </c>
      <c r="D302">
        <v>4</v>
      </c>
      <c r="E302">
        <v>5</v>
      </c>
      <c r="F302" s="4" t="s">
        <v>437</v>
      </c>
      <c r="G302" s="4" t="s">
        <v>438</v>
      </c>
      <c r="H302" s="4" t="s">
        <v>19</v>
      </c>
      <c r="I302" s="4" t="s">
        <v>613</v>
      </c>
      <c r="J302" s="4" t="s">
        <v>76</v>
      </c>
      <c r="K302" s="4" t="s">
        <v>77</v>
      </c>
      <c r="L302" s="4" t="s">
        <v>29</v>
      </c>
      <c r="M302" s="4" t="s">
        <v>62</v>
      </c>
      <c r="N302" s="4" t="s">
        <v>31</v>
      </c>
      <c r="O302">
        <v>650000</v>
      </c>
      <c r="P302">
        <v>2</v>
      </c>
      <c r="Q302">
        <v>1</v>
      </c>
      <c r="R302">
        <v>1300000</v>
      </c>
      <c r="S302">
        <v>13000</v>
      </c>
      <c r="T302">
        <v>1287000</v>
      </c>
    </row>
    <row r="303" spans="1:20" x14ac:dyDescent="0.25">
      <c r="A303">
        <v>302</v>
      </c>
      <c r="B303" s="5">
        <v>45229</v>
      </c>
      <c r="C303">
        <v>61</v>
      </c>
      <c r="D303">
        <v>3</v>
      </c>
      <c r="E303">
        <v>138</v>
      </c>
      <c r="F303" s="4" t="s">
        <v>421</v>
      </c>
      <c r="G303" s="4" t="s">
        <v>422</v>
      </c>
      <c r="H303" s="4" t="s">
        <v>42</v>
      </c>
      <c r="I303" s="4" t="s">
        <v>611</v>
      </c>
      <c r="J303" s="4" t="s">
        <v>52</v>
      </c>
      <c r="K303" s="4" t="s">
        <v>28</v>
      </c>
      <c r="L303" s="4" t="s">
        <v>22</v>
      </c>
      <c r="M303" s="4" t="s">
        <v>30</v>
      </c>
      <c r="N303" s="4" t="s">
        <v>31</v>
      </c>
      <c r="O303">
        <v>700000</v>
      </c>
      <c r="P303">
        <v>2</v>
      </c>
      <c r="Q303">
        <v>1</v>
      </c>
      <c r="R303">
        <v>1400000</v>
      </c>
      <c r="S303">
        <v>14000</v>
      </c>
      <c r="T303">
        <v>1386000</v>
      </c>
    </row>
    <row r="304" spans="1:20" x14ac:dyDescent="0.25">
      <c r="A304">
        <v>303</v>
      </c>
      <c r="B304" s="5">
        <v>45230</v>
      </c>
      <c r="C304">
        <v>52</v>
      </c>
      <c r="D304">
        <v>0</v>
      </c>
      <c r="E304">
        <v>202</v>
      </c>
      <c r="F304" s="4" t="s">
        <v>44</v>
      </c>
      <c r="G304" s="4" t="s">
        <v>45</v>
      </c>
      <c r="H304" s="4" t="s">
        <v>42</v>
      </c>
      <c r="I304" s="4" t="s">
        <v>620</v>
      </c>
      <c r="J304" s="4" t="s">
        <v>27</v>
      </c>
      <c r="K304" s="4" t="s">
        <v>28</v>
      </c>
      <c r="L304" s="4" t="s">
        <v>22</v>
      </c>
      <c r="M304" s="4" t="s">
        <v>69</v>
      </c>
      <c r="N304" s="4" t="s">
        <v>53</v>
      </c>
      <c r="O304">
        <v>450000</v>
      </c>
      <c r="P304">
        <v>3</v>
      </c>
      <c r="Q304">
        <v>5</v>
      </c>
      <c r="R304">
        <v>1350000</v>
      </c>
      <c r="S304">
        <v>67500</v>
      </c>
      <c r="T304">
        <v>1282500</v>
      </c>
    </row>
    <row r="305" spans="1:20" x14ac:dyDescent="0.25">
      <c r="A305">
        <v>304</v>
      </c>
      <c r="B305" s="5">
        <v>45231</v>
      </c>
      <c r="C305">
        <v>63</v>
      </c>
      <c r="D305">
        <v>5</v>
      </c>
      <c r="E305">
        <v>117</v>
      </c>
      <c r="F305" s="4" t="s">
        <v>149</v>
      </c>
      <c r="G305" s="4" t="s">
        <v>150</v>
      </c>
      <c r="H305" s="4" t="s">
        <v>42</v>
      </c>
      <c r="I305" s="4"/>
      <c r="J305" s="4" t="s">
        <v>101</v>
      </c>
      <c r="K305" s="4" t="s">
        <v>109</v>
      </c>
      <c r="L305" s="4" t="s">
        <v>22</v>
      </c>
      <c r="M305" s="4" t="s">
        <v>98</v>
      </c>
      <c r="N305" s="4" t="s">
        <v>151</v>
      </c>
      <c r="O305">
        <v>55000</v>
      </c>
      <c r="P305">
        <v>1</v>
      </c>
      <c r="Q305">
        <v>0</v>
      </c>
      <c r="R305">
        <v>55000</v>
      </c>
      <c r="S305">
        <v>0</v>
      </c>
      <c r="T305">
        <v>55000</v>
      </c>
    </row>
    <row r="306" spans="1:20" x14ac:dyDescent="0.25">
      <c r="A306">
        <v>305</v>
      </c>
      <c r="B306" s="5">
        <v>45232</v>
      </c>
      <c r="C306">
        <v>6</v>
      </c>
      <c r="D306">
        <v>2</v>
      </c>
      <c r="E306">
        <v>86</v>
      </c>
      <c r="F306" s="4" t="s">
        <v>214</v>
      </c>
      <c r="G306" s="4" t="s">
        <v>215</v>
      </c>
      <c r="H306" s="4" t="s">
        <v>19</v>
      </c>
      <c r="I306" s="4" t="s">
        <v>630</v>
      </c>
      <c r="J306" s="4" t="s">
        <v>52</v>
      </c>
      <c r="K306" s="4" t="s">
        <v>28</v>
      </c>
      <c r="L306" s="4" t="s">
        <v>22</v>
      </c>
      <c r="M306" s="4" t="s">
        <v>46</v>
      </c>
      <c r="N306" s="4" t="s">
        <v>53</v>
      </c>
      <c r="O306">
        <v>750000</v>
      </c>
      <c r="P306">
        <v>2</v>
      </c>
      <c r="Q306">
        <v>1</v>
      </c>
      <c r="R306">
        <v>1500000</v>
      </c>
      <c r="S306">
        <v>15000</v>
      </c>
      <c r="T306">
        <v>1485000</v>
      </c>
    </row>
    <row r="307" spans="1:20" x14ac:dyDescent="0.25">
      <c r="A307">
        <v>306</v>
      </c>
      <c r="B307" s="5">
        <v>45233</v>
      </c>
      <c r="C307">
        <v>30</v>
      </c>
      <c r="D307">
        <v>0</v>
      </c>
      <c r="E307">
        <v>237</v>
      </c>
      <c r="F307" s="4" t="s">
        <v>266</v>
      </c>
      <c r="G307" s="4" t="s">
        <v>267</v>
      </c>
      <c r="H307" s="4" t="s">
        <v>19</v>
      </c>
      <c r="I307" s="4" t="s">
        <v>612</v>
      </c>
      <c r="J307" s="4" t="s">
        <v>37</v>
      </c>
      <c r="K307" s="4" t="s">
        <v>37</v>
      </c>
      <c r="L307" s="4" t="s">
        <v>22</v>
      </c>
      <c r="M307" s="4" t="s">
        <v>62</v>
      </c>
      <c r="N307" s="4" t="s">
        <v>31</v>
      </c>
      <c r="O307">
        <v>650000</v>
      </c>
      <c r="P307">
        <v>2</v>
      </c>
      <c r="Q307">
        <v>0</v>
      </c>
      <c r="R307">
        <v>1300000</v>
      </c>
      <c r="S307">
        <v>0</v>
      </c>
      <c r="T307">
        <v>1300000</v>
      </c>
    </row>
    <row r="308" spans="1:20" x14ac:dyDescent="0.25">
      <c r="A308">
        <v>307</v>
      </c>
      <c r="B308" s="5">
        <v>45234</v>
      </c>
      <c r="C308">
        <v>64</v>
      </c>
      <c r="D308">
        <v>4</v>
      </c>
      <c r="E308">
        <v>149</v>
      </c>
      <c r="F308" s="4" t="s">
        <v>439</v>
      </c>
      <c r="G308" s="4" t="s">
        <v>440</v>
      </c>
      <c r="H308" s="4" t="s">
        <v>42</v>
      </c>
      <c r="I308" s="4" t="s">
        <v>620</v>
      </c>
      <c r="J308" s="4" t="s">
        <v>20</v>
      </c>
      <c r="K308" s="4" t="s">
        <v>21</v>
      </c>
      <c r="L308" s="4" t="s">
        <v>29</v>
      </c>
      <c r="M308" s="4" t="s">
        <v>98</v>
      </c>
      <c r="N308" s="4" t="s">
        <v>151</v>
      </c>
      <c r="O308">
        <v>55000</v>
      </c>
      <c r="P308">
        <v>1</v>
      </c>
      <c r="Q308">
        <v>5</v>
      </c>
      <c r="R308">
        <v>55000</v>
      </c>
      <c r="S308">
        <v>2750</v>
      </c>
      <c r="T308">
        <v>52250</v>
      </c>
    </row>
    <row r="309" spans="1:20" x14ac:dyDescent="0.25">
      <c r="A309">
        <v>308</v>
      </c>
      <c r="B309" s="5">
        <v>45235</v>
      </c>
      <c r="C309">
        <v>48</v>
      </c>
      <c r="D309">
        <v>6</v>
      </c>
      <c r="E309">
        <v>47</v>
      </c>
      <c r="F309" s="4" t="s">
        <v>441</v>
      </c>
      <c r="G309" s="4" t="s">
        <v>442</v>
      </c>
      <c r="H309" s="4" t="s">
        <v>19</v>
      </c>
      <c r="I309" s="4" t="s">
        <v>639</v>
      </c>
      <c r="J309" s="4" t="s">
        <v>37</v>
      </c>
      <c r="K309" s="4" t="s">
        <v>37</v>
      </c>
      <c r="L309" s="4" t="s">
        <v>38</v>
      </c>
      <c r="M309" s="4" t="s">
        <v>30</v>
      </c>
      <c r="N309" s="4" t="s">
        <v>31</v>
      </c>
      <c r="O309">
        <v>700000</v>
      </c>
      <c r="P309">
        <v>3</v>
      </c>
      <c r="Q309">
        <v>0</v>
      </c>
      <c r="R309">
        <v>2100000</v>
      </c>
      <c r="S309">
        <v>0</v>
      </c>
      <c r="T309">
        <v>2100000</v>
      </c>
    </row>
    <row r="310" spans="1:20" x14ac:dyDescent="0.25">
      <c r="A310">
        <v>309</v>
      </c>
      <c r="B310" s="5">
        <v>45236</v>
      </c>
      <c r="C310">
        <v>40</v>
      </c>
      <c r="D310">
        <v>1</v>
      </c>
      <c r="E310">
        <v>191</v>
      </c>
      <c r="F310" s="4" t="s">
        <v>202</v>
      </c>
      <c r="G310" s="4" t="s">
        <v>203</v>
      </c>
      <c r="H310" s="4" t="s">
        <v>42</v>
      </c>
      <c r="I310" s="4" t="s">
        <v>639</v>
      </c>
      <c r="J310" s="4" t="s">
        <v>27</v>
      </c>
      <c r="K310" s="4" t="s">
        <v>28</v>
      </c>
      <c r="L310" s="4" t="s">
        <v>22</v>
      </c>
      <c r="M310" s="4" t="s">
        <v>62</v>
      </c>
      <c r="N310" s="4" t="s">
        <v>31</v>
      </c>
      <c r="O310">
        <v>650000</v>
      </c>
      <c r="P310">
        <v>2</v>
      </c>
      <c r="Q310">
        <v>0</v>
      </c>
      <c r="R310">
        <v>1300000</v>
      </c>
      <c r="S310">
        <v>0</v>
      </c>
      <c r="T310">
        <v>1300000</v>
      </c>
    </row>
    <row r="311" spans="1:20" x14ac:dyDescent="0.25">
      <c r="A311">
        <v>310</v>
      </c>
      <c r="B311" s="5">
        <v>45237</v>
      </c>
      <c r="C311">
        <v>62</v>
      </c>
      <c r="D311">
        <v>4</v>
      </c>
      <c r="E311">
        <v>69</v>
      </c>
      <c r="F311" s="4" t="s">
        <v>188</v>
      </c>
      <c r="G311" s="4" t="s">
        <v>189</v>
      </c>
      <c r="H311" s="4" t="s">
        <v>42</v>
      </c>
      <c r="I311" s="4" t="s">
        <v>627</v>
      </c>
      <c r="J311" s="4" t="s">
        <v>76</v>
      </c>
      <c r="K311" s="4" t="s">
        <v>77</v>
      </c>
      <c r="L311" s="4" t="s">
        <v>29</v>
      </c>
      <c r="M311" s="4" t="s">
        <v>69</v>
      </c>
      <c r="N311" s="4" t="s">
        <v>53</v>
      </c>
      <c r="O311">
        <v>450000</v>
      </c>
      <c r="P311">
        <v>2</v>
      </c>
      <c r="Q311">
        <v>5</v>
      </c>
      <c r="R311">
        <v>900000</v>
      </c>
      <c r="S311">
        <v>45000</v>
      </c>
      <c r="T311">
        <v>855000</v>
      </c>
    </row>
    <row r="312" spans="1:20" x14ac:dyDescent="0.25">
      <c r="A312">
        <v>311</v>
      </c>
      <c r="B312" s="5">
        <v>45238</v>
      </c>
      <c r="C312">
        <v>61</v>
      </c>
      <c r="D312">
        <v>3</v>
      </c>
      <c r="E312">
        <v>244</v>
      </c>
      <c r="F312" s="4" t="s">
        <v>443</v>
      </c>
      <c r="G312" s="4" t="s">
        <v>444</v>
      </c>
      <c r="H312" s="4" t="s">
        <v>19</v>
      </c>
      <c r="I312" s="4" t="s">
        <v>648</v>
      </c>
      <c r="J312" s="4" t="s">
        <v>52</v>
      </c>
      <c r="K312" s="4" t="s">
        <v>28</v>
      </c>
      <c r="L312" s="4" t="s">
        <v>38</v>
      </c>
      <c r="M312" s="4" t="s">
        <v>98</v>
      </c>
      <c r="N312" s="4" t="s">
        <v>151</v>
      </c>
      <c r="O312">
        <v>55000</v>
      </c>
      <c r="P312">
        <v>2</v>
      </c>
      <c r="Q312">
        <v>0</v>
      </c>
      <c r="R312">
        <v>110000</v>
      </c>
      <c r="S312">
        <v>0</v>
      </c>
      <c r="T312">
        <v>110000</v>
      </c>
    </row>
    <row r="313" spans="1:20" x14ac:dyDescent="0.25">
      <c r="A313">
        <v>312</v>
      </c>
      <c r="B313" s="5">
        <v>45239</v>
      </c>
      <c r="C313">
        <v>53</v>
      </c>
      <c r="D313">
        <v>1</v>
      </c>
      <c r="E313">
        <v>168</v>
      </c>
      <c r="F313" s="4" t="s">
        <v>445</v>
      </c>
      <c r="G313" s="4" t="s">
        <v>446</v>
      </c>
      <c r="H313" s="4" t="s">
        <v>19</v>
      </c>
      <c r="I313" s="4" t="s">
        <v>651</v>
      </c>
      <c r="J313" s="4" t="s">
        <v>76</v>
      </c>
      <c r="K313" s="4" t="s">
        <v>77</v>
      </c>
      <c r="L313" s="4" t="s">
        <v>22</v>
      </c>
      <c r="M313" s="4" t="s">
        <v>62</v>
      </c>
      <c r="N313" s="4" t="s">
        <v>31</v>
      </c>
      <c r="O313">
        <v>650000</v>
      </c>
      <c r="P313">
        <v>2</v>
      </c>
      <c r="Q313">
        <v>0</v>
      </c>
      <c r="R313">
        <v>1300000</v>
      </c>
      <c r="S313">
        <v>0</v>
      </c>
      <c r="T313">
        <v>1300000</v>
      </c>
    </row>
    <row r="314" spans="1:20" x14ac:dyDescent="0.25">
      <c r="A314">
        <v>313</v>
      </c>
      <c r="B314" s="5">
        <v>45240</v>
      </c>
      <c r="C314">
        <v>34</v>
      </c>
      <c r="D314">
        <v>1</v>
      </c>
      <c r="E314">
        <v>82</v>
      </c>
      <c r="F314" s="4" t="s">
        <v>447</v>
      </c>
      <c r="G314" s="4" t="s">
        <v>448</v>
      </c>
      <c r="H314" s="4" t="s">
        <v>19</v>
      </c>
      <c r="I314" s="4"/>
      <c r="J314" s="4" t="s">
        <v>52</v>
      </c>
      <c r="K314" s="4" t="s">
        <v>28</v>
      </c>
      <c r="L314" s="4" t="s">
        <v>38</v>
      </c>
      <c r="M314" s="4" t="s">
        <v>49</v>
      </c>
      <c r="N314" s="4" t="s">
        <v>31</v>
      </c>
      <c r="O314">
        <v>800000</v>
      </c>
      <c r="P314">
        <v>3</v>
      </c>
      <c r="Q314">
        <v>0</v>
      </c>
      <c r="R314">
        <v>2400000</v>
      </c>
      <c r="S314">
        <v>0</v>
      </c>
      <c r="T314">
        <v>2400000</v>
      </c>
    </row>
    <row r="315" spans="1:20" x14ac:dyDescent="0.25">
      <c r="A315">
        <v>314</v>
      </c>
      <c r="B315" s="5">
        <v>45241</v>
      </c>
      <c r="C315">
        <v>2</v>
      </c>
      <c r="D315">
        <v>2</v>
      </c>
      <c r="E315">
        <v>180</v>
      </c>
      <c r="F315" s="4" t="s">
        <v>449</v>
      </c>
      <c r="G315" s="4" t="s">
        <v>450</v>
      </c>
      <c r="H315" s="4" t="s">
        <v>19</v>
      </c>
      <c r="I315" s="4" t="s">
        <v>632</v>
      </c>
      <c r="J315" s="4" t="s">
        <v>101</v>
      </c>
      <c r="K315" s="4" t="s">
        <v>109</v>
      </c>
      <c r="L315" s="4" t="s">
        <v>38</v>
      </c>
      <c r="M315" s="4" t="s">
        <v>39</v>
      </c>
      <c r="N315" s="4" t="s">
        <v>24</v>
      </c>
      <c r="O315">
        <v>35000</v>
      </c>
      <c r="P315">
        <v>2</v>
      </c>
      <c r="Q315">
        <v>5</v>
      </c>
      <c r="R315">
        <v>70000</v>
      </c>
      <c r="S315">
        <v>3500</v>
      </c>
      <c r="T315">
        <v>66500</v>
      </c>
    </row>
    <row r="316" spans="1:20" x14ac:dyDescent="0.25">
      <c r="A316">
        <v>315</v>
      </c>
      <c r="B316" s="5">
        <v>45242</v>
      </c>
      <c r="C316">
        <v>17</v>
      </c>
      <c r="D316">
        <v>0</v>
      </c>
      <c r="E316">
        <v>192</v>
      </c>
      <c r="F316" s="4" t="s">
        <v>411</v>
      </c>
      <c r="G316" s="4" t="s">
        <v>412</v>
      </c>
      <c r="H316" s="4" t="s">
        <v>42</v>
      </c>
      <c r="I316" s="4"/>
      <c r="J316" s="4" t="s">
        <v>34</v>
      </c>
      <c r="K316" s="4" t="s">
        <v>272</v>
      </c>
      <c r="L316" s="4" t="s">
        <v>38</v>
      </c>
      <c r="M316" s="4" t="s">
        <v>30</v>
      </c>
      <c r="N316" s="4" t="s">
        <v>31</v>
      </c>
      <c r="O316">
        <v>700000</v>
      </c>
      <c r="P316">
        <v>2</v>
      </c>
      <c r="Q316">
        <v>0</v>
      </c>
      <c r="R316">
        <v>1400000</v>
      </c>
      <c r="S316">
        <v>0</v>
      </c>
      <c r="T316">
        <v>1400000</v>
      </c>
    </row>
    <row r="317" spans="1:20" x14ac:dyDescent="0.25">
      <c r="A317">
        <v>316</v>
      </c>
      <c r="B317" s="5">
        <v>45243</v>
      </c>
      <c r="C317">
        <v>35</v>
      </c>
      <c r="D317">
        <v>1</v>
      </c>
      <c r="E317">
        <v>106</v>
      </c>
      <c r="F317" s="4" t="s">
        <v>451</v>
      </c>
      <c r="G317" s="4" t="s">
        <v>452</v>
      </c>
      <c r="H317" s="4" t="s">
        <v>19</v>
      </c>
      <c r="I317" s="4" t="s">
        <v>627</v>
      </c>
      <c r="J317" s="4" t="s">
        <v>43</v>
      </c>
      <c r="K317" s="4" t="s">
        <v>43</v>
      </c>
      <c r="L317" s="4" t="s">
        <v>29</v>
      </c>
      <c r="M317" s="4" t="s">
        <v>39</v>
      </c>
      <c r="N317" s="4" t="s">
        <v>24</v>
      </c>
      <c r="O317">
        <v>35000</v>
      </c>
      <c r="P317">
        <v>3</v>
      </c>
      <c r="Q317">
        <v>5</v>
      </c>
      <c r="R317">
        <v>105000</v>
      </c>
      <c r="S317">
        <v>5250</v>
      </c>
      <c r="T317">
        <v>99750</v>
      </c>
    </row>
    <row r="318" spans="1:20" x14ac:dyDescent="0.25">
      <c r="A318">
        <v>317</v>
      </c>
      <c r="B318" s="5">
        <v>45244</v>
      </c>
      <c r="C318">
        <v>29</v>
      </c>
      <c r="D318">
        <v>1</v>
      </c>
      <c r="E318">
        <v>249</v>
      </c>
      <c r="F318" s="4" t="s">
        <v>162</v>
      </c>
      <c r="G318" s="4" t="s">
        <v>163</v>
      </c>
      <c r="H318" s="4" t="s">
        <v>42</v>
      </c>
      <c r="I318" s="4" t="s">
        <v>634</v>
      </c>
      <c r="J318" s="4" t="s">
        <v>116</v>
      </c>
      <c r="K318" s="4" t="s">
        <v>37</v>
      </c>
      <c r="L318" s="4" t="s">
        <v>29</v>
      </c>
      <c r="M318" s="4" t="s">
        <v>62</v>
      </c>
      <c r="N318" s="4" t="s">
        <v>31</v>
      </c>
      <c r="O318">
        <v>650000</v>
      </c>
      <c r="P318">
        <v>3</v>
      </c>
      <c r="Q318">
        <v>5</v>
      </c>
      <c r="R318">
        <v>1950000</v>
      </c>
      <c r="S318">
        <v>97500</v>
      </c>
      <c r="T318">
        <v>1852500</v>
      </c>
    </row>
    <row r="319" spans="1:20" x14ac:dyDescent="0.25">
      <c r="A319">
        <v>318</v>
      </c>
      <c r="B319" s="5">
        <v>45245</v>
      </c>
      <c r="C319">
        <v>43</v>
      </c>
      <c r="D319">
        <v>0</v>
      </c>
      <c r="E319">
        <v>219</v>
      </c>
      <c r="F319" s="4" t="s">
        <v>305</v>
      </c>
      <c r="G319" s="4" t="s">
        <v>306</v>
      </c>
      <c r="H319" s="4" t="s">
        <v>42</v>
      </c>
      <c r="I319" s="4" t="s">
        <v>639</v>
      </c>
      <c r="J319" s="4" t="s">
        <v>34</v>
      </c>
      <c r="K319" s="4" t="s">
        <v>272</v>
      </c>
      <c r="L319" s="4" t="s">
        <v>38</v>
      </c>
      <c r="M319" s="4" t="s">
        <v>46</v>
      </c>
      <c r="N319" s="4" t="s">
        <v>53</v>
      </c>
      <c r="O319">
        <v>750000</v>
      </c>
      <c r="P319">
        <v>1</v>
      </c>
      <c r="Q319">
        <v>0</v>
      </c>
      <c r="R319">
        <v>750000</v>
      </c>
      <c r="S319">
        <v>0</v>
      </c>
      <c r="T319">
        <v>750000</v>
      </c>
    </row>
    <row r="320" spans="1:20" x14ac:dyDescent="0.25">
      <c r="A320">
        <v>319</v>
      </c>
      <c r="B320" s="5">
        <v>45246</v>
      </c>
      <c r="C320">
        <v>10</v>
      </c>
      <c r="D320">
        <v>7</v>
      </c>
      <c r="E320">
        <v>244</v>
      </c>
      <c r="F320" s="4" t="s">
        <v>443</v>
      </c>
      <c r="G320" s="4" t="s">
        <v>444</v>
      </c>
      <c r="H320" s="4" t="s">
        <v>19</v>
      </c>
      <c r="I320" s="4" t="s">
        <v>648</v>
      </c>
      <c r="J320" s="4" t="s">
        <v>37</v>
      </c>
      <c r="K320" s="4" t="s">
        <v>37</v>
      </c>
      <c r="L320" s="4" t="s">
        <v>38</v>
      </c>
      <c r="M320" s="4" t="s">
        <v>102</v>
      </c>
      <c r="N320" s="4" t="s">
        <v>57</v>
      </c>
      <c r="O320">
        <v>12000</v>
      </c>
      <c r="P320">
        <v>1</v>
      </c>
      <c r="Q320">
        <v>0</v>
      </c>
      <c r="R320">
        <v>12000</v>
      </c>
      <c r="S320">
        <v>0</v>
      </c>
      <c r="T320">
        <v>12000</v>
      </c>
    </row>
    <row r="321" spans="1:20" x14ac:dyDescent="0.25">
      <c r="A321">
        <v>320</v>
      </c>
      <c r="B321" s="5">
        <v>45247</v>
      </c>
      <c r="C321">
        <v>20</v>
      </c>
      <c r="D321">
        <v>0</v>
      </c>
      <c r="E321">
        <v>138</v>
      </c>
      <c r="F321" s="4" t="s">
        <v>421</v>
      </c>
      <c r="G321" s="4" t="s">
        <v>422</v>
      </c>
      <c r="H321" s="4" t="s">
        <v>42</v>
      </c>
      <c r="I321" s="4" t="s">
        <v>611</v>
      </c>
      <c r="J321" s="4" t="s">
        <v>20</v>
      </c>
      <c r="K321" s="4" t="s">
        <v>21</v>
      </c>
      <c r="L321" s="4" t="s">
        <v>29</v>
      </c>
      <c r="M321" s="4" t="s">
        <v>46</v>
      </c>
      <c r="N321" s="4" t="s">
        <v>53</v>
      </c>
      <c r="O321">
        <v>750000</v>
      </c>
      <c r="P321">
        <v>3</v>
      </c>
      <c r="Q321">
        <v>0</v>
      </c>
      <c r="R321">
        <v>2250000</v>
      </c>
      <c r="S321">
        <v>0</v>
      </c>
      <c r="T321">
        <v>2250000</v>
      </c>
    </row>
    <row r="322" spans="1:20" x14ac:dyDescent="0.25">
      <c r="A322">
        <v>321</v>
      </c>
      <c r="B322" s="5">
        <v>45248</v>
      </c>
      <c r="C322">
        <v>25</v>
      </c>
      <c r="D322">
        <v>3</v>
      </c>
      <c r="E322">
        <v>191</v>
      </c>
      <c r="F322" s="4" t="s">
        <v>202</v>
      </c>
      <c r="G322" s="4" t="s">
        <v>203</v>
      </c>
      <c r="H322" s="4" t="s">
        <v>42</v>
      </c>
      <c r="I322" s="4" t="s">
        <v>639</v>
      </c>
      <c r="J322" s="4" t="s">
        <v>76</v>
      </c>
      <c r="K322" s="4" t="s">
        <v>77</v>
      </c>
      <c r="L322" s="4" t="s">
        <v>38</v>
      </c>
      <c r="M322" s="4" t="s">
        <v>46</v>
      </c>
      <c r="N322" s="4" t="s">
        <v>53</v>
      </c>
      <c r="O322">
        <v>750000</v>
      </c>
      <c r="P322">
        <v>3</v>
      </c>
      <c r="Q322">
        <v>0</v>
      </c>
      <c r="R322">
        <v>2250000</v>
      </c>
      <c r="S322">
        <v>0</v>
      </c>
      <c r="T322">
        <v>2250000</v>
      </c>
    </row>
    <row r="323" spans="1:20" x14ac:dyDescent="0.25">
      <c r="A323">
        <v>322</v>
      </c>
      <c r="B323" s="5">
        <v>45249</v>
      </c>
      <c r="C323">
        <v>41</v>
      </c>
      <c r="D323">
        <v>4</v>
      </c>
      <c r="E323">
        <v>135</v>
      </c>
      <c r="F323" s="4" t="s">
        <v>423</v>
      </c>
      <c r="G323" s="4" t="s">
        <v>424</v>
      </c>
      <c r="H323" s="4" t="s">
        <v>42</v>
      </c>
      <c r="I323" s="4" t="s">
        <v>608</v>
      </c>
      <c r="J323" s="4" t="s">
        <v>43</v>
      </c>
      <c r="K323" s="4" t="s">
        <v>43</v>
      </c>
      <c r="L323" s="4" t="s">
        <v>38</v>
      </c>
      <c r="M323" s="4" t="s">
        <v>23</v>
      </c>
      <c r="N323" s="4" t="s">
        <v>24</v>
      </c>
      <c r="O323">
        <v>15000</v>
      </c>
      <c r="P323">
        <v>3</v>
      </c>
      <c r="Q323">
        <v>5</v>
      </c>
      <c r="R323">
        <v>45000</v>
      </c>
      <c r="S323">
        <v>2250</v>
      </c>
      <c r="T323">
        <v>42750</v>
      </c>
    </row>
    <row r="324" spans="1:20" x14ac:dyDescent="0.25">
      <c r="A324">
        <v>323</v>
      </c>
      <c r="B324" s="5">
        <v>45250</v>
      </c>
      <c r="C324">
        <v>30</v>
      </c>
      <c r="D324">
        <v>0</v>
      </c>
      <c r="E324">
        <v>153</v>
      </c>
      <c r="F324" s="4" t="s">
        <v>453</v>
      </c>
      <c r="G324" s="4" t="s">
        <v>454</v>
      </c>
      <c r="H324" s="4" t="s">
        <v>19</v>
      </c>
      <c r="I324" s="4" t="s">
        <v>614</v>
      </c>
      <c r="J324" s="4" t="s">
        <v>37</v>
      </c>
      <c r="K324" s="4" t="s">
        <v>37</v>
      </c>
      <c r="L324" s="4" t="s">
        <v>38</v>
      </c>
      <c r="M324" s="4" t="s">
        <v>56</v>
      </c>
      <c r="N324" s="4" t="s">
        <v>57</v>
      </c>
      <c r="O324">
        <v>25000</v>
      </c>
      <c r="P324">
        <v>2</v>
      </c>
      <c r="Q324">
        <v>0</v>
      </c>
      <c r="R324">
        <v>50000</v>
      </c>
      <c r="S324">
        <v>0</v>
      </c>
      <c r="T324">
        <v>50000</v>
      </c>
    </row>
    <row r="325" spans="1:20" x14ac:dyDescent="0.25">
      <c r="A325">
        <v>324</v>
      </c>
      <c r="B325" s="5">
        <v>45251</v>
      </c>
      <c r="C325">
        <v>17</v>
      </c>
      <c r="D325">
        <v>0</v>
      </c>
      <c r="E325">
        <v>61</v>
      </c>
      <c r="F325" s="4" t="s">
        <v>222</v>
      </c>
      <c r="G325" s="4" t="s">
        <v>223</v>
      </c>
      <c r="H325" s="4" t="s">
        <v>42</v>
      </c>
      <c r="I325" s="4" t="s">
        <v>639</v>
      </c>
      <c r="J325" s="4" t="s">
        <v>34</v>
      </c>
      <c r="K325" s="4" t="s">
        <v>272</v>
      </c>
      <c r="L325" s="4" t="s">
        <v>29</v>
      </c>
      <c r="M325" s="4" t="s">
        <v>62</v>
      </c>
      <c r="N325" s="4" t="s">
        <v>31</v>
      </c>
      <c r="O325">
        <v>650000</v>
      </c>
      <c r="P325">
        <v>3</v>
      </c>
      <c r="Q325">
        <v>0</v>
      </c>
      <c r="R325">
        <v>1950000</v>
      </c>
      <c r="S325">
        <v>0</v>
      </c>
      <c r="T325">
        <v>1950000</v>
      </c>
    </row>
    <row r="326" spans="1:20" x14ac:dyDescent="0.25">
      <c r="A326">
        <v>325</v>
      </c>
      <c r="B326" s="5">
        <v>45252</v>
      </c>
      <c r="C326">
        <v>22</v>
      </c>
      <c r="D326">
        <v>1</v>
      </c>
      <c r="E326">
        <v>86</v>
      </c>
      <c r="F326" s="4" t="s">
        <v>214</v>
      </c>
      <c r="G326" s="4" t="s">
        <v>215</v>
      </c>
      <c r="H326" s="4" t="s">
        <v>19</v>
      </c>
      <c r="I326" s="4" t="s">
        <v>630</v>
      </c>
      <c r="J326" s="4" t="s">
        <v>116</v>
      </c>
      <c r="K326" s="4" t="s">
        <v>37</v>
      </c>
      <c r="L326" s="4" t="s">
        <v>22</v>
      </c>
      <c r="M326" s="4" t="s">
        <v>69</v>
      </c>
      <c r="N326" s="4" t="s">
        <v>53</v>
      </c>
      <c r="O326">
        <v>450000</v>
      </c>
      <c r="P326">
        <v>1</v>
      </c>
      <c r="Q326">
        <v>0</v>
      </c>
      <c r="R326">
        <v>450000</v>
      </c>
      <c r="S326">
        <v>0</v>
      </c>
      <c r="T326">
        <v>450000</v>
      </c>
    </row>
    <row r="327" spans="1:20" x14ac:dyDescent="0.25">
      <c r="A327">
        <v>326</v>
      </c>
      <c r="B327" s="5">
        <v>45253</v>
      </c>
      <c r="C327">
        <v>54</v>
      </c>
      <c r="D327">
        <v>9</v>
      </c>
      <c r="E327">
        <v>44</v>
      </c>
      <c r="F327" s="4" t="s">
        <v>180</v>
      </c>
      <c r="G327" s="4" t="s">
        <v>181</v>
      </c>
      <c r="H327" s="4" t="s">
        <v>19</v>
      </c>
      <c r="I327" s="4" t="s">
        <v>611</v>
      </c>
      <c r="J327" s="4" t="s">
        <v>27</v>
      </c>
      <c r="K327" s="4" t="s">
        <v>28</v>
      </c>
      <c r="L327" s="4" t="s">
        <v>29</v>
      </c>
      <c r="M327" s="4" t="s">
        <v>30</v>
      </c>
      <c r="N327" s="4" t="s">
        <v>31</v>
      </c>
      <c r="O327">
        <v>700000</v>
      </c>
      <c r="P327">
        <v>1</v>
      </c>
      <c r="Q327">
        <v>5</v>
      </c>
      <c r="R327">
        <v>700000</v>
      </c>
      <c r="S327">
        <v>35000</v>
      </c>
      <c r="T327">
        <v>665000</v>
      </c>
    </row>
    <row r="328" spans="1:20" x14ac:dyDescent="0.25">
      <c r="A328">
        <v>327</v>
      </c>
      <c r="B328" s="5">
        <v>45254</v>
      </c>
      <c r="C328">
        <v>46</v>
      </c>
      <c r="D328">
        <v>5</v>
      </c>
      <c r="E328">
        <v>228</v>
      </c>
      <c r="F328" s="4" t="s">
        <v>236</v>
      </c>
      <c r="G328" s="4" t="s">
        <v>237</v>
      </c>
      <c r="H328" s="4" t="s">
        <v>42</v>
      </c>
      <c r="I328" s="4" t="s">
        <v>615</v>
      </c>
      <c r="J328" s="4" t="s">
        <v>84</v>
      </c>
      <c r="K328" s="4" t="s">
        <v>85</v>
      </c>
      <c r="L328" s="4" t="s">
        <v>29</v>
      </c>
      <c r="M328" s="4" t="s">
        <v>98</v>
      </c>
      <c r="N328" s="4" t="s">
        <v>151</v>
      </c>
      <c r="O328">
        <v>55000</v>
      </c>
      <c r="P328">
        <v>1</v>
      </c>
      <c r="Q328">
        <v>0</v>
      </c>
      <c r="R328">
        <v>55000</v>
      </c>
      <c r="S328">
        <v>0</v>
      </c>
      <c r="T328">
        <v>55000</v>
      </c>
    </row>
    <row r="329" spans="1:20" x14ac:dyDescent="0.25">
      <c r="A329">
        <v>328</v>
      </c>
      <c r="B329" s="5">
        <v>45255</v>
      </c>
      <c r="C329">
        <v>2</v>
      </c>
      <c r="D329">
        <v>2</v>
      </c>
      <c r="E329">
        <v>259</v>
      </c>
      <c r="F329" s="4" t="s">
        <v>389</v>
      </c>
      <c r="G329" s="4" t="s">
        <v>390</v>
      </c>
      <c r="H329" s="4" t="s">
        <v>42</v>
      </c>
      <c r="I329" s="4" t="s">
        <v>609</v>
      </c>
      <c r="J329" s="4" t="s">
        <v>101</v>
      </c>
      <c r="K329" s="4" t="s">
        <v>109</v>
      </c>
      <c r="L329" s="4" t="s">
        <v>38</v>
      </c>
      <c r="M329" s="4" t="s">
        <v>49</v>
      </c>
      <c r="N329" s="4" t="s">
        <v>31</v>
      </c>
      <c r="O329">
        <v>800000</v>
      </c>
      <c r="P329">
        <v>2</v>
      </c>
      <c r="Q329">
        <v>0</v>
      </c>
      <c r="R329">
        <v>1600000</v>
      </c>
      <c r="S329">
        <v>0</v>
      </c>
      <c r="T329">
        <v>1600000</v>
      </c>
    </row>
    <row r="330" spans="1:20" x14ac:dyDescent="0.25">
      <c r="A330">
        <v>329</v>
      </c>
      <c r="B330" s="5">
        <v>45256</v>
      </c>
      <c r="C330">
        <v>57</v>
      </c>
      <c r="D330">
        <v>3</v>
      </c>
      <c r="E330">
        <v>111</v>
      </c>
      <c r="F330" s="4" t="s">
        <v>455</v>
      </c>
      <c r="G330" s="4" t="s">
        <v>456</v>
      </c>
      <c r="H330" s="4" t="s">
        <v>42</v>
      </c>
      <c r="I330" s="4" t="s">
        <v>612</v>
      </c>
      <c r="J330" s="4" t="s">
        <v>52</v>
      </c>
      <c r="K330" s="4" t="s">
        <v>28</v>
      </c>
      <c r="L330" s="4" t="s">
        <v>38</v>
      </c>
      <c r="M330" s="4" t="s">
        <v>98</v>
      </c>
      <c r="N330" s="4" t="s">
        <v>151</v>
      </c>
      <c r="O330">
        <v>55000</v>
      </c>
      <c r="P330">
        <v>3</v>
      </c>
      <c r="Q330">
        <v>1</v>
      </c>
      <c r="R330">
        <v>165000</v>
      </c>
      <c r="S330">
        <v>1650</v>
      </c>
      <c r="T330">
        <v>163350</v>
      </c>
    </row>
    <row r="331" spans="1:20" x14ac:dyDescent="0.25">
      <c r="A331">
        <v>330</v>
      </c>
      <c r="B331" s="5">
        <v>45257</v>
      </c>
      <c r="C331">
        <v>46</v>
      </c>
      <c r="D331">
        <v>5</v>
      </c>
      <c r="E331">
        <v>54</v>
      </c>
      <c r="F331" s="4" t="s">
        <v>457</v>
      </c>
      <c r="G331" s="4" t="s">
        <v>458</v>
      </c>
      <c r="H331" s="4" t="s">
        <v>42</v>
      </c>
      <c r="I331" s="4" t="s">
        <v>617</v>
      </c>
      <c r="J331" s="4" t="s">
        <v>84</v>
      </c>
      <c r="K331" s="4" t="s">
        <v>85</v>
      </c>
      <c r="L331" s="4" t="s">
        <v>29</v>
      </c>
      <c r="M331" s="4" t="s">
        <v>30</v>
      </c>
      <c r="N331" s="4" t="s">
        <v>31</v>
      </c>
      <c r="O331">
        <v>700000</v>
      </c>
      <c r="P331">
        <v>1</v>
      </c>
      <c r="Q331">
        <v>1</v>
      </c>
      <c r="R331">
        <v>700000</v>
      </c>
      <c r="S331">
        <v>7000</v>
      </c>
      <c r="T331">
        <v>693000</v>
      </c>
    </row>
    <row r="332" spans="1:20" x14ac:dyDescent="0.25">
      <c r="A332">
        <v>331</v>
      </c>
      <c r="B332" s="5">
        <v>45258</v>
      </c>
      <c r="C332">
        <v>62</v>
      </c>
      <c r="D332">
        <v>4</v>
      </c>
      <c r="E332">
        <v>179</v>
      </c>
      <c r="F332" s="4" t="s">
        <v>459</v>
      </c>
      <c r="G332" s="4" t="s">
        <v>460</v>
      </c>
      <c r="H332" s="4" t="s">
        <v>19</v>
      </c>
      <c r="I332" s="4" t="s">
        <v>611</v>
      </c>
      <c r="J332" s="4" t="s">
        <v>76</v>
      </c>
      <c r="K332" s="4" t="s">
        <v>77</v>
      </c>
      <c r="L332" s="4" t="s">
        <v>38</v>
      </c>
      <c r="M332" s="4" t="s">
        <v>46</v>
      </c>
      <c r="N332" s="4" t="s">
        <v>53</v>
      </c>
      <c r="O332">
        <v>750000</v>
      </c>
      <c r="P332">
        <v>3</v>
      </c>
      <c r="Q332">
        <v>1</v>
      </c>
      <c r="R332">
        <v>2250000</v>
      </c>
      <c r="S332">
        <v>22500</v>
      </c>
      <c r="T332">
        <v>2227500</v>
      </c>
    </row>
    <row r="333" spans="1:20" x14ac:dyDescent="0.25">
      <c r="A333">
        <v>332</v>
      </c>
      <c r="B333" s="5">
        <v>45259</v>
      </c>
      <c r="C333">
        <v>20</v>
      </c>
      <c r="D333">
        <v>0</v>
      </c>
      <c r="E333">
        <v>49</v>
      </c>
      <c r="F333" s="4" t="s">
        <v>461</v>
      </c>
      <c r="G333" s="4" t="s">
        <v>462</v>
      </c>
      <c r="H333" s="4" t="s">
        <v>19</v>
      </c>
      <c r="I333" s="4" t="s">
        <v>627</v>
      </c>
      <c r="J333" s="4" t="s">
        <v>20</v>
      </c>
      <c r="K333" s="4" t="s">
        <v>21</v>
      </c>
      <c r="L333" s="4" t="s">
        <v>29</v>
      </c>
      <c r="M333" s="4" t="s">
        <v>30</v>
      </c>
      <c r="N333" s="4" t="s">
        <v>31</v>
      </c>
      <c r="O333">
        <v>700000</v>
      </c>
      <c r="P333">
        <v>2</v>
      </c>
      <c r="Q333">
        <v>0</v>
      </c>
      <c r="R333">
        <v>1400000</v>
      </c>
      <c r="S333">
        <v>0</v>
      </c>
      <c r="T333">
        <v>1400000</v>
      </c>
    </row>
    <row r="334" spans="1:20" x14ac:dyDescent="0.25">
      <c r="A334">
        <v>333</v>
      </c>
      <c r="B334" s="5">
        <v>45260</v>
      </c>
      <c r="C334">
        <v>35</v>
      </c>
      <c r="D334">
        <v>1</v>
      </c>
      <c r="E334">
        <v>105</v>
      </c>
      <c r="F334" s="4" t="s">
        <v>228</v>
      </c>
      <c r="G334" s="4" t="s">
        <v>229</v>
      </c>
      <c r="H334" s="4" t="s">
        <v>19</v>
      </c>
      <c r="I334" s="4" t="s">
        <v>635</v>
      </c>
      <c r="J334" s="4" t="s">
        <v>43</v>
      </c>
      <c r="K334" s="4" t="s">
        <v>43</v>
      </c>
      <c r="L334" s="4" t="s">
        <v>38</v>
      </c>
      <c r="M334" s="4" t="s">
        <v>56</v>
      </c>
      <c r="N334" s="4" t="s">
        <v>57</v>
      </c>
      <c r="O334">
        <v>25000</v>
      </c>
      <c r="P334">
        <v>3</v>
      </c>
      <c r="Q334">
        <v>5</v>
      </c>
      <c r="R334">
        <v>75000</v>
      </c>
      <c r="S334">
        <v>3750</v>
      </c>
      <c r="T334">
        <v>71250</v>
      </c>
    </row>
    <row r="335" spans="1:20" x14ac:dyDescent="0.25">
      <c r="A335">
        <v>334</v>
      </c>
      <c r="B335" s="5">
        <v>45261</v>
      </c>
      <c r="C335">
        <v>20</v>
      </c>
      <c r="D335">
        <v>0</v>
      </c>
      <c r="E335">
        <v>98</v>
      </c>
      <c r="F335" s="4" t="s">
        <v>463</v>
      </c>
      <c r="G335" s="4" t="s">
        <v>464</v>
      </c>
      <c r="H335" s="4" t="s">
        <v>19</v>
      </c>
      <c r="I335" s="4" t="s">
        <v>623</v>
      </c>
      <c r="J335" s="4" t="s">
        <v>20</v>
      </c>
      <c r="K335" s="4" t="s">
        <v>21</v>
      </c>
      <c r="L335" s="4" t="s">
        <v>38</v>
      </c>
      <c r="M335" s="4" t="s">
        <v>49</v>
      </c>
      <c r="N335" s="4" t="s">
        <v>31</v>
      </c>
      <c r="O335">
        <v>800000</v>
      </c>
      <c r="P335">
        <v>3</v>
      </c>
      <c r="Q335">
        <v>0</v>
      </c>
      <c r="R335">
        <v>2400000</v>
      </c>
      <c r="S335">
        <v>0</v>
      </c>
      <c r="T335">
        <v>2400000</v>
      </c>
    </row>
    <row r="336" spans="1:20" x14ac:dyDescent="0.25">
      <c r="A336">
        <v>335</v>
      </c>
      <c r="B336" s="5">
        <v>45262</v>
      </c>
      <c r="C336">
        <v>40</v>
      </c>
      <c r="D336">
        <v>1</v>
      </c>
      <c r="E336">
        <v>75</v>
      </c>
      <c r="F336" s="4" t="s">
        <v>240</v>
      </c>
      <c r="G336" s="4" t="s">
        <v>241</v>
      </c>
      <c r="H336" s="4" t="s">
        <v>19</v>
      </c>
      <c r="I336" s="4" t="s">
        <v>612</v>
      </c>
      <c r="J336" s="4" t="s">
        <v>27</v>
      </c>
      <c r="K336" s="4" t="s">
        <v>28</v>
      </c>
      <c r="L336" s="4" t="s">
        <v>38</v>
      </c>
      <c r="M336" s="4" t="s">
        <v>69</v>
      </c>
      <c r="N336" s="4" t="s">
        <v>53</v>
      </c>
      <c r="O336">
        <v>450000</v>
      </c>
      <c r="P336">
        <v>3</v>
      </c>
      <c r="Q336">
        <v>5</v>
      </c>
      <c r="R336">
        <v>1350000</v>
      </c>
      <c r="S336">
        <v>67500</v>
      </c>
      <c r="T336">
        <v>1282500</v>
      </c>
    </row>
    <row r="337" spans="1:20" x14ac:dyDescent="0.25">
      <c r="A337">
        <v>336</v>
      </c>
      <c r="B337" s="5">
        <v>45263</v>
      </c>
      <c r="C337">
        <v>37</v>
      </c>
      <c r="D337">
        <v>1</v>
      </c>
      <c r="E337">
        <v>122</v>
      </c>
      <c r="F337" s="4" t="s">
        <v>107</v>
      </c>
      <c r="G337" s="4" t="s">
        <v>108</v>
      </c>
      <c r="H337" s="4" t="s">
        <v>42</v>
      </c>
      <c r="I337" s="4" t="s">
        <v>616</v>
      </c>
      <c r="J337" s="4" t="s">
        <v>116</v>
      </c>
      <c r="K337" s="4" t="s">
        <v>37</v>
      </c>
      <c r="L337" s="4" t="s">
        <v>22</v>
      </c>
      <c r="M337" s="4" t="s">
        <v>49</v>
      </c>
      <c r="N337" s="4" t="s">
        <v>31</v>
      </c>
      <c r="O337">
        <v>800000</v>
      </c>
      <c r="P337">
        <v>1</v>
      </c>
      <c r="Q337">
        <v>1</v>
      </c>
      <c r="R337">
        <v>800000</v>
      </c>
      <c r="S337">
        <v>8000</v>
      </c>
      <c r="T337">
        <v>792000</v>
      </c>
    </row>
    <row r="338" spans="1:20" x14ac:dyDescent="0.25">
      <c r="A338">
        <v>337</v>
      </c>
      <c r="B338" s="5">
        <v>45264</v>
      </c>
      <c r="C338">
        <v>26</v>
      </c>
      <c r="D338">
        <v>6</v>
      </c>
      <c r="E338">
        <v>191</v>
      </c>
      <c r="F338" s="4" t="s">
        <v>202</v>
      </c>
      <c r="G338" s="4" t="s">
        <v>203</v>
      </c>
      <c r="H338" s="4" t="s">
        <v>42</v>
      </c>
      <c r="I338" s="4" t="s">
        <v>639</v>
      </c>
      <c r="J338" s="4" t="s">
        <v>101</v>
      </c>
      <c r="K338" s="4" t="s">
        <v>109</v>
      </c>
      <c r="L338" s="4" t="s">
        <v>22</v>
      </c>
      <c r="M338" s="4" t="s">
        <v>62</v>
      </c>
      <c r="N338" s="4" t="s">
        <v>31</v>
      </c>
      <c r="O338">
        <v>650000</v>
      </c>
      <c r="P338">
        <v>1</v>
      </c>
      <c r="Q338">
        <v>0</v>
      </c>
      <c r="R338">
        <v>650000</v>
      </c>
      <c r="S338">
        <v>0</v>
      </c>
      <c r="T338">
        <v>650000</v>
      </c>
    </row>
    <row r="339" spans="1:20" x14ac:dyDescent="0.25">
      <c r="A339">
        <v>338</v>
      </c>
      <c r="B339" s="5">
        <v>45265</v>
      </c>
      <c r="C339">
        <v>2</v>
      </c>
      <c r="D339">
        <v>2</v>
      </c>
      <c r="E339">
        <v>244</v>
      </c>
      <c r="F339" s="4" t="s">
        <v>443</v>
      </c>
      <c r="G339" s="4" t="s">
        <v>444</v>
      </c>
      <c r="H339" s="4" t="s">
        <v>19</v>
      </c>
      <c r="I339" s="4" t="s">
        <v>648</v>
      </c>
      <c r="J339" s="4" t="s">
        <v>101</v>
      </c>
      <c r="K339" s="4" t="s">
        <v>109</v>
      </c>
      <c r="L339" s="4" t="s">
        <v>22</v>
      </c>
      <c r="M339" s="4" t="s">
        <v>102</v>
      </c>
      <c r="N339" s="4" t="s">
        <v>57</v>
      </c>
      <c r="O339">
        <v>12000</v>
      </c>
      <c r="P339">
        <v>3</v>
      </c>
      <c r="Q339">
        <v>0</v>
      </c>
      <c r="R339">
        <v>36000</v>
      </c>
      <c r="S339">
        <v>0</v>
      </c>
      <c r="T339">
        <v>36000</v>
      </c>
    </row>
    <row r="340" spans="1:20" x14ac:dyDescent="0.25">
      <c r="A340">
        <v>339</v>
      </c>
      <c r="B340" s="5">
        <v>45266</v>
      </c>
      <c r="C340">
        <v>2</v>
      </c>
      <c r="D340">
        <v>2</v>
      </c>
      <c r="E340">
        <v>210</v>
      </c>
      <c r="F340" s="4" t="s">
        <v>465</v>
      </c>
      <c r="G340" s="4" t="s">
        <v>466</v>
      </c>
      <c r="H340" s="4" t="s">
        <v>19</v>
      </c>
      <c r="I340" s="4" t="s">
        <v>654</v>
      </c>
      <c r="J340" s="4" t="s">
        <v>101</v>
      </c>
      <c r="K340" s="4" t="s">
        <v>109</v>
      </c>
      <c r="L340" s="4" t="s">
        <v>22</v>
      </c>
      <c r="M340" s="4" t="s">
        <v>69</v>
      </c>
      <c r="N340" s="4" t="s">
        <v>53</v>
      </c>
      <c r="O340">
        <v>450000</v>
      </c>
      <c r="P340">
        <v>2</v>
      </c>
      <c r="Q340">
        <v>0</v>
      </c>
      <c r="R340">
        <v>900000</v>
      </c>
      <c r="S340">
        <v>0</v>
      </c>
      <c r="T340">
        <v>900000</v>
      </c>
    </row>
    <row r="341" spans="1:20" x14ac:dyDescent="0.25">
      <c r="A341">
        <v>340</v>
      </c>
      <c r="B341" s="5">
        <v>45267</v>
      </c>
      <c r="C341">
        <v>38</v>
      </c>
      <c r="D341">
        <v>8</v>
      </c>
      <c r="E341">
        <v>62</v>
      </c>
      <c r="F341" s="4" t="s">
        <v>329</v>
      </c>
      <c r="G341" s="4" t="s">
        <v>330</v>
      </c>
      <c r="H341" s="4" t="s">
        <v>42</v>
      </c>
      <c r="I341" s="4" t="s">
        <v>613</v>
      </c>
      <c r="J341" s="4" t="s">
        <v>52</v>
      </c>
      <c r="K341" s="4" t="s">
        <v>28</v>
      </c>
      <c r="L341" s="4" t="s">
        <v>29</v>
      </c>
      <c r="M341" s="4" t="s">
        <v>102</v>
      </c>
      <c r="N341" s="4" t="s">
        <v>57</v>
      </c>
      <c r="O341">
        <v>12000</v>
      </c>
      <c r="P341">
        <v>1</v>
      </c>
      <c r="Q341">
        <v>1</v>
      </c>
      <c r="R341">
        <v>12000</v>
      </c>
      <c r="S341">
        <v>120</v>
      </c>
      <c r="T341">
        <v>11880</v>
      </c>
    </row>
    <row r="342" spans="1:20" x14ac:dyDescent="0.25">
      <c r="A342">
        <v>341</v>
      </c>
      <c r="B342" s="5">
        <v>45268</v>
      </c>
      <c r="C342">
        <v>63</v>
      </c>
      <c r="D342">
        <v>5</v>
      </c>
      <c r="E342">
        <v>68</v>
      </c>
      <c r="F342" s="4" t="s">
        <v>135</v>
      </c>
      <c r="G342" s="4" t="s">
        <v>136</v>
      </c>
      <c r="H342" s="4" t="s">
        <v>19</v>
      </c>
      <c r="I342" s="4" t="s">
        <v>619</v>
      </c>
      <c r="J342" s="4" t="s">
        <v>101</v>
      </c>
      <c r="K342" s="4" t="s">
        <v>109</v>
      </c>
      <c r="L342" s="4" t="s">
        <v>29</v>
      </c>
      <c r="M342" s="4" t="s">
        <v>23</v>
      </c>
      <c r="N342" s="4" t="s">
        <v>24</v>
      </c>
      <c r="O342">
        <v>15000</v>
      </c>
      <c r="P342">
        <v>1</v>
      </c>
      <c r="Q342">
        <v>0</v>
      </c>
      <c r="R342">
        <v>15000</v>
      </c>
      <c r="S342">
        <v>0</v>
      </c>
      <c r="T342">
        <v>15000</v>
      </c>
    </row>
    <row r="343" spans="1:20" x14ac:dyDescent="0.25">
      <c r="A343">
        <v>342</v>
      </c>
      <c r="B343" s="5">
        <v>45269</v>
      </c>
      <c r="C343">
        <v>53</v>
      </c>
      <c r="D343">
        <v>1</v>
      </c>
      <c r="E343">
        <v>270</v>
      </c>
      <c r="F343" s="4" t="s">
        <v>467</v>
      </c>
      <c r="G343" s="4" t="s">
        <v>468</v>
      </c>
      <c r="H343" s="4" t="s">
        <v>19</v>
      </c>
      <c r="I343" s="4" t="s">
        <v>622</v>
      </c>
      <c r="J343" s="4" t="s">
        <v>76</v>
      </c>
      <c r="K343" s="4" t="s">
        <v>77</v>
      </c>
      <c r="L343" s="4" t="s">
        <v>38</v>
      </c>
      <c r="M343" s="4" t="s">
        <v>30</v>
      </c>
      <c r="N343" s="4" t="s">
        <v>31</v>
      </c>
      <c r="O343">
        <v>700000</v>
      </c>
      <c r="P343">
        <v>3</v>
      </c>
      <c r="Q343">
        <v>0</v>
      </c>
      <c r="R343">
        <v>2100000</v>
      </c>
      <c r="S343">
        <v>0</v>
      </c>
      <c r="T343">
        <v>2100000</v>
      </c>
    </row>
    <row r="344" spans="1:20" x14ac:dyDescent="0.25">
      <c r="A344">
        <v>343</v>
      </c>
      <c r="B344" s="5">
        <v>45270</v>
      </c>
      <c r="C344">
        <v>41</v>
      </c>
      <c r="D344">
        <v>4</v>
      </c>
      <c r="E344">
        <v>158</v>
      </c>
      <c r="F344" s="4" t="s">
        <v>469</v>
      </c>
      <c r="G344" s="4" t="s">
        <v>470</v>
      </c>
      <c r="H344" s="4" t="s">
        <v>19</v>
      </c>
      <c r="I344" s="4" t="s">
        <v>609</v>
      </c>
      <c r="J344" s="4" t="s">
        <v>43</v>
      </c>
      <c r="K344" s="4" t="s">
        <v>43</v>
      </c>
      <c r="L344" s="4" t="s">
        <v>22</v>
      </c>
      <c r="M344" s="4" t="s">
        <v>30</v>
      </c>
      <c r="N344" s="4" t="s">
        <v>31</v>
      </c>
      <c r="O344">
        <v>700000</v>
      </c>
      <c r="P344">
        <v>2</v>
      </c>
      <c r="Q344">
        <v>0</v>
      </c>
      <c r="R344">
        <v>1400000</v>
      </c>
      <c r="S344">
        <v>0</v>
      </c>
      <c r="T344">
        <v>1400000</v>
      </c>
    </row>
    <row r="345" spans="1:20" x14ac:dyDescent="0.25">
      <c r="A345">
        <v>344</v>
      </c>
      <c r="B345" s="5">
        <v>45271</v>
      </c>
      <c r="C345">
        <v>21</v>
      </c>
      <c r="D345">
        <v>5</v>
      </c>
      <c r="E345">
        <v>265</v>
      </c>
      <c r="F345" s="4" t="s">
        <v>471</v>
      </c>
      <c r="G345" s="4" t="s">
        <v>472</v>
      </c>
      <c r="H345" s="4" t="s">
        <v>42</v>
      </c>
      <c r="I345" s="4" t="s">
        <v>611</v>
      </c>
      <c r="J345" s="4" t="s">
        <v>76</v>
      </c>
      <c r="K345" s="4" t="s">
        <v>77</v>
      </c>
      <c r="L345" s="4" t="s">
        <v>38</v>
      </c>
      <c r="M345" s="4" t="s">
        <v>62</v>
      </c>
      <c r="N345" s="4" t="s">
        <v>31</v>
      </c>
      <c r="O345">
        <v>650000</v>
      </c>
      <c r="P345">
        <v>1</v>
      </c>
      <c r="Q345">
        <v>5</v>
      </c>
      <c r="R345">
        <v>650000</v>
      </c>
      <c r="S345">
        <v>32500</v>
      </c>
      <c r="T345">
        <v>617500</v>
      </c>
    </row>
    <row r="346" spans="1:20" x14ac:dyDescent="0.25">
      <c r="A346">
        <v>345</v>
      </c>
      <c r="B346" s="5">
        <v>45272</v>
      </c>
      <c r="C346">
        <v>28</v>
      </c>
      <c r="D346">
        <v>5</v>
      </c>
      <c r="E346">
        <v>139</v>
      </c>
      <c r="F346" s="4" t="s">
        <v>413</v>
      </c>
      <c r="G346" s="4" t="s">
        <v>414</v>
      </c>
      <c r="H346" s="4" t="s">
        <v>19</v>
      </c>
      <c r="I346" s="4" t="s">
        <v>621</v>
      </c>
      <c r="J346" s="4" t="s">
        <v>116</v>
      </c>
      <c r="K346" s="4" t="s">
        <v>37</v>
      </c>
      <c r="L346" s="4" t="s">
        <v>38</v>
      </c>
      <c r="M346" s="4" t="s">
        <v>98</v>
      </c>
      <c r="N346" s="4" t="s">
        <v>151</v>
      </c>
      <c r="O346">
        <v>55000</v>
      </c>
      <c r="P346">
        <v>2</v>
      </c>
      <c r="Q346">
        <v>1</v>
      </c>
      <c r="R346">
        <v>110000</v>
      </c>
      <c r="S346">
        <v>1100</v>
      </c>
      <c r="T346">
        <v>108900</v>
      </c>
    </row>
    <row r="347" spans="1:20" x14ac:dyDescent="0.25">
      <c r="A347">
        <v>346</v>
      </c>
      <c r="B347" s="5">
        <v>45273</v>
      </c>
      <c r="C347">
        <v>20</v>
      </c>
      <c r="D347">
        <v>0</v>
      </c>
      <c r="E347">
        <v>132</v>
      </c>
      <c r="F347" s="4" t="s">
        <v>94</v>
      </c>
      <c r="G347" s="4" t="s">
        <v>95</v>
      </c>
      <c r="H347" s="4" t="s">
        <v>42</v>
      </c>
      <c r="I347" s="4" t="s">
        <v>610</v>
      </c>
      <c r="J347" s="4" t="s">
        <v>20</v>
      </c>
      <c r="K347" s="4" t="s">
        <v>21</v>
      </c>
      <c r="L347" s="4" t="s">
        <v>38</v>
      </c>
      <c r="M347" s="4" t="s">
        <v>39</v>
      </c>
      <c r="N347" s="4" t="s">
        <v>24</v>
      </c>
      <c r="O347">
        <v>35000</v>
      </c>
      <c r="P347">
        <v>1</v>
      </c>
      <c r="Q347">
        <v>5</v>
      </c>
      <c r="R347">
        <v>35000</v>
      </c>
      <c r="S347">
        <v>1750</v>
      </c>
      <c r="T347">
        <v>33250</v>
      </c>
    </row>
    <row r="348" spans="1:20" x14ac:dyDescent="0.25">
      <c r="A348">
        <v>347</v>
      </c>
      <c r="B348" s="5">
        <v>45274</v>
      </c>
      <c r="C348">
        <v>1</v>
      </c>
      <c r="D348">
        <v>8</v>
      </c>
      <c r="E348">
        <v>36</v>
      </c>
      <c r="F348" s="4" t="s">
        <v>353</v>
      </c>
      <c r="G348" s="4" t="s">
        <v>354</v>
      </c>
      <c r="H348" s="4" t="s">
        <v>42</v>
      </c>
      <c r="I348" s="4" t="s">
        <v>618</v>
      </c>
      <c r="J348" s="4" t="s">
        <v>34</v>
      </c>
      <c r="K348" s="4" t="s">
        <v>272</v>
      </c>
      <c r="L348" s="4" t="s">
        <v>22</v>
      </c>
      <c r="M348" s="4" t="s">
        <v>30</v>
      </c>
      <c r="N348" s="4" t="s">
        <v>31</v>
      </c>
      <c r="O348">
        <v>700000</v>
      </c>
      <c r="P348">
        <v>2</v>
      </c>
      <c r="Q348">
        <v>5</v>
      </c>
      <c r="R348">
        <v>1400000</v>
      </c>
      <c r="S348">
        <v>70000</v>
      </c>
      <c r="T348">
        <v>1330000</v>
      </c>
    </row>
    <row r="349" spans="1:20" x14ac:dyDescent="0.25">
      <c r="A349">
        <v>348</v>
      </c>
      <c r="B349" s="5">
        <v>45275</v>
      </c>
      <c r="C349">
        <v>52</v>
      </c>
      <c r="D349">
        <v>0</v>
      </c>
      <c r="E349">
        <v>250</v>
      </c>
      <c r="F349" s="4" t="s">
        <v>473</v>
      </c>
      <c r="G349" s="4" t="s">
        <v>474</v>
      </c>
      <c r="H349" s="4" t="s">
        <v>42</v>
      </c>
      <c r="I349" s="4" t="s">
        <v>627</v>
      </c>
      <c r="J349" s="4" t="s">
        <v>27</v>
      </c>
      <c r="K349" s="4" t="s">
        <v>28</v>
      </c>
      <c r="L349" s="4" t="s">
        <v>38</v>
      </c>
      <c r="M349" s="4" t="s">
        <v>30</v>
      </c>
      <c r="N349" s="4" t="s">
        <v>31</v>
      </c>
      <c r="O349">
        <v>700000</v>
      </c>
      <c r="P349">
        <v>1</v>
      </c>
      <c r="Q349">
        <v>0</v>
      </c>
      <c r="R349">
        <v>700000</v>
      </c>
      <c r="S349">
        <v>0</v>
      </c>
      <c r="T349">
        <v>700000</v>
      </c>
    </row>
    <row r="350" spans="1:20" x14ac:dyDescent="0.25">
      <c r="A350">
        <v>349</v>
      </c>
      <c r="B350" s="5">
        <v>45276</v>
      </c>
      <c r="C350">
        <v>63</v>
      </c>
      <c r="D350">
        <v>5</v>
      </c>
      <c r="E350">
        <v>188</v>
      </c>
      <c r="F350" s="4" t="s">
        <v>270</v>
      </c>
      <c r="G350" s="4" t="s">
        <v>271</v>
      </c>
      <c r="H350" s="4" t="s">
        <v>42</v>
      </c>
      <c r="I350" s="4" t="s">
        <v>641</v>
      </c>
      <c r="J350" s="4" t="s">
        <v>101</v>
      </c>
      <c r="K350" s="4" t="s">
        <v>109</v>
      </c>
      <c r="L350" s="4" t="s">
        <v>29</v>
      </c>
      <c r="M350" s="4" t="s">
        <v>30</v>
      </c>
      <c r="N350" s="4" t="s">
        <v>31</v>
      </c>
      <c r="O350">
        <v>700000</v>
      </c>
      <c r="P350">
        <v>3</v>
      </c>
      <c r="Q350">
        <v>5</v>
      </c>
      <c r="R350">
        <v>2100000</v>
      </c>
      <c r="S350">
        <v>105000</v>
      </c>
      <c r="T350">
        <v>1995000</v>
      </c>
    </row>
    <row r="351" spans="1:20" x14ac:dyDescent="0.25">
      <c r="A351">
        <v>350</v>
      </c>
      <c r="B351" s="5">
        <v>45277</v>
      </c>
      <c r="C351">
        <v>7</v>
      </c>
      <c r="D351">
        <v>8</v>
      </c>
      <c r="E351">
        <v>264</v>
      </c>
      <c r="F351" s="4" t="s">
        <v>419</v>
      </c>
      <c r="G351" s="4" t="s">
        <v>420</v>
      </c>
      <c r="H351" s="4" t="s">
        <v>42</v>
      </c>
      <c r="I351" s="4" t="s">
        <v>615</v>
      </c>
      <c r="J351" s="4" t="s">
        <v>37</v>
      </c>
      <c r="K351" s="4" t="s">
        <v>37</v>
      </c>
      <c r="L351" s="4" t="s">
        <v>22</v>
      </c>
      <c r="M351" s="4" t="s">
        <v>46</v>
      </c>
      <c r="N351" s="4" t="s">
        <v>53</v>
      </c>
      <c r="O351">
        <v>750000</v>
      </c>
      <c r="P351">
        <v>3</v>
      </c>
      <c r="Q351">
        <v>1</v>
      </c>
      <c r="R351">
        <v>2250000</v>
      </c>
      <c r="S351">
        <v>22500</v>
      </c>
      <c r="T351">
        <v>2227500</v>
      </c>
    </row>
    <row r="352" spans="1:20" x14ac:dyDescent="0.25">
      <c r="A352">
        <v>351</v>
      </c>
      <c r="B352" s="5">
        <v>45278</v>
      </c>
      <c r="C352">
        <v>20</v>
      </c>
      <c r="D352">
        <v>0</v>
      </c>
      <c r="E352">
        <v>124</v>
      </c>
      <c r="F352" s="4" t="s">
        <v>475</v>
      </c>
      <c r="G352" s="4" t="s">
        <v>476</v>
      </c>
      <c r="H352" s="4" t="s">
        <v>42</v>
      </c>
      <c r="I352" s="4" t="s">
        <v>629</v>
      </c>
      <c r="J352" s="4" t="s">
        <v>20</v>
      </c>
      <c r="K352" s="4" t="s">
        <v>21</v>
      </c>
      <c r="L352" s="4" t="s">
        <v>38</v>
      </c>
      <c r="M352" s="4" t="s">
        <v>49</v>
      </c>
      <c r="N352" s="4" t="s">
        <v>31</v>
      </c>
      <c r="O352">
        <v>800000</v>
      </c>
      <c r="P352">
        <v>1</v>
      </c>
      <c r="Q352">
        <v>5</v>
      </c>
      <c r="R352">
        <v>800000</v>
      </c>
      <c r="S352">
        <v>40000</v>
      </c>
      <c r="T352">
        <v>760000</v>
      </c>
    </row>
    <row r="353" spans="1:20" x14ac:dyDescent="0.25">
      <c r="A353">
        <v>352</v>
      </c>
      <c r="B353" s="5">
        <v>45279</v>
      </c>
      <c r="C353">
        <v>1</v>
      </c>
      <c r="D353">
        <v>8</v>
      </c>
      <c r="E353">
        <v>5</v>
      </c>
      <c r="F353" s="4" t="s">
        <v>437</v>
      </c>
      <c r="G353" s="4" t="s">
        <v>438</v>
      </c>
      <c r="H353" s="4" t="s">
        <v>19</v>
      </c>
      <c r="I353" s="4" t="s">
        <v>613</v>
      </c>
      <c r="J353" s="4" t="s">
        <v>34</v>
      </c>
      <c r="K353" s="4" t="s">
        <v>272</v>
      </c>
      <c r="L353" s="4" t="s">
        <v>29</v>
      </c>
      <c r="M353" s="4" t="s">
        <v>69</v>
      </c>
      <c r="N353" s="4" t="s">
        <v>53</v>
      </c>
      <c r="O353">
        <v>450000</v>
      </c>
      <c r="P353">
        <v>1</v>
      </c>
      <c r="Q353">
        <v>5</v>
      </c>
      <c r="R353">
        <v>450000</v>
      </c>
      <c r="S353">
        <v>22500</v>
      </c>
      <c r="T353">
        <v>427500</v>
      </c>
    </row>
    <row r="354" spans="1:20" x14ac:dyDescent="0.25">
      <c r="A354">
        <v>353</v>
      </c>
      <c r="B354" s="5">
        <v>45280</v>
      </c>
      <c r="C354">
        <v>48</v>
      </c>
      <c r="D354">
        <v>6</v>
      </c>
      <c r="E354">
        <v>218</v>
      </c>
      <c r="F354" s="4" t="s">
        <v>40</v>
      </c>
      <c r="G354" s="4" t="s">
        <v>41</v>
      </c>
      <c r="H354" s="4" t="s">
        <v>42</v>
      </c>
      <c r="I354" s="4" t="s">
        <v>613</v>
      </c>
      <c r="J354" s="4" t="s">
        <v>37</v>
      </c>
      <c r="K354" s="4" t="s">
        <v>37</v>
      </c>
      <c r="L354" s="4" t="s">
        <v>38</v>
      </c>
      <c r="M354" s="4" t="s">
        <v>56</v>
      </c>
      <c r="N354" s="4" t="s">
        <v>57</v>
      </c>
      <c r="O354">
        <v>25000</v>
      </c>
      <c r="P354">
        <v>1</v>
      </c>
      <c r="Q354">
        <v>0</v>
      </c>
      <c r="R354">
        <v>25000</v>
      </c>
      <c r="S354">
        <v>0</v>
      </c>
      <c r="T354">
        <v>25000</v>
      </c>
    </row>
    <row r="355" spans="1:20" x14ac:dyDescent="0.25">
      <c r="A355">
        <v>354</v>
      </c>
      <c r="B355" s="5">
        <v>45281</v>
      </c>
      <c r="C355">
        <v>66</v>
      </c>
      <c r="D355">
        <v>2</v>
      </c>
      <c r="E355">
        <v>12</v>
      </c>
      <c r="F355" s="4" t="s">
        <v>331</v>
      </c>
      <c r="G355" s="4" t="s">
        <v>332</v>
      </c>
      <c r="H355" s="4" t="s">
        <v>42</v>
      </c>
      <c r="I355" s="4" t="s">
        <v>639</v>
      </c>
      <c r="J355" s="4" t="s">
        <v>27</v>
      </c>
      <c r="K355" s="4" t="s">
        <v>28</v>
      </c>
      <c r="L355" s="4" t="s">
        <v>38</v>
      </c>
      <c r="M355" s="4" t="s">
        <v>62</v>
      </c>
      <c r="N355" s="4" t="s">
        <v>31</v>
      </c>
      <c r="O355">
        <v>650000</v>
      </c>
      <c r="P355">
        <v>3</v>
      </c>
      <c r="Q355">
        <v>0</v>
      </c>
      <c r="R355">
        <v>1950000</v>
      </c>
      <c r="S355">
        <v>0</v>
      </c>
      <c r="T355">
        <v>1950000</v>
      </c>
    </row>
    <row r="356" spans="1:20" x14ac:dyDescent="0.25">
      <c r="A356">
        <v>355</v>
      </c>
      <c r="B356" s="5">
        <v>45282</v>
      </c>
      <c r="C356">
        <v>58</v>
      </c>
      <c r="D356">
        <v>1</v>
      </c>
      <c r="E356">
        <v>94</v>
      </c>
      <c r="F356" s="4" t="s">
        <v>477</v>
      </c>
      <c r="G356" s="4" t="s">
        <v>478</v>
      </c>
      <c r="H356" s="4" t="s">
        <v>19</v>
      </c>
      <c r="I356" s="4" t="s">
        <v>611</v>
      </c>
      <c r="J356" s="4" t="s">
        <v>76</v>
      </c>
      <c r="K356" s="4" t="s">
        <v>77</v>
      </c>
      <c r="L356" s="4" t="s">
        <v>22</v>
      </c>
      <c r="M356" s="4" t="s">
        <v>69</v>
      </c>
      <c r="N356" s="4" t="s">
        <v>53</v>
      </c>
      <c r="O356">
        <v>450000</v>
      </c>
      <c r="P356">
        <v>1</v>
      </c>
      <c r="Q356">
        <v>0</v>
      </c>
      <c r="R356">
        <v>450000</v>
      </c>
      <c r="S356">
        <v>0</v>
      </c>
      <c r="T356">
        <v>450000</v>
      </c>
    </row>
    <row r="357" spans="1:20" x14ac:dyDescent="0.25">
      <c r="A357">
        <v>356</v>
      </c>
      <c r="B357" s="5">
        <v>45283</v>
      </c>
      <c r="C357">
        <v>23</v>
      </c>
      <c r="D357">
        <v>0</v>
      </c>
      <c r="E357">
        <v>91</v>
      </c>
      <c r="F357" s="4" t="s">
        <v>407</v>
      </c>
      <c r="G357" s="4" t="s">
        <v>408</v>
      </c>
      <c r="H357" s="4" t="s">
        <v>19</v>
      </c>
      <c r="I357" s="4" t="s">
        <v>622</v>
      </c>
      <c r="J357" s="4" t="s">
        <v>52</v>
      </c>
      <c r="K357" s="4" t="s">
        <v>28</v>
      </c>
      <c r="L357" s="4" t="s">
        <v>22</v>
      </c>
      <c r="M357" s="4" t="s">
        <v>49</v>
      </c>
      <c r="N357" s="4" t="s">
        <v>31</v>
      </c>
      <c r="O357">
        <v>800000</v>
      </c>
      <c r="P357">
        <v>2</v>
      </c>
      <c r="Q357">
        <v>0</v>
      </c>
      <c r="R357">
        <v>1600000</v>
      </c>
      <c r="S357">
        <v>0</v>
      </c>
      <c r="T357">
        <v>1600000</v>
      </c>
    </row>
    <row r="358" spans="1:20" x14ac:dyDescent="0.25">
      <c r="A358">
        <v>357</v>
      </c>
      <c r="B358" s="5">
        <v>45284</v>
      </c>
      <c r="C358">
        <v>43</v>
      </c>
      <c r="D358">
        <v>0</v>
      </c>
      <c r="E358">
        <v>113</v>
      </c>
      <c r="F358" s="4" t="s">
        <v>479</v>
      </c>
      <c r="G358" s="4" t="s">
        <v>480</v>
      </c>
      <c r="H358" s="4" t="s">
        <v>42</v>
      </c>
      <c r="I358" s="4" t="s">
        <v>610</v>
      </c>
      <c r="J358" s="4" t="s">
        <v>34</v>
      </c>
      <c r="K358" s="4" t="s">
        <v>272</v>
      </c>
      <c r="L358" s="4" t="s">
        <v>22</v>
      </c>
      <c r="M358" s="4" t="s">
        <v>62</v>
      </c>
      <c r="N358" s="4" t="s">
        <v>31</v>
      </c>
      <c r="O358">
        <v>650000</v>
      </c>
      <c r="P358">
        <v>1</v>
      </c>
      <c r="Q358">
        <v>0</v>
      </c>
      <c r="R358">
        <v>650000</v>
      </c>
      <c r="S358">
        <v>0</v>
      </c>
      <c r="T358">
        <v>650000</v>
      </c>
    </row>
    <row r="359" spans="1:20" x14ac:dyDescent="0.25">
      <c r="A359">
        <v>358</v>
      </c>
      <c r="B359" s="5">
        <v>45285</v>
      </c>
      <c r="C359">
        <v>25</v>
      </c>
      <c r="D359">
        <v>3</v>
      </c>
      <c r="E359">
        <v>277</v>
      </c>
      <c r="F359" s="4" t="s">
        <v>481</v>
      </c>
      <c r="G359" s="4" t="s">
        <v>482</v>
      </c>
      <c r="H359" s="4" t="s">
        <v>42</v>
      </c>
      <c r="I359" s="4" t="s">
        <v>625</v>
      </c>
      <c r="J359" s="4" t="s">
        <v>76</v>
      </c>
      <c r="K359" s="4" t="s">
        <v>77</v>
      </c>
      <c r="L359" s="4" t="s">
        <v>22</v>
      </c>
      <c r="M359" s="4" t="s">
        <v>46</v>
      </c>
      <c r="N359" s="4" t="s">
        <v>53</v>
      </c>
      <c r="O359">
        <v>750000</v>
      </c>
      <c r="P359">
        <v>2</v>
      </c>
      <c r="Q359">
        <v>5</v>
      </c>
      <c r="R359">
        <v>1500000</v>
      </c>
      <c r="S359">
        <v>75000</v>
      </c>
      <c r="T359">
        <v>1425000</v>
      </c>
    </row>
    <row r="360" spans="1:20" x14ac:dyDescent="0.25">
      <c r="A360">
        <v>359</v>
      </c>
      <c r="B360" s="5">
        <v>45286</v>
      </c>
      <c r="C360">
        <v>7</v>
      </c>
      <c r="D360">
        <v>8</v>
      </c>
      <c r="E360">
        <v>2</v>
      </c>
      <c r="F360" s="4" t="s">
        <v>114</v>
      </c>
      <c r="G360" s="4" t="s">
        <v>115</v>
      </c>
      <c r="H360" s="4" t="s">
        <v>19</v>
      </c>
      <c r="I360" s="4" t="s">
        <v>635</v>
      </c>
      <c r="J360" s="4" t="s">
        <v>37</v>
      </c>
      <c r="K360" s="4" t="s">
        <v>37</v>
      </c>
      <c r="L360" s="4" t="s">
        <v>22</v>
      </c>
      <c r="M360" s="4" t="s">
        <v>69</v>
      </c>
      <c r="N360" s="4" t="s">
        <v>53</v>
      </c>
      <c r="O360">
        <v>450000</v>
      </c>
      <c r="P360">
        <v>2</v>
      </c>
      <c r="Q360">
        <v>1</v>
      </c>
      <c r="R360">
        <v>900000</v>
      </c>
      <c r="S360">
        <v>9000</v>
      </c>
      <c r="T360">
        <v>891000</v>
      </c>
    </row>
    <row r="361" spans="1:20" x14ac:dyDescent="0.25">
      <c r="A361">
        <v>360</v>
      </c>
      <c r="B361" s="5">
        <v>45287</v>
      </c>
      <c r="C361">
        <v>39</v>
      </c>
      <c r="D361">
        <v>6</v>
      </c>
      <c r="E361">
        <v>84</v>
      </c>
      <c r="F361" s="4" t="s">
        <v>483</v>
      </c>
      <c r="G361" s="4" t="s">
        <v>484</v>
      </c>
      <c r="H361" s="4" t="s">
        <v>42</v>
      </c>
      <c r="I361" s="4" t="s">
        <v>630</v>
      </c>
      <c r="J361" s="4" t="s">
        <v>43</v>
      </c>
      <c r="K361" s="4" t="s">
        <v>43</v>
      </c>
      <c r="L361" s="4" t="s">
        <v>38</v>
      </c>
      <c r="M361" s="4" t="s">
        <v>46</v>
      </c>
      <c r="N361" s="4" t="s">
        <v>53</v>
      </c>
      <c r="O361">
        <v>750000</v>
      </c>
      <c r="P361">
        <v>2</v>
      </c>
      <c r="Q361">
        <v>1</v>
      </c>
      <c r="R361">
        <v>1500000</v>
      </c>
      <c r="S361">
        <v>15000</v>
      </c>
      <c r="T361">
        <v>1485000</v>
      </c>
    </row>
    <row r="362" spans="1:20" x14ac:dyDescent="0.25">
      <c r="A362">
        <v>361</v>
      </c>
      <c r="B362" s="5">
        <v>45288</v>
      </c>
      <c r="C362">
        <v>6</v>
      </c>
      <c r="D362">
        <v>2</v>
      </c>
      <c r="E362">
        <v>26</v>
      </c>
      <c r="F362" s="4" t="s">
        <v>186</v>
      </c>
      <c r="G362" s="4" t="s">
        <v>187</v>
      </c>
      <c r="H362" s="4" t="s">
        <v>42</v>
      </c>
      <c r="I362" s="4" t="s">
        <v>622</v>
      </c>
      <c r="J362" s="4" t="s">
        <v>52</v>
      </c>
      <c r="K362" s="4" t="s">
        <v>28</v>
      </c>
      <c r="L362" s="4" t="s">
        <v>38</v>
      </c>
      <c r="M362" s="4" t="s">
        <v>23</v>
      </c>
      <c r="N362" s="4" t="s">
        <v>24</v>
      </c>
      <c r="O362">
        <v>15000</v>
      </c>
      <c r="P362">
        <v>2</v>
      </c>
      <c r="Q362">
        <v>0</v>
      </c>
      <c r="R362">
        <v>30000</v>
      </c>
      <c r="S362">
        <v>0</v>
      </c>
      <c r="T362">
        <v>30000</v>
      </c>
    </row>
    <row r="363" spans="1:20" x14ac:dyDescent="0.25">
      <c r="A363">
        <v>362</v>
      </c>
      <c r="B363" s="5">
        <v>45289</v>
      </c>
      <c r="C363">
        <v>21</v>
      </c>
      <c r="D363">
        <v>5</v>
      </c>
      <c r="E363">
        <v>98</v>
      </c>
      <c r="F363" s="4" t="s">
        <v>463</v>
      </c>
      <c r="G363" s="4" t="s">
        <v>464</v>
      </c>
      <c r="H363" s="4" t="s">
        <v>19</v>
      </c>
      <c r="I363" s="4" t="s">
        <v>623</v>
      </c>
      <c r="J363" s="4" t="s">
        <v>76</v>
      </c>
      <c r="K363" s="4" t="s">
        <v>77</v>
      </c>
      <c r="L363" s="4" t="s">
        <v>22</v>
      </c>
      <c r="M363" s="4" t="s">
        <v>39</v>
      </c>
      <c r="N363" s="4" t="s">
        <v>24</v>
      </c>
      <c r="O363">
        <v>35000</v>
      </c>
      <c r="P363">
        <v>2</v>
      </c>
      <c r="Q363">
        <v>0</v>
      </c>
      <c r="R363">
        <v>70000</v>
      </c>
      <c r="S363">
        <v>0</v>
      </c>
      <c r="T363">
        <v>70000</v>
      </c>
    </row>
    <row r="364" spans="1:20" x14ac:dyDescent="0.25">
      <c r="A364">
        <v>363</v>
      </c>
      <c r="B364" s="5">
        <v>45290</v>
      </c>
      <c r="C364">
        <v>65</v>
      </c>
      <c r="D364">
        <v>0</v>
      </c>
      <c r="E364">
        <v>113</v>
      </c>
      <c r="F364" s="4" t="s">
        <v>479</v>
      </c>
      <c r="G364" s="4" t="s">
        <v>480</v>
      </c>
      <c r="H364" s="4" t="s">
        <v>42</v>
      </c>
      <c r="I364" s="4" t="s">
        <v>610</v>
      </c>
      <c r="J364" s="4" t="s">
        <v>101</v>
      </c>
      <c r="K364" s="4" t="s">
        <v>109</v>
      </c>
      <c r="L364" s="4" t="s">
        <v>38</v>
      </c>
      <c r="M364" s="4" t="s">
        <v>69</v>
      </c>
      <c r="N364" s="4" t="s">
        <v>53</v>
      </c>
      <c r="O364">
        <v>450000</v>
      </c>
      <c r="P364">
        <v>1</v>
      </c>
      <c r="Q364">
        <v>1</v>
      </c>
      <c r="R364">
        <v>450000</v>
      </c>
      <c r="S364">
        <v>4500</v>
      </c>
      <c r="T364">
        <v>445500</v>
      </c>
    </row>
    <row r="365" spans="1:20" x14ac:dyDescent="0.25">
      <c r="A365">
        <v>364</v>
      </c>
      <c r="B365" s="5">
        <v>45291</v>
      </c>
      <c r="C365">
        <v>8</v>
      </c>
      <c r="D365">
        <v>1</v>
      </c>
      <c r="E365">
        <v>43</v>
      </c>
      <c r="F365" s="4" t="s">
        <v>112</v>
      </c>
      <c r="G365" s="4" t="s">
        <v>113</v>
      </c>
      <c r="H365" s="4" t="s">
        <v>19</v>
      </c>
      <c r="I365" s="4" t="s">
        <v>635</v>
      </c>
      <c r="J365" s="4" t="s">
        <v>76</v>
      </c>
      <c r="K365" s="4" t="s">
        <v>77</v>
      </c>
      <c r="L365" s="4" t="s">
        <v>22</v>
      </c>
      <c r="M365" s="4" t="s">
        <v>102</v>
      </c>
      <c r="N365" s="4" t="s">
        <v>57</v>
      </c>
      <c r="O365">
        <v>12000</v>
      </c>
      <c r="P365">
        <v>1</v>
      </c>
      <c r="Q365">
        <v>1</v>
      </c>
      <c r="R365">
        <v>12000</v>
      </c>
      <c r="S365">
        <v>120</v>
      </c>
      <c r="T365">
        <v>11880</v>
      </c>
    </row>
    <row r="366" spans="1:20" x14ac:dyDescent="0.25">
      <c r="A366">
        <v>365</v>
      </c>
      <c r="B366" s="5">
        <v>45292</v>
      </c>
      <c r="C366">
        <v>50</v>
      </c>
      <c r="D366">
        <v>0</v>
      </c>
      <c r="E366">
        <v>240</v>
      </c>
      <c r="F366" s="4" t="s">
        <v>485</v>
      </c>
      <c r="G366" s="4" t="s">
        <v>486</v>
      </c>
      <c r="H366" s="4" t="s">
        <v>19</v>
      </c>
      <c r="I366" s="4" t="s">
        <v>648</v>
      </c>
      <c r="J366" s="4" t="s">
        <v>20</v>
      </c>
      <c r="K366" s="4" t="s">
        <v>21</v>
      </c>
      <c r="L366" s="4" t="s">
        <v>22</v>
      </c>
      <c r="M366" s="4" t="s">
        <v>98</v>
      </c>
      <c r="N366" s="4" t="s">
        <v>151</v>
      </c>
      <c r="O366">
        <v>55000</v>
      </c>
      <c r="P366">
        <v>3</v>
      </c>
      <c r="Q366">
        <v>5</v>
      </c>
      <c r="R366">
        <v>165000</v>
      </c>
      <c r="S366">
        <v>8250</v>
      </c>
      <c r="T366">
        <v>156750</v>
      </c>
    </row>
    <row r="367" spans="1:20" x14ac:dyDescent="0.25">
      <c r="A367">
        <v>366</v>
      </c>
      <c r="B367" s="5">
        <v>45293</v>
      </c>
      <c r="C367">
        <v>61</v>
      </c>
      <c r="D367">
        <v>3</v>
      </c>
      <c r="E367">
        <v>136</v>
      </c>
      <c r="F367" s="4" t="s">
        <v>60</v>
      </c>
      <c r="G367" s="4" t="s">
        <v>61</v>
      </c>
      <c r="H367" s="4" t="s">
        <v>42</v>
      </c>
      <c r="I367" s="4" t="s">
        <v>646</v>
      </c>
      <c r="J367" s="4" t="s">
        <v>52</v>
      </c>
      <c r="K367" s="4" t="s">
        <v>28</v>
      </c>
      <c r="L367" s="4" t="s">
        <v>38</v>
      </c>
      <c r="M367" s="4" t="s">
        <v>23</v>
      </c>
      <c r="N367" s="4" t="s">
        <v>24</v>
      </c>
      <c r="O367">
        <v>15000</v>
      </c>
      <c r="P367">
        <v>3</v>
      </c>
      <c r="Q367">
        <v>5</v>
      </c>
      <c r="R367">
        <v>45000</v>
      </c>
      <c r="S367">
        <v>2250</v>
      </c>
      <c r="T367">
        <v>42750</v>
      </c>
    </row>
    <row r="368" spans="1:20" x14ac:dyDescent="0.25">
      <c r="A368">
        <v>367</v>
      </c>
      <c r="B368" s="5">
        <v>45294</v>
      </c>
      <c r="C368">
        <v>52</v>
      </c>
      <c r="D368">
        <v>0</v>
      </c>
      <c r="E368">
        <v>58</v>
      </c>
      <c r="F368" s="4" t="s">
        <v>204</v>
      </c>
      <c r="G368" s="4" t="s">
        <v>205</v>
      </c>
      <c r="H368" s="4" t="s">
        <v>19</v>
      </c>
      <c r="I368" s="4" t="s">
        <v>611</v>
      </c>
      <c r="J368" s="4" t="s">
        <v>27</v>
      </c>
      <c r="K368" s="4" t="s">
        <v>28</v>
      </c>
      <c r="L368" s="4" t="s">
        <v>38</v>
      </c>
      <c r="M368" s="4" t="s">
        <v>69</v>
      </c>
      <c r="N368" s="4" t="s">
        <v>53</v>
      </c>
      <c r="O368">
        <v>450000</v>
      </c>
      <c r="P368">
        <v>1</v>
      </c>
      <c r="Q368">
        <v>5</v>
      </c>
      <c r="R368">
        <v>450000</v>
      </c>
      <c r="S368">
        <v>22500</v>
      </c>
      <c r="T368">
        <v>427500</v>
      </c>
    </row>
    <row r="369" spans="1:20" x14ac:dyDescent="0.25">
      <c r="A369">
        <v>368</v>
      </c>
      <c r="B369" s="5">
        <v>45295</v>
      </c>
      <c r="C369">
        <v>5</v>
      </c>
      <c r="D369">
        <v>1</v>
      </c>
      <c r="E369">
        <v>43</v>
      </c>
      <c r="F369" s="4" t="s">
        <v>112</v>
      </c>
      <c r="G369" s="4" t="s">
        <v>113</v>
      </c>
      <c r="H369" s="4" t="s">
        <v>19</v>
      </c>
      <c r="I369" s="4" t="s">
        <v>635</v>
      </c>
      <c r="J369" s="4" t="s">
        <v>27</v>
      </c>
      <c r="K369" s="4" t="s">
        <v>28</v>
      </c>
      <c r="L369" s="4" t="s">
        <v>38</v>
      </c>
      <c r="M369" s="4" t="s">
        <v>62</v>
      </c>
      <c r="N369" s="4" t="s">
        <v>31</v>
      </c>
      <c r="O369">
        <v>650000</v>
      </c>
      <c r="P369">
        <v>3</v>
      </c>
      <c r="Q369">
        <v>0</v>
      </c>
      <c r="R369">
        <v>1950000</v>
      </c>
      <c r="S369">
        <v>0</v>
      </c>
      <c r="T369">
        <v>1950000</v>
      </c>
    </row>
    <row r="370" spans="1:20" x14ac:dyDescent="0.25">
      <c r="A370">
        <v>369</v>
      </c>
      <c r="B370" s="5">
        <v>45296</v>
      </c>
      <c r="C370">
        <v>22</v>
      </c>
      <c r="D370">
        <v>1</v>
      </c>
      <c r="E370">
        <v>238</v>
      </c>
      <c r="F370" s="4" t="s">
        <v>129</v>
      </c>
      <c r="G370" s="4" t="s">
        <v>130</v>
      </c>
      <c r="H370" s="4" t="s">
        <v>19</v>
      </c>
      <c r="I370" s="4" t="s">
        <v>625</v>
      </c>
      <c r="J370" s="4" t="s">
        <v>116</v>
      </c>
      <c r="K370" s="4" t="s">
        <v>37</v>
      </c>
      <c r="L370" s="4" t="s">
        <v>38</v>
      </c>
      <c r="M370" s="4" t="s">
        <v>23</v>
      </c>
      <c r="N370" s="4" t="s">
        <v>24</v>
      </c>
      <c r="O370">
        <v>15000</v>
      </c>
      <c r="P370">
        <v>1</v>
      </c>
      <c r="Q370">
        <v>0</v>
      </c>
      <c r="R370">
        <v>15000</v>
      </c>
      <c r="S370">
        <v>0</v>
      </c>
      <c r="T370">
        <v>15000</v>
      </c>
    </row>
    <row r="371" spans="1:20" x14ac:dyDescent="0.25">
      <c r="A371">
        <v>370</v>
      </c>
      <c r="B371" s="5">
        <v>45297</v>
      </c>
      <c r="C371">
        <v>63</v>
      </c>
      <c r="D371">
        <v>5</v>
      </c>
      <c r="E371">
        <v>261</v>
      </c>
      <c r="F371" s="4" t="s">
        <v>154</v>
      </c>
      <c r="G371" s="4" t="s">
        <v>155</v>
      </c>
      <c r="H371" s="4" t="s">
        <v>19</v>
      </c>
      <c r="I371" s="4" t="s">
        <v>608</v>
      </c>
      <c r="J371" s="4" t="s">
        <v>101</v>
      </c>
      <c r="K371" s="4" t="s">
        <v>109</v>
      </c>
      <c r="L371" s="4" t="s">
        <v>22</v>
      </c>
      <c r="M371" s="4" t="s">
        <v>102</v>
      </c>
      <c r="N371" s="4" t="s">
        <v>57</v>
      </c>
      <c r="O371">
        <v>12000</v>
      </c>
      <c r="P371">
        <v>1</v>
      </c>
      <c r="Q371">
        <v>0</v>
      </c>
      <c r="R371">
        <v>12000</v>
      </c>
      <c r="S371">
        <v>0</v>
      </c>
      <c r="T371">
        <v>12000</v>
      </c>
    </row>
    <row r="372" spans="1:20" x14ac:dyDescent="0.25">
      <c r="A372">
        <v>371</v>
      </c>
      <c r="B372" s="5">
        <v>45298</v>
      </c>
      <c r="C372">
        <v>67</v>
      </c>
      <c r="D372">
        <v>0</v>
      </c>
      <c r="E372">
        <v>83</v>
      </c>
      <c r="F372" s="4" t="s">
        <v>487</v>
      </c>
      <c r="G372" s="4" t="s">
        <v>488</v>
      </c>
      <c r="H372" s="4" t="s">
        <v>19</v>
      </c>
      <c r="I372" s="4" t="s">
        <v>628</v>
      </c>
      <c r="J372" s="4" t="s">
        <v>27</v>
      </c>
      <c r="K372" s="4" t="s">
        <v>28</v>
      </c>
      <c r="L372" s="4" t="s">
        <v>22</v>
      </c>
      <c r="M372" s="4" t="s">
        <v>39</v>
      </c>
      <c r="N372" s="4" t="s">
        <v>24</v>
      </c>
      <c r="O372">
        <v>35000</v>
      </c>
      <c r="P372">
        <v>1</v>
      </c>
      <c r="Q372">
        <v>0</v>
      </c>
      <c r="R372">
        <v>35000</v>
      </c>
      <c r="S372">
        <v>0</v>
      </c>
      <c r="T372">
        <v>35000</v>
      </c>
    </row>
    <row r="373" spans="1:20" x14ac:dyDescent="0.25">
      <c r="A373">
        <v>372</v>
      </c>
      <c r="B373" s="5">
        <v>45299</v>
      </c>
      <c r="C373">
        <v>14</v>
      </c>
      <c r="D373">
        <v>0</v>
      </c>
      <c r="E373">
        <v>160</v>
      </c>
      <c r="F373" s="4" t="s">
        <v>47</v>
      </c>
      <c r="G373" s="4" t="s">
        <v>48</v>
      </c>
      <c r="H373" s="4" t="s">
        <v>42</v>
      </c>
      <c r="I373" s="4" t="s">
        <v>617</v>
      </c>
      <c r="J373" s="4" t="s">
        <v>34</v>
      </c>
      <c r="K373" s="4" t="s">
        <v>272</v>
      </c>
      <c r="L373" s="4" t="s">
        <v>22</v>
      </c>
      <c r="M373" s="4" t="s">
        <v>102</v>
      </c>
      <c r="N373" s="4" t="s">
        <v>57</v>
      </c>
      <c r="O373">
        <v>12000</v>
      </c>
      <c r="P373">
        <v>3</v>
      </c>
      <c r="Q373">
        <v>0</v>
      </c>
      <c r="R373">
        <v>36000</v>
      </c>
      <c r="S373">
        <v>0</v>
      </c>
      <c r="T373">
        <v>36000</v>
      </c>
    </row>
    <row r="374" spans="1:20" x14ac:dyDescent="0.25">
      <c r="A374">
        <v>373</v>
      </c>
      <c r="B374" s="5">
        <v>45300</v>
      </c>
      <c r="C374">
        <v>30</v>
      </c>
      <c r="D374">
        <v>0</v>
      </c>
      <c r="E374">
        <v>166</v>
      </c>
      <c r="F374" s="4" t="s">
        <v>345</v>
      </c>
      <c r="G374" s="4" t="s">
        <v>346</v>
      </c>
      <c r="H374" s="4" t="s">
        <v>42</v>
      </c>
      <c r="I374" s="4" t="s">
        <v>627</v>
      </c>
      <c r="J374" s="4" t="s">
        <v>37</v>
      </c>
      <c r="K374" s="4" t="s">
        <v>37</v>
      </c>
      <c r="L374" s="4" t="s">
        <v>38</v>
      </c>
      <c r="M374" s="4" t="s">
        <v>30</v>
      </c>
      <c r="N374" s="4" t="s">
        <v>31</v>
      </c>
      <c r="O374">
        <v>700000</v>
      </c>
      <c r="P374">
        <v>3</v>
      </c>
      <c r="Q374">
        <v>5</v>
      </c>
      <c r="R374">
        <v>2100000</v>
      </c>
      <c r="S374">
        <v>105000</v>
      </c>
      <c r="T374">
        <v>1995000</v>
      </c>
    </row>
    <row r="375" spans="1:20" x14ac:dyDescent="0.25">
      <c r="A375">
        <v>374</v>
      </c>
      <c r="B375" s="5">
        <v>45301</v>
      </c>
      <c r="C375">
        <v>32</v>
      </c>
      <c r="D375">
        <v>5</v>
      </c>
      <c r="E375">
        <v>229</v>
      </c>
      <c r="F375" s="4" t="s">
        <v>293</v>
      </c>
      <c r="G375" s="4" t="s">
        <v>294</v>
      </c>
      <c r="H375" s="4" t="s">
        <v>19</v>
      </c>
      <c r="I375" s="4" t="s">
        <v>614</v>
      </c>
      <c r="J375" s="4" t="s">
        <v>76</v>
      </c>
      <c r="K375" s="4" t="s">
        <v>77</v>
      </c>
      <c r="L375" s="4" t="s">
        <v>22</v>
      </c>
      <c r="M375" s="4" t="s">
        <v>102</v>
      </c>
      <c r="N375" s="4" t="s">
        <v>57</v>
      </c>
      <c r="O375">
        <v>12000</v>
      </c>
      <c r="P375">
        <v>2</v>
      </c>
      <c r="Q375">
        <v>5</v>
      </c>
      <c r="R375">
        <v>24000</v>
      </c>
      <c r="S375">
        <v>1200</v>
      </c>
      <c r="T375">
        <v>22800</v>
      </c>
    </row>
    <row r="376" spans="1:20" x14ac:dyDescent="0.25">
      <c r="A376">
        <v>375</v>
      </c>
      <c r="B376" s="5">
        <v>45302</v>
      </c>
      <c r="C376">
        <v>40</v>
      </c>
      <c r="D376">
        <v>1</v>
      </c>
      <c r="E376">
        <v>20</v>
      </c>
      <c r="F376" s="4" t="s">
        <v>489</v>
      </c>
      <c r="G376" s="4" t="s">
        <v>490</v>
      </c>
      <c r="H376" s="4" t="s">
        <v>19</v>
      </c>
      <c r="I376" s="4" t="s">
        <v>629</v>
      </c>
      <c r="J376" s="4" t="s">
        <v>27</v>
      </c>
      <c r="K376" s="4" t="s">
        <v>28</v>
      </c>
      <c r="L376" s="4" t="s">
        <v>22</v>
      </c>
      <c r="M376" s="4" t="s">
        <v>39</v>
      </c>
      <c r="N376" s="4" t="s">
        <v>24</v>
      </c>
      <c r="O376">
        <v>35000</v>
      </c>
      <c r="P376">
        <v>1</v>
      </c>
      <c r="Q376">
        <v>0</v>
      </c>
      <c r="R376">
        <v>35000</v>
      </c>
      <c r="S376">
        <v>0</v>
      </c>
      <c r="T376">
        <v>35000</v>
      </c>
    </row>
    <row r="377" spans="1:20" x14ac:dyDescent="0.25">
      <c r="A377">
        <v>376</v>
      </c>
      <c r="B377" s="5">
        <v>45303</v>
      </c>
      <c r="C377">
        <v>15</v>
      </c>
      <c r="D377">
        <v>0</v>
      </c>
      <c r="E377">
        <v>85</v>
      </c>
      <c r="F377" s="4" t="s">
        <v>491</v>
      </c>
      <c r="G377" s="4" t="s">
        <v>492</v>
      </c>
      <c r="H377" s="4" t="s">
        <v>19</v>
      </c>
      <c r="I377" s="4" t="s">
        <v>631</v>
      </c>
      <c r="J377" s="4" t="s">
        <v>34</v>
      </c>
      <c r="K377" s="4" t="s">
        <v>272</v>
      </c>
      <c r="L377" s="4" t="s">
        <v>38</v>
      </c>
      <c r="M377" s="4" t="s">
        <v>46</v>
      </c>
      <c r="N377" s="4" t="s">
        <v>53</v>
      </c>
      <c r="O377">
        <v>750000</v>
      </c>
      <c r="P377">
        <v>2</v>
      </c>
      <c r="Q377">
        <v>0</v>
      </c>
      <c r="R377">
        <v>1500000</v>
      </c>
      <c r="S377">
        <v>0</v>
      </c>
      <c r="T377">
        <v>1500000</v>
      </c>
    </row>
    <row r="378" spans="1:20" x14ac:dyDescent="0.25">
      <c r="A378">
        <v>377</v>
      </c>
      <c r="B378" s="5">
        <v>45304</v>
      </c>
      <c r="C378">
        <v>27</v>
      </c>
      <c r="D378">
        <v>4</v>
      </c>
      <c r="E378">
        <v>184</v>
      </c>
      <c r="F378" s="4" t="s">
        <v>164</v>
      </c>
      <c r="G378" s="4" t="s">
        <v>165</v>
      </c>
      <c r="H378" s="4" t="s">
        <v>19</v>
      </c>
      <c r="I378" s="4" t="s">
        <v>609</v>
      </c>
      <c r="J378" s="4" t="s">
        <v>116</v>
      </c>
      <c r="K378" s="4" t="s">
        <v>37</v>
      </c>
      <c r="L378" s="4" t="s">
        <v>29</v>
      </c>
      <c r="M378" s="4" t="s">
        <v>56</v>
      </c>
      <c r="N378" s="4" t="s">
        <v>57</v>
      </c>
      <c r="O378">
        <v>25000</v>
      </c>
      <c r="P378">
        <v>3</v>
      </c>
      <c r="Q378">
        <v>1</v>
      </c>
      <c r="R378">
        <v>75000</v>
      </c>
      <c r="S378">
        <v>750</v>
      </c>
      <c r="T378">
        <v>74250</v>
      </c>
    </row>
    <row r="379" spans="1:20" x14ac:dyDescent="0.25">
      <c r="A379">
        <v>378</v>
      </c>
      <c r="B379" s="5">
        <v>45305</v>
      </c>
      <c r="C379">
        <v>58</v>
      </c>
      <c r="D379">
        <v>1</v>
      </c>
      <c r="E379">
        <v>142</v>
      </c>
      <c r="F379" s="4" t="s">
        <v>277</v>
      </c>
      <c r="G379" s="4" t="s">
        <v>278</v>
      </c>
      <c r="H379" s="4" t="s">
        <v>19</v>
      </c>
      <c r="I379" s="4" t="s">
        <v>650</v>
      </c>
      <c r="J379" s="4" t="s">
        <v>76</v>
      </c>
      <c r="K379" s="4" t="s">
        <v>77</v>
      </c>
      <c r="L379" s="4" t="s">
        <v>38</v>
      </c>
      <c r="M379" s="4" t="s">
        <v>23</v>
      </c>
      <c r="N379" s="4" t="s">
        <v>24</v>
      </c>
      <c r="O379">
        <v>15000</v>
      </c>
      <c r="P379">
        <v>2</v>
      </c>
      <c r="Q379">
        <v>5</v>
      </c>
      <c r="R379">
        <v>30000</v>
      </c>
      <c r="S379">
        <v>1500</v>
      </c>
      <c r="T379">
        <v>28500</v>
      </c>
    </row>
    <row r="380" spans="1:20" x14ac:dyDescent="0.25">
      <c r="A380">
        <v>379</v>
      </c>
      <c r="B380" s="5">
        <v>45306</v>
      </c>
      <c r="C380">
        <v>13</v>
      </c>
      <c r="D380">
        <v>0</v>
      </c>
      <c r="E380">
        <v>96</v>
      </c>
      <c r="F380" s="4" t="s">
        <v>493</v>
      </c>
      <c r="G380" s="4" t="s">
        <v>494</v>
      </c>
      <c r="H380" s="4" t="s">
        <v>19</v>
      </c>
      <c r="I380" s="4" t="s">
        <v>642</v>
      </c>
      <c r="J380" s="4" t="s">
        <v>27</v>
      </c>
      <c r="K380" s="4" t="s">
        <v>28</v>
      </c>
      <c r="L380" s="4" t="s">
        <v>38</v>
      </c>
      <c r="M380" s="4" t="s">
        <v>49</v>
      </c>
      <c r="N380" s="4" t="s">
        <v>31</v>
      </c>
      <c r="O380">
        <v>800000</v>
      </c>
      <c r="P380">
        <v>2</v>
      </c>
      <c r="Q380">
        <v>1</v>
      </c>
      <c r="R380">
        <v>1600000</v>
      </c>
      <c r="S380">
        <v>16000</v>
      </c>
      <c r="T380">
        <v>1584000</v>
      </c>
    </row>
    <row r="381" spans="1:20" x14ac:dyDescent="0.25">
      <c r="A381">
        <v>380</v>
      </c>
      <c r="B381" s="5">
        <v>45307</v>
      </c>
      <c r="C381">
        <v>68</v>
      </c>
      <c r="D381">
        <v>2</v>
      </c>
      <c r="E381">
        <v>270</v>
      </c>
      <c r="F381" s="4" t="s">
        <v>467</v>
      </c>
      <c r="G381" s="4" t="s">
        <v>468</v>
      </c>
      <c r="H381" s="4" t="s">
        <v>19</v>
      </c>
      <c r="I381" s="4" t="s">
        <v>622</v>
      </c>
      <c r="J381" s="4" t="s">
        <v>34</v>
      </c>
      <c r="K381" s="4" t="s">
        <v>272</v>
      </c>
      <c r="L381" s="4" t="s">
        <v>38</v>
      </c>
      <c r="M381" s="4" t="s">
        <v>23</v>
      </c>
      <c r="N381" s="4" t="s">
        <v>24</v>
      </c>
      <c r="O381">
        <v>15000</v>
      </c>
      <c r="P381">
        <v>2</v>
      </c>
      <c r="Q381">
        <v>0</v>
      </c>
      <c r="R381">
        <v>30000</v>
      </c>
      <c r="S381">
        <v>0</v>
      </c>
      <c r="T381">
        <v>30000</v>
      </c>
    </row>
    <row r="382" spans="1:20" x14ac:dyDescent="0.25">
      <c r="A382">
        <v>381</v>
      </c>
      <c r="B382" s="5">
        <v>45308</v>
      </c>
      <c r="C382">
        <v>35</v>
      </c>
      <c r="D382">
        <v>1</v>
      </c>
      <c r="E382">
        <v>230</v>
      </c>
      <c r="F382" s="4" t="s">
        <v>495</v>
      </c>
      <c r="G382" s="4" t="s">
        <v>496</v>
      </c>
      <c r="H382" s="4" t="s">
        <v>19</v>
      </c>
      <c r="I382" s="4" t="s">
        <v>636</v>
      </c>
      <c r="J382" s="4" t="s">
        <v>43</v>
      </c>
      <c r="K382" s="4" t="s">
        <v>43</v>
      </c>
      <c r="L382" s="4" t="s">
        <v>38</v>
      </c>
      <c r="M382" s="4" t="s">
        <v>56</v>
      </c>
      <c r="N382" s="4" t="s">
        <v>57</v>
      </c>
      <c r="O382">
        <v>25000</v>
      </c>
      <c r="P382">
        <v>3</v>
      </c>
      <c r="Q382">
        <v>0</v>
      </c>
      <c r="R382">
        <v>75000</v>
      </c>
      <c r="S382">
        <v>0</v>
      </c>
      <c r="T382">
        <v>75000</v>
      </c>
    </row>
    <row r="383" spans="1:20" x14ac:dyDescent="0.25">
      <c r="A383">
        <v>382</v>
      </c>
      <c r="B383" s="5">
        <v>45309</v>
      </c>
      <c r="C383">
        <v>47</v>
      </c>
      <c r="D383">
        <v>1</v>
      </c>
      <c r="E383">
        <v>22</v>
      </c>
      <c r="F383" s="4" t="s">
        <v>279</v>
      </c>
      <c r="G383" s="4" t="s">
        <v>280</v>
      </c>
      <c r="H383" s="4" t="s">
        <v>19</v>
      </c>
      <c r="I383" s="4" t="s">
        <v>613</v>
      </c>
      <c r="J383" s="4" t="s">
        <v>116</v>
      </c>
      <c r="K383" s="4" t="s">
        <v>37</v>
      </c>
      <c r="L383" s="4" t="s">
        <v>38</v>
      </c>
      <c r="M383" s="4" t="s">
        <v>46</v>
      </c>
      <c r="N383" s="4" t="s">
        <v>53</v>
      </c>
      <c r="O383">
        <v>750000</v>
      </c>
      <c r="P383">
        <v>3</v>
      </c>
      <c r="Q383">
        <v>0</v>
      </c>
      <c r="R383">
        <v>2250000</v>
      </c>
      <c r="S383">
        <v>0</v>
      </c>
      <c r="T383">
        <v>2250000</v>
      </c>
    </row>
    <row r="384" spans="1:20" x14ac:dyDescent="0.25">
      <c r="A384">
        <v>383</v>
      </c>
      <c r="B384" s="5">
        <v>45310</v>
      </c>
      <c r="C384">
        <v>38</v>
      </c>
      <c r="D384">
        <v>8</v>
      </c>
      <c r="E384">
        <v>21</v>
      </c>
      <c r="F384" s="4" t="s">
        <v>401</v>
      </c>
      <c r="G384" s="4" t="s">
        <v>402</v>
      </c>
      <c r="H384" s="4" t="s">
        <v>19</v>
      </c>
      <c r="I384" s="4" t="s">
        <v>628</v>
      </c>
      <c r="J384" s="4" t="s">
        <v>52</v>
      </c>
      <c r="K384" s="4" t="s">
        <v>28</v>
      </c>
      <c r="L384" s="4" t="s">
        <v>22</v>
      </c>
      <c r="M384" s="4" t="s">
        <v>46</v>
      </c>
      <c r="N384" s="4" t="s">
        <v>53</v>
      </c>
      <c r="O384">
        <v>750000</v>
      </c>
      <c r="P384">
        <v>2</v>
      </c>
      <c r="Q384">
        <v>0</v>
      </c>
      <c r="R384">
        <v>1500000</v>
      </c>
      <c r="S384">
        <v>0</v>
      </c>
      <c r="T384">
        <v>1500000</v>
      </c>
    </row>
    <row r="385" spans="1:20" x14ac:dyDescent="0.25">
      <c r="A385">
        <v>384</v>
      </c>
      <c r="B385" s="5">
        <v>45311</v>
      </c>
      <c r="C385">
        <v>14</v>
      </c>
      <c r="D385">
        <v>0</v>
      </c>
      <c r="E385">
        <v>112</v>
      </c>
      <c r="F385" s="4" t="s">
        <v>497</v>
      </c>
      <c r="G385" s="4" t="s">
        <v>498</v>
      </c>
      <c r="H385" s="4" t="s">
        <v>19</v>
      </c>
      <c r="I385" s="4" t="s">
        <v>641</v>
      </c>
      <c r="J385" s="4" t="s">
        <v>34</v>
      </c>
      <c r="K385" s="4" t="s">
        <v>272</v>
      </c>
      <c r="L385" s="4" t="s">
        <v>38</v>
      </c>
      <c r="M385" s="4" t="s">
        <v>23</v>
      </c>
      <c r="N385" s="4" t="s">
        <v>24</v>
      </c>
      <c r="O385">
        <v>15000</v>
      </c>
      <c r="P385">
        <v>1</v>
      </c>
      <c r="Q385">
        <v>0</v>
      </c>
      <c r="R385">
        <v>15000</v>
      </c>
      <c r="S385">
        <v>0</v>
      </c>
      <c r="T385">
        <v>15000</v>
      </c>
    </row>
    <row r="386" spans="1:20" x14ac:dyDescent="0.25">
      <c r="A386">
        <v>385</v>
      </c>
      <c r="B386" s="5">
        <v>45312</v>
      </c>
      <c r="C386">
        <v>39</v>
      </c>
      <c r="D386">
        <v>6</v>
      </c>
      <c r="E386">
        <v>26</v>
      </c>
      <c r="F386" s="4" t="s">
        <v>186</v>
      </c>
      <c r="G386" s="4" t="s">
        <v>187</v>
      </c>
      <c r="H386" s="4" t="s">
        <v>42</v>
      </c>
      <c r="I386" s="4" t="s">
        <v>622</v>
      </c>
      <c r="J386" s="4" t="s">
        <v>43</v>
      </c>
      <c r="K386" s="4" t="s">
        <v>43</v>
      </c>
      <c r="L386" s="4" t="s">
        <v>22</v>
      </c>
      <c r="M386" s="4" t="s">
        <v>49</v>
      </c>
      <c r="N386" s="4" t="s">
        <v>31</v>
      </c>
      <c r="O386">
        <v>800000</v>
      </c>
      <c r="P386">
        <v>2</v>
      </c>
      <c r="Q386">
        <v>0</v>
      </c>
      <c r="R386">
        <v>1600000</v>
      </c>
      <c r="S386">
        <v>0</v>
      </c>
      <c r="T386">
        <v>1600000</v>
      </c>
    </row>
    <row r="387" spans="1:20" x14ac:dyDescent="0.25">
      <c r="A387">
        <v>386</v>
      </c>
      <c r="B387" s="5">
        <v>45313</v>
      </c>
      <c r="C387">
        <v>45</v>
      </c>
      <c r="D387">
        <v>2</v>
      </c>
      <c r="E387">
        <v>141</v>
      </c>
      <c r="F387" s="4" t="s">
        <v>499</v>
      </c>
      <c r="G387" s="4" t="s">
        <v>500</v>
      </c>
      <c r="H387" s="4" t="s">
        <v>42</v>
      </c>
      <c r="I387" s="4" t="s">
        <v>625</v>
      </c>
      <c r="J387" s="4" t="s">
        <v>27</v>
      </c>
      <c r="K387" s="4" t="s">
        <v>28</v>
      </c>
      <c r="L387" s="4" t="s">
        <v>38</v>
      </c>
      <c r="M387" s="4" t="s">
        <v>69</v>
      </c>
      <c r="N387" s="4" t="s">
        <v>53</v>
      </c>
      <c r="O387">
        <v>450000</v>
      </c>
      <c r="P387">
        <v>3</v>
      </c>
      <c r="Q387">
        <v>5</v>
      </c>
      <c r="R387">
        <v>1350000</v>
      </c>
      <c r="S387">
        <v>67500</v>
      </c>
      <c r="T387">
        <v>1282500</v>
      </c>
    </row>
    <row r="388" spans="1:20" x14ac:dyDescent="0.25">
      <c r="A388">
        <v>387</v>
      </c>
      <c r="B388" s="5">
        <v>45314</v>
      </c>
      <c r="C388">
        <v>40</v>
      </c>
      <c r="D388">
        <v>1</v>
      </c>
      <c r="E388">
        <v>80</v>
      </c>
      <c r="F388" s="4" t="s">
        <v>198</v>
      </c>
      <c r="G388" s="4" t="s">
        <v>199</v>
      </c>
      <c r="H388" s="4" t="s">
        <v>42</v>
      </c>
      <c r="I388" s="4" t="s">
        <v>612</v>
      </c>
      <c r="J388" s="4" t="s">
        <v>27</v>
      </c>
      <c r="K388" s="4" t="s">
        <v>28</v>
      </c>
      <c r="L388" s="4" t="s">
        <v>22</v>
      </c>
      <c r="M388" s="4" t="s">
        <v>98</v>
      </c>
      <c r="N388" s="4" t="s">
        <v>151</v>
      </c>
      <c r="O388">
        <v>55000</v>
      </c>
      <c r="P388">
        <v>1</v>
      </c>
      <c r="Q388">
        <v>5</v>
      </c>
      <c r="R388">
        <v>55000</v>
      </c>
      <c r="S388">
        <v>2750</v>
      </c>
      <c r="T388">
        <v>52250</v>
      </c>
    </row>
    <row r="389" spans="1:20" x14ac:dyDescent="0.25">
      <c r="A389">
        <v>388</v>
      </c>
      <c r="B389" s="5">
        <v>45315</v>
      </c>
      <c r="C389">
        <v>7</v>
      </c>
      <c r="D389">
        <v>8</v>
      </c>
      <c r="E389">
        <v>9</v>
      </c>
      <c r="F389" s="4" t="s">
        <v>299</v>
      </c>
      <c r="G389" s="4" t="s">
        <v>300</v>
      </c>
      <c r="H389" s="4" t="s">
        <v>42</v>
      </c>
      <c r="I389" s="4" t="s">
        <v>639</v>
      </c>
      <c r="J389" s="4" t="s">
        <v>37</v>
      </c>
      <c r="K389" s="4" t="s">
        <v>37</v>
      </c>
      <c r="L389" s="4" t="s">
        <v>38</v>
      </c>
      <c r="M389" s="4" t="s">
        <v>49</v>
      </c>
      <c r="N389" s="4" t="s">
        <v>31</v>
      </c>
      <c r="O389">
        <v>800000</v>
      </c>
      <c r="P389">
        <v>3</v>
      </c>
      <c r="Q389">
        <v>0</v>
      </c>
      <c r="R389">
        <v>2400000</v>
      </c>
      <c r="S389">
        <v>0</v>
      </c>
      <c r="T389">
        <v>2400000</v>
      </c>
    </row>
    <row r="390" spans="1:20" x14ac:dyDescent="0.25">
      <c r="A390">
        <v>389</v>
      </c>
      <c r="B390" s="5">
        <v>45316</v>
      </c>
      <c r="C390">
        <v>13</v>
      </c>
      <c r="D390">
        <v>0</v>
      </c>
      <c r="E390">
        <v>252</v>
      </c>
      <c r="F390" s="4" t="s">
        <v>99</v>
      </c>
      <c r="G390" s="4" t="s">
        <v>100</v>
      </c>
      <c r="H390" s="4" t="s">
        <v>42</v>
      </c>
      <c r="I390" s="4" t="s">
        <v>637</v>
      </c>
      <c r="J390" s="4" t="s">
        <v>27</v>
      </c>
      <c r="K390" s="4" t="s">
        <v>28</v>
      </c>
      <c r="L390" s="4" t="s">
        <v>38</v>
      </c>
      <c r="M390" s="4" t="s">
        <v>98</v>
      </c>
      <c r="N390" s="4" t="s">
        <v>151</v>
      </c>
      <c r="O390">
        <v>55000</v>
      </c>
      <c r="P390">
        <v>1</v>
      </c>
      <c r="Q390">
        <v>0</v>
      </c>
      <c r="R390">
        <v>55000</v>
      </c>
      <c r="S390">
        <v>0</v>
      </c>
      <c r="T390">
        <v>55000</v>
      </c>
    </row>
    <row r="391" spans="1:20" x14ac:dyDescent="0.25">
      <c r="A391">
        <v>390</v>
      </c>
      <c r="B391" s="5">
        <v>45317</v>
      </c>
      <c r="C391">
        <v>8</v>
      </c>
      <c r="D391">
        <v>1</v>
      </c>
      <c r="E391">
        <v>211</v>
      </c>
      <c r="F391" s="4" t="s">
        <v>311</v>
      </c>
      <c r="G391" s="4" t="s">
        <v>312</v>
      </c>
      <c r="H391" s="4" t="s">
        <v>19</v>
      </c>
      <c r="I391" s="4" t="s">
        <v>620</v>
      </c>
      <c r="J391" s="4" t="s">
        <v>76</v>
      </c>
      <c r="K391" s="4" t="s">
        <v>77</v>
      </c>
      <c r="L391" s="4" t="s">
        <v>29</v>
      </c>
      <c r="M391" s="4" t="s">
        <v>56</v>
      </c>
      <c r="N391" s="4" t="s">
        <v>57</v>
      </c>
      <c r="O391">
        <v>25000</v>
      </c>
      <c r="P391">
        <v>2</v>
      </c>
      <c r="Q391">
        <v>0</v>
      </c>
      <c r="R391">
        <v>50000</v>
      </c>
      <c r="S391">
        <v>0</v>
      </c>
      <c r="T391">
        <v>50000</v>
      </c>
    </row>
    <row r="392" spans="1:20" x14ac:dyDescent="0.25">
      <c r="A392">
        <v>391</v>
      </c>
      <c r="B392" s="5">
        <v>45318</v>
      </c>
      <c r="C392">
        <v>70</v>
      </c>
      <c r="D392">
        <v>6</v>
      </c>
      <c r="E392">
        <v>167</v>
      </c>
      <c r="F392" s="4" t="s">
        <v>156</v>
      </c>
      <c r="G392" s="4" t="s">
        <v>157</v>
      </c>
      <c r="H392" s="4" t="s">
        <v>42</v>
      </c>
      <c r="I392" s="4" t="s">
        <v>621</v>
      </c>
      <c r="J392" s="4" t="s">
        <v>27</v>
      </c>
      <c r="K392" s="4" t="s">
        <v>28</v>
      </c>
      <c r="L392" s="4" t="s">
        <v>22</v>
      </c>
      <c r="M392" s="4" t="s">
        <v>98</v>
      </c>
      <c r="N392" s="4" t="s">
        <v>151</v>
      </c>
      <c r="O392">
        <v>55000</v>
      </c>
      <c r="P392">
        <v>1</v>
      </c>
      <c r="Q392">
        <v>0</v>
      </c>
      <c r="R392">
        <v>55000</v>
      </c>
      <c r="S392">
        <v>0</v>
      </c>
      <c r="T392">
        <v>55000</v>
      </c>
    </row>
    <row r="393" spans="1:20" x14ac:dyDescent="0.25">
      <c r="A393">
        <v>392</v>
      </c>
      <c r="B393" s="5">
        <v>45319</v>
      </c>
      <c r="C393">
        <v>50</v>
      </c>
      <c r="D393">
        <v>0</v>
      </c>
      <c r="E393">
        <v>109</v>
      </c>
      <c r="F393" s="4" t="s">
        <v>242</v>
      </c>
      <c r="G393" s="4" t="s">
        <v>243</v>
      </c>
      <c r="H393" s="4" t="s">
        <v>19</v>
      </c>
      <c r="I393" s="4" t="s">
        <v>623</v>
      </c>
      <c r="J393" s="4" t="s">
        <v>20</v>
      </c>
      <c r="K393" s="4" t="s">
        <v>21</v>
      </c>
      <c r="L393" s="4" t="s">
        <v>29</v>
      </c>
      <c r="M393" s="4" t="s">
        <v>23</v>
      </c>
      <c r="N393" s="4" t="s">
        <v>24</v>
      </c>
      <c r="O393">
        <v>15000</v>
      </c>
      <c r="P393">
        <v>1</v>
      </c>
      <c r="Q393">
        <v>0</v>
      </c>
      <c r="R393">
        <v>15000</v>
      </c>
      <c r="S393">
        <v>0</v>
      </c>
      <c r="T393">
        <v>15000</v>
      </c>
    </row>
    <row r="394" spans="1:20" x14ac:dyDescent="0.25">
      <c r="A394">
        <v>393</v>
      </c>
      <c r="B394" s="5">
        <v>45320</v>
      </c>
      <c r="C394">
        <v>13</v>
      </c>
      <c r="D394">
        <v>0</v>
      </c>
      <c r="E394">
        <v>137</v>
      </c>
      <c r="F394" s="4" t="s">
        <v>190</v>
      </c>
      <c r="G394" s="4" t="s">
        <v>191</v>
      </c>
      <c r="H394" s="4" t="s">
        <v>19</v>
      </c>
      <c r="I394" s="4" t="s">
        <v>631</v>
      </c>
      <c r="J394" s="4" t="s">
        <v>27</v>
      </c>
      <c r="K394" s="4" t="s">
        <v>28</v>
      </c>
      <c r="L394" s="4" t="s">
        <v>22</v>
      </c>
      <c r="M394" s="4" t="s">
        <v>46</v>
      </c>
      <c r="N394" s="4" t="s">
        <v>53</v>
      </c>
      <c r="O394">
        <v>750000</v>
      </c>
      <c r="P394">
        <v>3</v>
      </c>
      <c r="Q394">
        <v>1</v>
      </c>
      <c r="R394">
        <v>2250000</v>
      </c>
      <c r="S394">
        <v>22500</v>
      </c>
      <c r="T394">
        <v>2227500</v>
      </c>
    </row>
    <row r="395" spans="1:20" x14ac:dyDescent="0.25">
      <c r="A395">
        <v>394</v>
      </c>
      <c r="B395" s="5">
        <v>45321</v>
      </c>
      <c r="C395">
        <v>28</v>
      </c>
      <c r="D395">
        <v>5</v>
      </c>
      <c r="E395">
        <v>165</v>
      </c>
      <c r="F395" s="4" t="s">
        <v>182</v>
      </c>
      <c r="G395" s="4" t="s">
        <v>183</v>
      </c>
      <c r="H395" s="4" t="s">
        <v>42</v>
      </c>
      <c r="I395" s="4" t="s">
        <v>637</v>
      </c>
      <c r="J395" s="4" t="s">
        <v>116</v>
      </c>
      <c r="K395" s="4" t="s">
        <v>37</v>
      </c>
      <c r="L395" s="4" t="s">
        <v>29</v>
      </c>
      <c r="M395" s="4" t="s">
        <v>102</v>
      </c>
      <c r="N395" s="4" t="s">
        <v>57</v>
      </c>
      <c r="O395">
        <v>12000</v>
      </c>
      <c r="P395">
        <v>2</v>
      </c>
      <c r="Q395">
        <v>0</v>
      </c>
      <c r="R395">
        <v>24000</v>
      </c>
      <c r="S395">
        <v>0</v>
      </c>
      <c r="T395">
        <v>24000</v>
      </c>
    </row>
    <row r="396" spans="1:20" x14ac:dyDescent="0.25">
      <c r="A396">
        <v>395</v>
      </c>
      <c r="B396" s="5">
        <v>45322</v>
      </c>
      <c r="C396">
        <v>60</v>
      </c>
      <c r="D396">
        <v>1</v>
      </c>
      <c r="E396">
        <v>83</v>
      </c>
      <c r="F396" s="4" t="s">
        <v>487</v>
      </c>
      <c r="G396" s="4" t="s">
        <v>488</v>
      </c>
      <c r="H396" s="4" t="s">
        <v>19</v>
      </c>
      <c r="I396" s="4" t="s">
        <v>628</v>
      </c>
      <c r="J396" s="4" t="s">
        <v>37</v>
      </c>
      <c r="K396" s="4" t="s">
        <v>37</v>
      </c>
      <c r="L396" s="4" t="s">
        <v>29</v>
      </c>
      <c r="M396" s="4" t="s">
        <v>23</v>
      </c>
      <c r="N396" s="4" t="s">
        <v>24</v>
      </c>
      <c r="O396">
        <v>15000</v>
      </c>
      <c r="P396">
        <v>3</v>
      </c>
      <c r="Q396">
        <v>0</v>
      </c>
      <c r="R396">
        <v>45000</v>
      </c>
      <c r="S396">
        <v>0</v>
      </c>
      <c r="T396">
        <v>45000</v>
      </c>
    </row>
    <row r="397" spans="1:20" x14ac:dyDescent="0.25">
      <c r="A397">
        <v>396</v>
      </c>
      <c r="B397" s="5">
        <v>45323</v>
      </c>
      <c r="C397">
        <v>21</v>
      </c>
      <c r="D397">
        <v>5</v>
      </c>
      <c r="E397">
        <v>238</v>
      </c>
      <c r="F397" s="4" t="s">
        <v>129</v>
      </c>
      <c r="G397" s="4" t="s">
        <v>130</v>
      </c>
      <c r="H397" s="4" t="s">
        <v>19</v>
      </c>
      <c r="I397" s="4" t="s">
        <v>625</v>
      </c>
      <c r="J397" s="4" t="s">
        <v>76</v>
      </c>
      <c r="K397" s="4" t="s">
        <v>77</v>
      </c>
      <c r="L397" s="4" t="s">
        <v>38</v>
      </c>
      <c r="M397" s="4" t="s">
        <v>98</v>
      </c>
      <c r="N397" s="4" t="s">
        <v>151</v>
      </c>
      <c r="O397">
        <v>55000</v>
      </c>
      <c r="P397">
        <v>1</v>
      </c>
      <c r="Q397">
        <v>0</v>
      </c>
      <c r="R397">
        <v>55000</v>
      </c>
      <c r="S397">
        <v>0</v>
      </c>
      <c r="T397">
        <v>55000</v>
      </c>
    </row>
    <row r="398" spans="1:20" x14ac:dyDescent="0.25">
      <c r="A398">
        <v>397</v>
      </c>
      <c r="B398" s="5">
        <v>45324</v>
      </c>
      <c r="C398">
        <v>44</v>
      </c>
      <c r="D398">
        <v>7</v>
      </c>
      <c r="E398">
        <v>65</v>
      </c>
      <c r="F398" s="4" t="s">
        <v>35</v>
      </c>
      <c r="G398" s="4" t="s">
        <v>36</v>
      </c>
      <c r="H398" s="4" t="s">
        <v>19</v>
      </c>
      <c r="I398" s="4" t="s">
        <v>621</v>
      </c>
      <c r="J398" s="4" t="s">
        <v>43</v>
      </c>
      <c r="K398" s="4" t="s">
        <v>43</v>
      </c>
      <c r="L398" s="4" t="s">
        <v>22</v>
      </c>
      <c r="M398" s="4" t="s">
        <v>62</v>
      </c>
      <c r="N398" s="4" t="s">
        <v>31</v>
      </c>
      <c r="O398">
        <v>650000</v>
      </c>
      <c r="P398">
        <v>3</v>
      </c>
      <c r="Q398">
        <v>5</v>
      </c>
      <c r="R398">
        <v>1950000</v>
      </c>
      <c r="S398">
        <v>97500</v>
      </c>
      <c r="T398">
        <v>1852500</v>
      </c>
    </row>
    <row r="399" spans="1:20" x14ac:dyDescent="0.25">
      <c r="A399">
        <v>398</v>
      </c>
      <c r="B399" s="5">
        <v>45325</v>
      </c>
      <c r="C399">
        <v>64</v>
      </c>
      <c r="D399">
        <v>4</v>
      </c>
      <c r="E399">
        <v>180</v>
      </c>
      <c r="F399" s="4" t="s">
        <v>449</v>
      </c>
      <c r="G399" s="4" t="s">
        <v>450</v>
      </c>
      <c r="H399" s="4" t="s">
        <v>19</v>
      </c>
      <c r="I399" s="4" t="s">
        <v>632</v>
      </c>
      <c r="J399" s="4" t="s">
        <v>20</v>
      </c>
      <c r="K399" s="4" t="s">
        <v>21</v>
      </c>
      <c r="L399" s="4" t="s">
        <v>22</v>
      </c>
      <c r="M399" s="4" t="s">
        <v>46</v>
      </c>
      <c r="N399" s="4" t="s">
        <v>53</v>
      </c>
      <c r="O399">
        <v>750000</v>
      </c>
      <c r="P399">
        <v>3</v>
      </c>
      <c r="Q399">
        <v>0</v>
      </c>
      <c r="R399">
        <v>2250000</v>
      </c>
      <c r="S399">
        <v>0</v>
      </c>
      <c r="T399">
        <v>2250000</v>
      </c>
    </row>
    <row r="400" spans="1:20" x14ac:dyDescent="0.25">
      <c r="A400">
        <v>399</v>
      </c>
      <c r="B400" s="5">
        <v>45326</v>
      </c>
      <c r="C400">
        <v>49</v>
      </c>
      <c r="D400">
        <v>1</v>
      </c>
      <c r="E400">
        <v>192</v>
      </c>
      <c r="F400" s="4" t="s">
        <v>411</v>
      </c>
      <c r="G400" s="4" t="s">
        <v>412</v>
      </c>
      <c r="H400" s="4" t="s">
        <v>42</v>
      </c>
      <c r="I400" s="4"/>
      <c r="J400" s="4" t="s">
        <v>43</v>
      </c>
      <c r="K400" s="4" t="s">
        <v>43</v>
      </c>
      <c r="L400" s="4" t="s">
        <v>38</v>
      </c>
      <c r="M400" s="4" t="s">
        <v>56</v>
      </c>
      <c r="N400" s="4" t="s">
        <v>57</v>
      </c>
      <c r="O400">
        <v>25000</v>
      </c>
      <c r="P400">
        <v>1</v>
      </c>
      <c r="Q400">
        <v>5</v>
      </c>
      <c r="R400">
        <v>25000</v>
      </c>
      <c r="S400">
        <v>1250</v>
      </c>
      <c r="T400">
        <v>23750</v>
      </c>
    </row>
    <row r="401" spans="1:20" x14ac:dyDescent="0.25">
      <c r="A401">
        <v>400</v>
      </c>
      <c r="B401" s="5">
        <v>45327</v>
      </c>
      <c r="C401">
        <v>63</v>
      </c>
      <c r="D401">
        <v>5</v>
      </c>
      <c r="E401">
        <v>53</v>
      </c>
      <c r="F401" s="4" t="s">
        <v>234</v>
      </c>
      <c r="G401" s="4" t="s">
        <v>235</v>
      </c>
      <c r="H401" s="4" t="s">
        <v>42</v>
      </c>
      <c r="I401" s="4" t="s">
        <v>614</v>
      </c>
      <c r="J401" s="4" t="s">
        <v>101</v>
      </c>
      <c r="K401" s="4" t="s">
        <v>109</v>
      </c>
      <c r="L401" s="4" t="s">
        <v>29</v>
      </c>
      <c r="M401" s="4" t="s">
        <v>23</v>
      </c>
      <c r="N401" s="4" t="s">
        <v>24</v>
      </c>
      <c r="O401">
        <v>15000</v>
      </c>
      <c r="P401">
        <v>1</v>
      </c>
      <c r="Q401">
        <v>5</v>
      </c>
      <c r="R401">
        <v>15000</v>
      </c>
      <c r="S401">
        <v>750</v>
      </c>
      <c r="T401">
        <v>14250</v>
      </c>
    </row>
    <row r="402" spans="1:20" x14ac:dyDescent="0.25">
      <c r="A402">
        <v>401</v>
      </c>
      <c r="B402" s="5">
        <v>45328</v>
      </c>
      <c r="C402">
        <v>36</v>
      </c>
      <c r="D402">
        <v>4</v>
      </c>
      <c r="E402">
        <v>126</v>
      </c>
      <c r="F402" s="4" t="s">
        <v>501</v>
      </c>
      <c r="G402" s="4" t="s">
        <v>502</v>
      </c>
      <c r="H402" s="4" t="s">
        <v>42</v>
      </c>
      <c r="I402" s="4" t="s">
        <v>649</v>
      </c>
      <c r="J402" s="4" t="s">
        <v>101</v>
      </c>
      <c r="K402" s="4" t="s">
        <v>109</v>
      </c>
      <c r="L402" s="4" t="s">
        <v>38</v>
      </c>
      <c r="M402" s="4" t="s">
        <v>23</v>
      </c>
      <c r="N402" s="4" t="s">
        <v>24</v>
      </c>
      <c r="O402">
        <v>15000</v>
      </c>
      <c r="P402">
        <v>3</v>
      </c>
      <c r="Q402">
        <v>0</v>
      </c>
      <c r="R402">
        <v>45000</v>
      </c>
      <c r="S402">
        <v>0</v>
      </c>
      <c r="T402">
        <v>45000</v>
      </c>
    </row>
    <row r="403" spans="1:20" x14ac:dyDescent="0.25">
      <c r="A403">
        <v>402</v>
      </c>
      <c r="B403" s="5">
        <v>45329</v>
      </c>
      <c r="C403">
        <v>4</v>
      </c>
      <c r="D403">
        <v>3</v>
      </c>
      <c r="E403">
        <v>72</v>
      </c>
      <c r="F403" s="4" t="s">
        <v>262</v>
      </c>
      <c r="G403" s="4" t="s">
        <v>263</v>
      </c>
      <c r="H403" s="4" t="s">
        <v>19</v>
      </c>
      <c r="I403" s="4" t="s">
        <v>646</v>
      </c>
      <c r="J403" s="4" t="s">
        <v>52</v>
      </c>
      <c r="K403" s="4" t="s">
        <v>28</v>
      </c>
      <c r="L403" s="4" t="s">
        <v>38</v>
      </c>
      <c r="M403" s="4" t="s">
        <v>56</v>
      </c>
      <c r="N403" s="4" t="s">
        <v>57</v>
      </c>
      <c r="O403">
        <v>25000</v>
      </c>
      <c r="P403">
        <v>3</v>
      </c>
      <c r="Q403">
        <v>1</v>
      </c>
      <c r="R403">
        <v>75000</v>
      </c>
      <c r="S403">
        <v>750</v>
      </c>
      <c r="T403">
        <v>74250</v>
      </c>
    </row>
    <row r="404" spans="1:20" x14ac:dyDescent="0.25">
      <c r="A404">
        <v>403</v>
      </c>
      <c r="B404" s="5">
        <v>45330</v>
      </c>
      <c r="C404">
        <v>21</v>
      </c>
      <c r="D404">
        <v>5</v>
      </c>
      <c r="E404">
        <v>19</v>
      </c>
      <c r="F404" s="4" t="s">
        <v>503</v>
      </c>
      <c r="G404" s="4" t="s">
        <v>504</v>
      </c>
      <c r="H404" s="4" t="s">
        <v>19</v>
      </c>
      <c r="I404" s="4" t="s">
        <v>616</v>
      </c>
      <c r="J404" s="4" t="s">
        <v>76</v>
      </c>
      <c r="K404" s="4" t="s">
        <v>77</v>
      </c>
      <c r="L404" s="4" t="s">
        <v>38</v>
      </c>
      <c r="M404" s="4" t="s">
        <v>98</v>
      </c>
      <c r="N404" s="4" t="s">
        <v>151</v>
      </c>
      <c r="O404">
        <v>55000</v>
      </c>
      <c r="P404">
        <v>1</v>
      </c>
      <c r="Q404">
        <v>0</v>
      </c>
      <c r="R404">
        <v>55000</v>
      </c>
      <c r="S404">
        <v>0</v>
      </c>
      <c r="T404">
        <v>55000</v>
      </c>
    </row>
    <row r="405" spans="1:20" x14ac:dyDescent="0.25">
      <c r="A405">
        <v>404</v>
      </c>
      <c r="B405" s="5">
        <v>45331</v>
      </c>
      <c r="C405">
        <v>3</v>
      </c>
      <c r="D405">
        <v>1</v>
      </c>
      <c r="E405">
        <v>69</v>
      </c>
      <c r="F405" s="4" t="s">
        <v>188</v>
      </c>
      <c r="G405" s="4" t="s">
        <v>189</v>
      </c>
      <c r="H405" s="4" t="s">
        <v>42</v>
      </c>
      <c r="I405" s="4" t="s">
        <v>627</v>
      </c>
      <c r="J405" s="4" t="s">
        <v>37</v>
      </c>
      <c r="K405" s="4" t="s">
        <v>37</v>
      </c>
      <c r="L405" s="4" t="s">
        <v>38</v>
      </c>
      <c r="M405" s="4" t="s">
        <v>102</v>
      </c>
      <c r="N405" s="4" t="s">
        <v>57</v>
      </c>
      <c r="O405">
        <v>12000</v>
      </c>
      <c r="P405">
        <v>1</v>
      </c>
      <c r="Q405">
        <v>0</v>
      </c>
      <c r="R405">
        <v>12000</v>
      </c>
      <c r="S405">
        <v>0</v>
      </c>
      <c r="T405">
        <v>12000</v>
      </c>
    </row>
    <row r="406" spans="1:20" x14ac:dyDescent="0.25">
      <c r="A406">
        <v>405</v>
      </c>
      <c r="B406" s="5">
        <v>45332</v>
      </c>
      <c r="C406">
        <v>64</v>
      </c>
      <c r="D406">
        <v>4</v>
      </c>
      <c r="E406">
        <v>263</v>
      </c>
      <c r="F406" s="4" t="s">
        <v>166</v>
      </c>
      <c r="G406" s="4" t="s">
        <v>167</v>
      </c>
      <c r="H406" s="4" t="s">
        <v>42</v>
      </c>
      <c r="I406" s="4" t="s">
        <v>612</v>
      </c>
      <c r="J406" s="4" t="s">
        <v>20</v>
      </c>
      <c r="K406" s="4" t="s">
        <v>21</v>
      </c>
      <c r="L406" s="4" t="s">
        <v>38</v>
      </c>
      <c r="M406" s="4" t="s">
        <v>39</v>
      </c>
      <c r="N406" s="4" t="s">
        <v>24</v>
      </c>
      <c r="O406">
        <v>35000</v>
      </c>
      <c r="P406">
        <v>2</v>
      </c>
      <c r="Q406">
        <v>1</v>
      </c>
      <c r="R406">
        <v>70000</v>
      </c>
      <c r="S406">
        <v>700</v>
      </c>
      <c r="T406">
        <v>69300</v>
      </c>
    </row>
    <row r="407" spans="1:20" x14ac:dyDescent="0.25">
      <c r="A407">
        <v>406</v>
      </c>
      <c r="B407" s="5">
        <v>45333</v>
      </c>
      <c r="C407">
        <v>23</v>
      </c>
      <c r="D407">
        <v>0</v>
      </c>
      <c r="E407">
        <v>217</v>
      </c>
      <c r="F407" s="4" t="s">
        <v>505</v>
      </c>
      <c r="G407" s="4" t="s">
        <v>506</v>
      </c>
      <c r="H407" s="4" t="s">
        <v>19</v>
      </c>
      <c r="I407" s="4" t="s">
        <v>631</v>
      </c>
      <c r="J407" s="4" t="s">
        <v>52</v>
      </c>
      <c r="K407" s="4" t="s">
        <v>28</v>
      </c>
      <c r="L407" s="4" t="s">
        <v>38</v>
      </c>
      <c r="M407" s="4" t="s">
        <v>39</v>
      </c>
      <c r="N407" s="4" t="s">
        <v>24</v>
      </c>
      <c r="O407">
        <v>35000</v>
      </c>
      <c r="P407">
        <v>1</v>
      </c>
      <c r="Q407">
        <v>1</v>
      </c>
      <c r="R407">
        <v>35000</v>
      </c>
      <c r="S407">
        <v>350</v>
      </c>
      <c r="T407">
        <v>34650</v>
      </c>
    </row>
    <row r="408" spans="1:20" x14ac:dyDescent="0.25">
      <c r="A408">
        <v>407</v>
      </c>
      <c r="B408" s="5">
        <v>45334</v>
      </c>
      <c r="C408">
        <v>49</v>
      </c>
      <c r="D408">
        <v>1</v>
      </c>
      <c r="E408">
        <v>62</v>
      </c>
      <c r="F408" s="4" t="s">
        <v>329</v>
      </c>
      <c r="G408" s="4" t="s">
        <v>330</v>
      </c>
      <c r="H408" s="4" t="s">
        <v>42</v>
      </c>
      <c r="I408" s="4" t="s">
        <v>613</v>
      </c>
      <c r="J408" s="4" t="s">
        <v>43</v>
      </c>
      <c r="K408" s="4" t="s">
        <v>43</v>
      </c>
      <c r="L408" s="4" t="s">
        <v>22</v>
      </c>
      <c r="M408" s="4" t="s">
        <v>30</v>
      </c>
      <c r="N408" s="4" t="s">
        <v>31</v>
      </c>
      <c r="O408">
        <v>700000</v>
      </c>
      <c r="P408">
        <v>1</v>
      </c>
      <c r="Q408">
        <v>0</v>
      </c>
      <c r="R408">
        <v>700000</v>
      </c>
      <c r="S408">
        <v>0</v>
      </c>
      <c r="T408">
        <v>700000</v>
      </c>
    </row>
    <row r="409" spans="1:20" x14ac:dyDescent="0.25">
      <c r="A409">
        <v>408</v>
      </c>
      <c r="B409" s="5">
        <v>45335</v>
      </c>
      <c r="C409">
        <v>1</v>
      </c>
      <c r="D409">
        <v>8</v>
      </c>
      <c r="E409">
        <v>132</v>
      </c>
      <c r="F409" s="4" t="s">
        <v>94</v>
      </c>
      <c r="G409" s="4" t="s">
        <v>95</v>
      </c>
      <c r="H409" s="4" t="s">
        <v>42</v>
      </c>
      <c r="I409" s="4" t="s">
        <v>610</v>
      </c>
      <c r="J409" s="4" t="s">
        <v>34</v>
      </c>
      <c r="K409" s="4" t="s">
        <v>272</v>
      </c>
      <c r="L409" s="4" t="s">
        <v>22</v>
      </c>
      <c r="M409" s="4" t="s">
        <v>46</v>
      </c>
      <c r="N409" s="4" t="s">
        <v>53</v>
      </c>
      <c r="O409">
        <v>750000</v>
      </c>
      <c r="P409">
        <v>1</v>
      </c>
      <c r="Q409">
        <v>5</v>
      </c>
      <c r="R409">
        <v>750000</v>
      </c>
      <c r="S409">
        <v>37500</v>
      </c>
      <c r="T409">
        <v>712500</v>
      </c>
    </row>
    <row r="410" spans="1:20" x14ac:dyDescent="0.25">
      <c r="A410">
        <v>409</v>
      </c>
      <c r="B410" s="5">
        <v>45336</v>
      </c>
      <c r="C410">
        <v>60</v>
      </c>
      <c r="D410">
        <v>1</v>
      </c>
      <c r="E410">
        <v>18</v>
      </c>
      <c r="F410" s="4" t="s">
        <v>260</v>
      </c>
      <c r="G410" s="4" t="s">
        <v>261</v>
      </c>
      <c r="H410" s="4" t="s">
        <v>42</v>
      </c>
      <c r="I410" s="4" t="s">
        <v>623</v>
      </c>
      <c r="J410" s="4" t="s">
        <v>37</v>
      </c>
      <c r="K410" s="4" t="s">
        <v>37</v>
      </c>
      <c r="L410" s="4" t="s">
        <v>38</v>
      </c>
      <c r="M410" s="4" t="s">
        <v>102</v>
      </c>
      <c r="N410" s="4" t="s">
        <v>57</v>
      </c>
      <c r="O410">
        <v>12000</v>
      </c>
      <c r="P410">
        <v>1</v>
      </c>
      <c r="Q410">
        <v>1</v>
      </c>
      <c r="R410">
        <v>12000</v>
      </c>
      <c r="S410">
        <v>120</v>
      </c>
      <c r="T410">
        <v>11880</v>
      </c>
    </row>
    <row r="411" spans="1:20" x14ac:dyDescent="0.25">
      <c r="A411">
        <v>410</v>
      </c>
      <c r="B411" s="5">
        <v>45337</v>
      </c>
      <c r="C411">
        <v>10</v>
      </c>
      <c r="D411">
        <v>7</v>
      </c>
      <c r="E411">
        <v>178</v>
      </c>
      <c r="F411" s="4" t="s">
        <v>125</v>
      </c>
      <c r="G411" s="4" t="s">
        <v>126</v>
      </c>
      <c r="H411" s="4" t="s">
        <v>42</v>
      </c>
      <c r="I411" s="4" t="s">
        <v>628</v>
      </c>
      <c r="J411" s="4" t="s">
        <v>37</v>
      </c>
      <c r="K411" s="4" t="s">
        <v>37</v>
      </c>
      <c r="L411" s="4" t="s">
        <v>29</v>
      </c>
      <c r="M411" s="4" t="s">
        <v>23</v>
      </c>
      <c r="N411" s="4" t="s">
        <v>24</v>
      </c>
      <c r="O411">
        <v>15000</v>
      </c>
      <c r="P411">
        <v>3</v>
      </c>
      <c r="Q411">
        <v>0</v>
      </c>
      <c r="R411">
        <v>45000</v>
      </c>
      <c r="S411">
        <v>0</v>
      </c>
      <c r="T411">
        <v>45000</v>
      </c>
    </row>
    <row r="412" spans="1:20" x14ac:dyDescent="0.25">
      <c r="A412">
        <v>411</v>
      </c>
      <c r="B412" s="5">
        <v>45338</v>
      </c>
      <c r="C412">
        <v>10</v>
      </c>
      <c r="D412">
        <v>7</v>
      </c>
      <c r="E412">
        <v>106</v>
      </c>
      <c r="F412" s="4" t="s">
        <v>451</v>
      </c>
      <c r="G412" s="4" t="s">
        <v>452</v>
      </c>
      <c r="H412" s="4" t="s">
        <v>19</v>
      </c>
      <c r="I412" s="4" t="s">
        <v>627</v>
      </c>
      <c r="J412" s="4" t="s">
        <v>37</v>
      </c>
      <c r="K412" s="4" t="s">
        <v>37</v>
      </c>
      <c r="L412" s="4" t="s">
        <v>29</v>
      </c>
      <c r="M412" s="4" t="s">
        <v>98</v>
      </c>
      <c r="N412" s="4" t="s">
        <v>151</v>
      </c>
      <c r="O412">
        <v>55000</v>
      </c>
      <c r="P412">
        <v>1</v>
      </c>
      <c r="Q412">
        <v>0</v>
      </c>
      <c r="R412">
        <v>55000</v>
      </c>
      <c r="S412">
        <v>0</v>
      </c>
      <c r="T412">
        <v>55000</v>
      </c>
    </row>
    <row r="413" spans="1:20" x14ac:dyDescent="0.25">
      <c r="A413">
        <v>412</v>
      </c>
      <c r="B413" s="5">
        <v>45339</v>
      </c>
      <c r="C413">
        <v>59</v>
      </c>
      <c r="D413">
        <v>1</v>
      </c>
      <c r="E413">
        <v>71</v>
      </c>
      <c r="F413" s="4" t="s">
        <v>313</v>
      </c>
      <c r="G413" s="4" t="s">
        <v>314</v>
      </c>
      <c r="H413" s="4" t="s">
        <v>42</v>
      </c>
      <c r="I413" s="4" t="s">
        <v>627</v>
      </c>
      <c r="J413" s="4" t="s">
        <v>43</v>
      </c>
      <c r="K413" s="4" t="s">
        <v>43</v>
      </c>
      <c r="L413" s="4" t="s">
        <v>38</v>
      </c>
      <c r="M413" s="4" t="s">
        <v>62</v>
      </c>
      <c r="N413" s="4" t="s">
        <v>31</v>
      </c>
      <c r="O413">
        <v>650000</v>
      </c>
      <c r="P413">
        <v>1</v>
      </c>
      <c r="Q413">
        <v>1</v>
      </c>
      <c r="R413">
        <v>650000</v>
      </c>
      <c r="S413">
        <v>6500</v>
      </c>
      <c r="T413">
        <v>643500</v>
      </c>
    </row>
    <row r="414" spans="1:20" x14ac:dyDescent="0.25">
      <c r="A414">
        <v>413</v>
      </c>
      <c r="B414" s="5">
        <v>45340</v>
      </c>
      <c r="C414">
        <v>58</v>
      </c>
      <c r="D414">
        <v>1</v>
      </c>
      <c r="E414">
        <v>33</v>
      </c>
      <c r="F414" s="4" t="s">
        <v>339</v>
      </c>
      <c r="G414" s="4" t="s">
        <v>340</v>
      </c>
      <c r="H414" s="4" t="s">
        <v>19</v>
      </c>
      <c r="I414" s="4" t="s">
        <v>641</v>
      </c>
      <c r="J414" s="4" t="s">
        <v>76</v>
      </c>
      <c r="K414" s="4" t="s">
        <v>77</v>
      </c>
      <c r="L414" s="4" t="s">
        <v>38</v>
      </c>
      <c r="M414" s="4" t="s">
        <v>39</v>
      </c>
      <c r="N414" s="4" t="s">
        <v>24</v>
      </c>
      <c r="O414">
        <v>35000</v>
      </c>
      <c r="P414">
        <v>3</v>
      </c>
      <c r="Q414">
        <v>0</v>
      </c>
      <c r="R414">
        <v>105000</v>
      </c>
      <c r="S414">
        <v>0</v>
      </c>
      <c r="T414">
        <v>105000</v>
      </c>
    </row>
    <row r="415" spans="1:20" x14ac:dyDescent="0.25">
      <c r="A415">
        <v>414</v>
      </c>
      <c r="B415" s="5">
        <v>45341</v>
      </c>
      <c r="C415">
        <v>69</v>
      </c>
      <c r="D415">
        <v>1</v>
      </c>
      <c r="E415">
        <v>99</v>
      </c>
      <c r="F415" s="4" t="s">
        <v>147</v>
      </c>
      <c r="G415" s="4" t="s">
        <v>148</v>
      </c>
      <c r="H415" s="4" t="s">
        <v>19</v>
      </c>
      <c r="I415" s="4" t="s">
        <v>610</v>
      </c>
      <c r="J415" s="4" t="s">
        <v>76</v>
      </c>
      <c r="K415" s="4" t="s">
        <v>77</v>
      </c>
      <c r="L415" s="4" t="s">
        <v>22</v>
      </c>
      <c r="M415" s="4" t="s">
        <v>46</v>
      </c>
      <c r="N415" s="4" t="s">
        <v>53</v>
      </c>
      <c r="O415">
        <v>750000</v>
      </c>
      <c r="P415">
        <v>3</v>
      </c>
      <c r="Q415">
        <v>0</v>
      </c>
      <c r="R415">
        <v>2250000</v>
      </c>
      <c r="S415">
        <v>0</v>
      </c>
      <c r="T415">
        <v>2250000</v>
      </c>
    </row>
    <row r="416" spans="1:20" x14ac:dyDescent="0.25">
      <c r="A416">
        <v>415</v>
      </c>
      <c r="B416" s="5">
        <v>45342</v>
      </c>
      <c r="C416">
        <v>36</v>
      </c>
      <c r="D416">
        <v>4</v>
      </c>
      <c r="E416">
        <v>216</v>
      </c>
      <c r="F416" s="4" t="s">
        <v>244</v>
      </c>
      <c r="G416" s="4" t="s">
        <v>245</v>
      </c>
      <c r="H416" s="4" t="s">
        <v>19</v>
      </c>
      <c r="I416" s="4" t="s">
        <v>621</v>
      </c>
      <c r="J416" s="4" t="s">
        <v>101</v>
      </c>
      <c r="K416" s="4" t="s">
        <v>109</v>
      </c>
      <c r="L416" s="4" t="s">
        <v>29</v>
      </c>
      <c r="M416" s="4" t="s">
        <v>49</v>
      </c>
      <c r="N416" s="4" t="s">
        <v>31</v>
      </c>
      <c r="O416">
        <v>800000</v>
      </c>
      <c r="P416">
        <v>1</v>
      </c>
      <c r="Q416">
        <v>0</v>
      </c>
      <c r="R416">
        <v>800000</v>
      </c>
      <c r="S416">
        <v>0</v>
      </c>
      <c r="T416">
        <v>800000</v>
      </c>
    </row>
    <row r="417" spans="1:20" x14ac:dyDescent="0.25">
      <c r="A417">
        <v>416</v>
      </c>
      <c r="B417" s="5">
        <v>45343</v>
      </c>
      <c r="C417">
        <v>50</v>
      </c>
      <c r="D417">
        <v>0</v>
      </c>
      <c r="E417">
        <v>119</v>
      </c>
      <c r="F417" s="4" t="s">
        <v>417</v>
      </c>
      <c r="G417" s="4" t="s">
        <v>418</v>
      </c>
      <c r="H417" s="4" t="s">
        <v>19</v>
      </c>
      <c r="I417" s="4" t="s">
        <v>644</v>
      </c>
      <c r="J417" s="4" t="s">
        <v>20</v>
      </c>
      <c r="K417" s="4" t="s">
        <v>21</v>
      </c>
      <c r="L417" s="4" t="s">
        <v>38</v>
      </c>
      <c r="M417" s="4" t="s">
        <v>69</v>
      </c>
      <c r="N417" s="4" t="s">
        <v>53</v>
      </c>
      <c r="O417">
        <v>450000</v>
      </c>
      <c r="P417">
        <v>2</v>
      </c>
      <c r="Q417">
        <v>1</v>
      </c>
      <c r="R417">
        <v>900000</v>
      </c>
      <c r="S417">
        <v>9000</v>
      </c>
      <c r="T417">
        <v>891000</v>
      </c>
    </row>
    <row r="418" spans="1:20" x14ac:dyDescent="0.25">
      <c r="A418">
        <v>417</v>
      </c>
      <c r="B418" s="5">
        <v>45344</v>
      </c>
      <c r="C418">
        <v>27</v>
      </c>
      <c r="D418">
        <v>4</v>
      </c>
      <c r="E418">
        <v>270</v>
      </c>
      <c r="F418" s="4" t="s">
        <v>467</v>
      </c>
      <c r="G418" s="4" t="s">
        <v>468</v>
      </c>
      <c r="H418" s="4" t="s">
        <v>19</v>
      </c>
      <c r="I418" s="4" t="s">
        <v>622</v>
      </c>
      <c r="J418" s="4" t="s">
        <v>116</v>
      </c>
      <c r="K418" s="4" t="s">
        <v>37</v>
      </c>
      <c r="L418" s="4" t="s">
        <v>29</v>
      </c>
      <c r="M418" s="4" t="s">
        <v>46</v>
      </c>
      <c r="N418" s="4" t="s">
        <v>53</v>
      </c>
      <c r="O418">
        <v>750000</v>
      </c>
      <c r="P418">
        <v>3</v>
      </c>
      <c r="Q418">
        <v>1</v>
      </c>
      <c r="R418">
        <v>2250000</v>
      </c>
      <c r="S418">
        <v>22500</v>
      </c>
      <c r="T418">
        <v>2227500</v>
      </c>
    </row>
    <row r="419" spans="1:20" x14ac:dyDescent="0.25">
      <c r="A419">
        <v>418</v>
      </c>
      <c r="B419" s="5">
        <v>45345</v>
      </c>
      <c r="C419">
        <v>57</v>
      </c>
      <c r="D419">
        <v>3</v>
      </c>
      <c r="E419">
        <v>202</v>
      </c>
      <c r="F419" s="4" t="s">
        <v>44</v>
      </c>
      <c r="G419" s="4" t="s">
        <v>45</v>
      </c>
      <c r="H419" s="4" t="s">
        <v>42</v>
      </c>
      <c r="I419" s="4" t="s">
        <v>620</v>
      </c>
      <c r="J419" s="4" t="s">
        <v>52</v>
      </c>
      <c r="K419" s="4" t="s">
        <v>28</v>
      </c>
      <c r="L419" s="4" t="s">
        <v>38</v>
      </c>
      <c r="M419" s="4" t="s">
        <v>46</v>
      </c>
      <c r="N419" s="4" t="s">
        <v>53</v>
      </c>
      <c r="O419">
        <v>750000</v>
      </c>
      <c r="P419">
        <v>1</v>
      </c>
      <c r="Q419">
        <v>5</v>
      </c>
      <c r="R419">
        <v>750000</v>
      </c>
      <c r="S419">
        <v>37500</v>
      </c>
      <c r="T419">
        <v>712500</v>
      </c>
    </row>
    <row r="420" spans="1:20" x14ac:dyDescent="0.25">
      <c r="A420">
        <v>419</v>
      </c>
      <c r="B420" s="5">
        <v>45346</v>
      </c>
      <c r="C420">
        <v>25</v>
      </c>
      <c r="D420">
        <v>3</v>
      </c>
      <c r="E420">
        <v>191</v>
      </c>
      <c r="F420" s="4" t="s">
        <v>202</v>
      </c>
      <c r="G420" s="4" t="s">
        <v>203</v>
      </c>
      <c r="H420" s="4" t="s">
        <v>42</v>
      </c>
      <c r="I420" s="4" t="s">
        <v>639</v>
      </c>
      <c r="J420" s="4" t="s">
        <v>76</v>
      </c>
      <c r="K420" s="4" t="s">
        <v>77</v>
      </c>
      <c r="L420" s="4" t="s">
        <v>22</v>
      </c>
      <c r="M420" s="4" t="s">
        <v>30</v>
      </c>
      <c r="N420" s="4" t="s">
        <v>31</v>
      </c>
      <c r="O420">
        <v>700000</v>
      </c>
      <c r="P420">
        <v>2</v>
      </c>
      <c r="Q420">
        <v>0</v>
      </c>
      <c r="R420">
        <v>1400000</v>
      </c>
      <c r="S420">
        <v>0</v>
      </c>
      <c r="T420">
        <v>1400000</v>
      </c>
    </row>
    <row r="421" spans="1:20" x14ac:dyDescent="0.25">
      <c r="A421">
        <v>420</v>
      </c>
      <c r="B421" s="5">
        <v>45347</v>
      </c>
      <c r="C421">
        <v>9</v>
      </c>
      <c r="D421">
        <v>9</v>
      </c>
      <c r="E421">
        <v>203</v>
      </c>
      <c r="F421" s="4" t="s">
        <v>507</v>
      </c>
      <c r="G421" s="4" t="s">
        <v>508</v>
      </c>
      <c r="H421" s="4" t="s">
        <v>42</v>
      </c>
      <c r="I421" s="4" t="s">
        <v>619</v>
      </c>
      <c r="J421" s="4" t="s">
        <v>37</v>
      </c>
      <c r="K421" s="4" t="s">
        <v>37</v>
      </c>
      <c r="L421" s="4" t="s">
        <v>38</v>
      </c>
      <c r="M421" s="4" t="s">
        <v>46</v>
      </c>
      <c r="N421" s="4" t="s">
        <v>53</v>
      </c>
      <c r="O421">
        <v>750000</v>
      </c>
      <c r="P421">
        <v>1</v>
      </c>
      <c r="Q421">
        <v>0</v>
      </c>
      <c r="R421">
        <v>750000</v>
      </c>
      <c r="S421">
        <v>0</v>
      </c>
      <c r="T421">
        <v>750000</v>
      </c>
    </row>
    <row r="422" spans="1:20" x14ac:dyDescent="0.25">
      <c r="A422">
        <v>421</v>
      </c>
      <c r="B422" s="5">
        <v>45348</v>
      </c>
      <c r="C422">
        <v>55</v>
      </c>
      <c r="D422">
        <v>9</v>
      </c>
      <c r="E422">
        <v>109</v>
      </c>
      <c r="F422" s="4" t="s">
        <v>242</v>
      </c>
      <c r="G422" s="4" t="s">
        <v>243</v>
      </c>
      <c r="H422" s="4" t="s">
        <v>19</v>
      </c>
      <c r="I422" s="4" t="s">
        <v>623</v>
      </c>
      <c r="J422" s="4" t="s">
        <v>43</v>
      </c>
      <c r="K422" s="4" t="s">
        <v>43</v>
      </c>
      <c r="L422" s="4" t="s">
        <v>38</v>
      </c>
      <c r="M422" s="4" t="s">
        <v>98</v>
      </c>
      <c r="N422" s="4" t="s">
        <v>151</v>
      </c>
      <c r="O422">
        <v>55000</v>
      </c>
      <c r="P422">
        <v>1</v>
      </c>
      <c r="Q422">
        <v>5</v>
      </c>
      <c r="R422">
        <v>55000</v>
      </c>
      <c r="S422">
        <v>2750</v>
      </c>
      <c r="T422">
        <v>52250</v>
      </c>
    </row>
    <row r="423" spans="1:20" x14ac:dyDescent="0.25">
      <c r="A423">
        <v>422</v>
      </c>
      <c r="B423" s="5">
        <v>45349</v>
      </c>
      <c r="C423">
        <v>52</v>
      </c>
      <c r="D423">
        <v>0</v>
      </c>
      <c r="E423">
        <v>116</v>
      </c>
      <c r="F423" s="4" t="s">
        <v>256</v>
      </c>
      <c r="G423" s="4" t="s">
        <v>257</v>
      </c>
      <c r="H423" s="4" t="s">
        <v>42</v>
      </c>
      <c r="I423" s="4" t="s">
        <v>623</v>
      </c>
      <c r="J423" s="4" t="s">
        <v>27</v>
      </c>
      <c r="K423" s="4" t="s">
        <v>28</v>
      </c>
      <c r="L423" s="4" t="s">
        <v>38</v>
      </c>
      <c r="M423" s="4" t="s">
        <v>98</v>
      </c>
      <c r="N423" s="4" t="s">
        <v>151</v>
      </c>
      <c r="O423">
        <v>55000</v>
      </c>
      <c r="P423">
        <v>1</v>
      </c>
      <c r="Q423">
        <v>5</v>
      </c>
      <c r="R423">
        <v>55000</v>
      </c>
      <c r="S423">
        <v>2750</v>
      </c>
      <c r="T423">
        <v>52250</v>
      </c>
    </row>
    <row r="424" spans="1:20" x14ac:dyDescent="0.25">
      <c r="A424">
        <v>423</v>
      </c>
      <c r="B424" s="5">
        <v>45350</v>
      </c>
      <c r="C424">
        <v>9</v>
      </c>
      <c r="D424">
        <v>9</v>
      </c>
      <c r="E424">
        <v>265</v>
      </c>
      <c r="F424" s="4" t="s">
        <v>471</v>
      </c>
      <c r="G424" s="4" t="s">
        <v>472</v>
      </c>
      <c r="H424" s="4" t="s">
        <v>42</v>
      </c>
      <c r="I424" s="4" t="s">
        <v>611</v>
      </c>
      <c r="J424" s="4" t="s">
        <v>37</v>
      </c>
      <c r="K424" s="4" t="s">
        <v>37</v>
      </c>
      <c r="L424" s="4" t="s">
        <v>29</v>
      </c>
      <c r="M424" s="4" t="s">
        <v>46</v>
      </c>
      <c r="N424" s="4" t="s">
        <v>53</v>
      </c>
      <c r="O424">
        <v>750000</v>
      </c>
      <c r="P424">
        <v>2</v>
      </c>
      <c r="Q424">
        <v>0</v>
      </c>
      <c r="R424">
        <v>1500000</v>
      </c>
      <c r="S424">
        <v>0</v>
      </c>
      <c r="T424">
        <v>1500000</v>
      </c>
    </row>
    <row r="425" spans="1:20" x14ac:dyDescent="0.25">
      <c r="A425">
        <v>424</v>
      </c>
      <c r="B425" s="5">
        <v>45351</v>
      </c>
      <c r="C425">
        <v>29</v>
      </c>
      <c r="D425">
        <v>1</v>
      </c>
      <c r="E425">
        <v>3</v>
      </c>
      <c r="F425" s="4" t="s">
        <v>429</v>
      </c>
      <c r="G425" s="4" t="s">
        <v>430</v>
      </c>
      <c r="H425" s="4" t="s">
        <v>19</v>
      </c>
      <c r="I425" s="4" t="s">
        <v>617</v>
      </c>
      <c r="J425" s="4" t="s">
        <v>116</v>
      </c>
      <c r="K425" s="4" t="s">
        <v>37</v>
      </c>
      <c r="L425" s="4" t="s">
        <v>38</v>
      </c>
      <c r="M425" s="4" t="s">
        <v>49</v>
      </c>
      <c r="N425" s="4" t="s">
        <v>31</v>
      </c>
      <c r="O425">
        <v>800000</v>
      </c>
      <c r="P425">
        <v>1</v>
      </c>
      <c r="Q425">
        <v>0</v>
      </c>
      <c r="R425">
        <v>800000</v>
      </c>
      <c r="S425">
        <v>0</v>
      </c>
      <c r="T425">
        <v>800000</v>
      </c>
    </row>
    <row r="426" spans="1:20" x14ac:dyDescent="0.25">
      <c r="A426">
        <v>425</v>
      </c>
      <c r="B426" s="5">
        <v>45352</v>
      </c>
      <c r="C426">
        <v>4</v>
      </c>
      <c r="D426">
        <v>3</v>
      </c>
      <c r="E426">
        <v>126</v>
      </c>
      <c r="F426" s="4" t="s">
        <v>501</v>
      </c>
      <c r="G426" s="4" t="s">
        <v>502</v>
      </c>
      <c r="H426" s="4" t="s">
        <v>42</v>
      </c>
      <c r="I426" s="4" t="s">
        <v>649</v>
      </c>
      <c r="J426" s="4" t="s">
        <v>52</v>
      </c>
      <c r="K426" s="4" t="s">
        <v>28</v>
      </c>
      <c r="L426" s="4" t="s">
        <v>38</v>
      </c>
      <c r="M426" s="4" t="s">
        <v>69</v>
      </c>
      <c r="N426" s="4" t="s">
        <v>53</v>
      </c>
      <c r="O426">
        <v>450000</v>
      </c>
      <c r="P426">
        <v>3</v>
      </c>
      <c r="Q426">
        <v>5</v>
      </c>
      <c r="R426">
        <v>1350000</v>
      </c>
      <c r="S426">
        <v>67500</v>
      </c>
      <c r="T426">
        <v>1282500</v>
      </c>
    </row>
    <row r="427" spans="1:20" x14ac:dyDescent="0.25">
      <c r="A427">
        <v>426</v>
      </c>
      <c r="B427" s="5">
        <v>45353</v>
      </c>
      <c r="C427">
        <v>29</v>
      </c>
      <c r="D427">
        <v>1</v>
      </c>
      <c r="E427">
        <v>132</v>
      </c>
      <c r="F427" s="4" t="s">
        <v>94</v>
      </c>
      <c r="G427" s="4" t="s">
        <v>95</v>
      </c>
      <c r="H427" s="4" t="s">
        <v>42</v>
      </c>
      <c r="I427" s="4" t="s">
        <v>610</v>
      </c>
      <c r="J427" s="4" t="s">
        <v>116</v>
      </c>
      <c r="K427" s="4" t="s">
        <v>37</v>
      </c>
      <c r="L427" s="4" t="s">
        <v>38</v>
      </c>
      <c r="M427" s="4" t="s">
        <v>39</v>
      </c>
      <c r="N427" s="4" t="s">
        <v>24</v>
      </c>
      <c r="O427">
        <v>35000</v>
      </c>
      <c r="P427">
        <v>1</v>
      </c>
      <c r="Q427">
        <v>0</v>
      </c>
      <c r="R427">
        <v>35000</v>
      </c>
      <c r="S427">
        <v>0</v>
      </c>
      <c r="T427">
        <v>35000</v>
      </c>
    </row>
    <row r="428" spans="1:20" x14ac:dyDescent="0.25">
      <c r="A428">
        <v>427</v>
      </c>
      <c r="B428" s="5">
        <v>45354</v>
      </c>
      <c r="C428">
        <v>58</v>
      </c>
      <c r="D428">
        <v>1</v>
      </c>
      <c r="E428">
        <v>148</v>
      </c>
      <c r="F428" s="4" t="s">
        <v>176</v>
      </c>
      <c r="G428" s="4" t="s">
        <v>177</v>
      </c>
      <c r="H428" s="4" t="s">
        <v>19</v>
      </c>
      <c r="I428" s="4" t="s">
        <v>624</v>
      </c>
      <c r="J428" s="4" t="s">
        <v>76</v>
      </c>
      <c r="K428" s="4" t="s">
        <v>77</v>
      </c>
      <c r="L428" s="4" t="s">
        <v>22</v>
      </c>
      <c r="M428" s="4" t="s">
        <v>23</v>
      </c>
      <c r="N428" s="4" t="s">
        <v>24</v>
      </c>
      <c r="O428">
        <v>15000</v>
      </c>
      <c r="P428">
        <v>1</v>
      </c>
      <c r="Q428">
        <v>5</v>
      </c>
      <c r="R428">
        <v>15000</v>
      </c>
      <c r="S428">
        <v>750</v>
      </c>
      <c r="T428">
        <v>14250</v>
      </c>
    </row>
    <row r="429" spans="1:20" x14ac:dyDescent="0.25">
      <c r="A429">
        <v>428</v>
      </c>
      <c r="B429" s="5">
        <v>45355</v>
      </c>
      <c r="C429">
        <v>39</v>
      </c>
      <c r="D429">
        <v>6</v>
      </c>
      <c r="E429">
        <v>143</v>
      </c>
      <c r="F429" s="4" t="s">
        <v>509</v>
      </c>
      <c r="G429" s="4" t="s">
        <v>510</v>
      </c>
      <c r="H429" s="4" t="s">
        <v>42</v>
      </c>
      <c r="I429" s="4" t="s">
        <v>612</v>
      </c>
      <c r="J429" s="4" t="s">
        <v>43</v>
      </c>
      <c r="K429" s="4" t="s">
        <v>43</v>
      </c>
      <c r="L429" s="4" t="s">
        <v>22</v>
      </c>
      <c r="M429" s="4" t="s">
        <v>56</v>
      </c>
      <c r="N429" s="4" t="s">
        <v>57</v>
      </c>
      <c r="O429">
        <v>25000</v>
      </c>
      <c r="P429">
        <v>3</v>
      </c>
      <c r="Q429">
        <v>0</v>
      </c>
      <c r="R429">
        <v>75000</v>
      </c>
      <c r="S429">
        <v>0</v>
      </c>
      <c r="T429">
        <v>75000</v>
      </c>
    </row>
    <row r="430" spans="1:20" x14ac:dyDescent="0.25">
      <c r="A430">
        <v>429</v>
      </c>
      <c r="B430" s="5">
        <v>45356</v>
      </c>
      <c r="C430">
        <v>39</v>
      </c>
      <c r="D430">
        <v>6</v>
      </c>
      <c r="E430">
        <v>23</v>
      </c>
      <c r="F430" s="4" t="s">
        <v>92</v>
      </c>
      <c r="G430" s="4" t="s">
        <v>93</v>
      </c>
      <c r="H430" s="4" t="s">
        <v>42</v>
      </c>
      <c r="I430" s="4" t="s">
        <v>610</v>
      </c>
      <c r="J430" s="4" t="s">
        <v>43</v>
      </c>
      <c r="K430" s="4" t="s">
        <v>43</v>
      </c>
      <c r="L430" s="4" t="s">
        <v>38</v>
      </c>
      <c r="M430" s="4" t="s">
        <v>30</v>
      </c>
      <c r="N430" s="4" t="s">
        <v>31</v>
      </c>
      <c r="O430">
        <v>700000</v>
      </c>
      <c r="P430">
        <v>1</v>
      </c>
      <c r="Q430">
        <v>0</v>
      </c>
      <c r="R430">
        <v>700000</v>
      </c>
      <c r="S430">
        <v>0</v>
      </c>
      <c r="T430">
        <v>700000</v>
      </c>
    </row>
    <row r="431" spans="1:20" x14ac:dyDescent="0.25">
      <c r="A431">
        <v>430</v>
      </c>
      <c r="B431" s="5">
        <v>45357</v>
      </c>
      <c r="C431">
        <v>52</v>
      </c>
      <c r="D431">
        <v>0</v>
      </c>
      <c r="E431">
        <v>31</v>
      </c>
      <c r="F431" s="4" t="s">
        <v>511</v>
      </c>
      <c r="G431" s="4" t="s">
        <v>512</v>
      </c>
      <c r="H431" s="4" t="s">
        <v>19</v>
      </c>
      <c r="I431" s="4" t="s">
        <v>643</v>
      </c>
      <c r="J431" s="4" t="s">
        <v>27</v>
      </c>
      <c r="K431" s="4" t="s">
        <v>28</v>
      </c>
      <c r="L431" s="4" t="s">
        <v>38</v>
      </c>
      <c r="M431" s="4" t="s">
        <v>39</v>
      </c>
      <c r="N431" s="4" t="s">
        <v>24</v>
      </c>
      <c r="O431">
        <v>35000</v>
      </c>
      <c r="P431">
        <v>1</v>
      </c>
      <c r="Q431">
        <v>0</v>
      </c>
      <c r="R431">
        <v>35000</v>
      </c>
      <c r="S431">
        <v>0</v>
      </c>
      <c r="T431">
        <v>35000</v>
      </c>
    </row>
    <row r="432" spans="1:20" x14ac:dyDescent="0.25">
      <c r="A432">
        <v>431</v>
      </c>
      <c r="B432" s="5">
        <v>45358</v>
      </c>
      <c r="C432">
        <v>40</v>
      </c>
      <c r="D432">
        <v>1</v>
      </c>
      <c r="E432">
        <v>206</v>
      </c>
      <c r="F432" s="4" t="s">
        <v>258</v>
      </c>
      <c r="G432" s="4" t="s">
        <v>259</v>
      </c>
      <c r="H432" s="4" t="s">
        <v>42</v>
      </c>
      <c r="I432" s="4" t="s">
        <v>608</v>
      </c>
      <c r="J432" s="4" t="s">
        <v>27</v>
      </c>
      <c r="K432" s="4" t="s">
        <v>28</v>
      </c>
      <c r="L432" s="4" t="s">
        <v>29</v>
      </c>
      <c r="M432" s="4" t="s">
        <v>46</v>
      </c>
      <c r="N432" s="4" t="s">
        <v>53</v>
      </c>
      <c r="O432">
        <v>750000</v>
      </c>
      <c r="P432">
        <v>1</v>
      </c>
      <c r="Q432">
        <v>5</v>
      </c>
      <c r="R432">
        <v>750000</v>
      </c>
      <c r="S432">
        <v>37500</v>
      </c>
      <c r="T432">
        <v>712500</v>
      </c>
    </row>
    <row r="433" spans="1:20" x14ac:dyDescent="0.25">
      <c r="A433">
        <v>432</v>
      </c>
      <c r="B433" s="5">
        <v>45359</v>
      </c>
      <c r="C433">
        <v>39</v>
      </c>
      <c r="D433">
        <v>6</v>
      </c>
      <c r="E433">
        <v>189</v>
      </c>
      <c r="F433" s="4" t="s">
        <v>67</v>
      </c>
      <c r="G433" s="4" t="s">
        <v>68</v>
      </c>
      <c r="H433" s="4" t="s">
        <v>42</v>
      </c>
      <c r="I433" s="4" t="s">
        <v>616</v>
      </c>
      <c r="J433" s="4" t="s">
        <v>43</v>
      </c>
      <c r="K433" s="4" t="s">
        <v>43</v>
      </c>
      <c r="L433" s="4" t="s">
        <v>38</v>
      </c>
      <c r="M433" s="4" t="s">
        <v>30</v>
      </c>
      <c r="N433" s="4" t="s">
        <v>31</v>
      </c>
      <c r="O433">
        <v>700000</v>
      </c>
      <c r="P433">
        <v>2</v>
      </c>
      <c r="Q433">
        <v>0</v>
      </c>
      <c r="R433">
        <v>1400000</v>
      </c>
      <c r="S433">
        <v>0</v>
      </c>
      <c r="T433">
        <v>1400000</v>
      </c>
    </row>
    <row r="434" spans="1:20" x14ac:dyDescent="0.25">
      <c r="A434">
        <v>433</v>
      </c>
      <c r="B434" s="5">
        <v>45360</v>
      </c>
      <c r="C434">
        <v>67</v>
      </c>
      <c r="D434">
        <v>0</v>
      </c>
      <c r="E434">
        <v>225</v>
      </c>
      <c r="F434" s="4" t="s">
        <v>248</v>
      </c>
      <c r="G434" s="4" t="s">
        <v>249</v>
      </c>
      <c r="H434" s="4" t="s">
        <v>19</v>
      </c>
      <c r="I434" s="4" t="s">
        <v>639</v>
      </c>
      <c r="J434" s="4" t="s">
        <v>27</v>
      </c>
      <c r="K434" s="4" t="s">
        <v>28</v>
      </c>
      <c r="L434" s="4" t="s">
        <v>38</v>
      </c>
      <c r="M434" s="4" t="s">
        <v>69</v>
      </c>
      <c r="N434" s="4" t="s">
        <v>53</v>
      </c>
      <c r="O434">
        <v>450000</v>
      </c>
      <c r="P434">
        <v>1</v>
      </c>
      <c r="Q434">
        <v>5</v>
      </c>
      <c r="R434">
        <v>450000</v>
      </c>
      <c r="S434">
        <v>22500</v>
      </c>
      <c r="T434">
        <v>427500</v>
      </c>
    </row>
    <row r="435" spans="1:20" x14ac:dyDescent="0.25">
      <c r="A435">
        <v>434</v>
      </c>
      <c r="B435" s="5">
        <v>45361</v>
      </c>
      <c r="C435">
        <v>61</v>
      </c>
      <c r="D435">
        <v>3</v>
      </c>
      <c r="E435">
        <v>221</v>
      </c>
      <c r="F435" s="4" t="s">
        <v>145</v>
      </c>
      <c r="G435" s="4" t="s">
        <v>146</v>
      </c>
      <c r="H435" s="4" t="s">
        <v>42</v>
      </c>
      <c r="I435" s="4" t="s">
        <v>647</v>
      </c>
      <c r="J435" s="4" t="s">
        <v>52</v>
      </c>
      <c r="K435" s="4" t="s">
        <v>28</v>
      </c>
      <c r="L435" s="4" t="s">
        <v>22</v>
      </c>
      <c r="M435" s="4" t="s">
        <v>98</v>
      </c>
      <c r="N435" s="4" t="s">
        <v>151</v>
      </c>
      <c r="O435">
        <v>55000</v>
      </c>
      <c r="P435">
        <v>1</v>
      </c>
      <c r="Q435">
        <v>5</v>
      </c>
      <c r="R435">
        <v>55000</v>
      </c>
      <c r="S435">
        <v>2750</v>
      </c>
      <c r="T435">
        <v>52250</v>
      </c>
    </row>
    <row r="436" spans="1:20" x14ac:dyDescent="0.25">
      <c r="A436">
        <v>435</v>
      </c>
      <c r="B436" s="5">
        <v>45362</v>
      </c>
      <c r="C436">
        <v>66</v>
      </c>
      <c r="D436">
        <v>2</v>
      </c>
      <c r="E436">
        <v>208</v>
      </c>
      <c r="F436" s="4" t="s">
        <v>513</v>
      </c>
      <c r="G436" s="4" t="s">
        <v>514</v>
      </c>
      <c r="H436" s="4" t="s">
        <v>42</v>
      </c>
      <c r="I436" s="4" t="s">
        <v>620</v>
      </c>
      <c r="J436" s="4" t="s">
        <v>27</v>
      </c>
      <c r="K436" s="4" t="s">
        <v>28</v>
      </c>
      <c r="L436" s="4" t="s">
        <v>29</v>
      </c>
      <c r="M436" s="4" t="s">
        <v>98</v>
      </c>
      <c r="N436" s="4" t="s">
        <v>151</v>
      </c>
      <c r="O436">
        <v>55000</v>
      </c>
      <c r="P436">
        <v>2</v>
      </c>
      <c r="Q436">
        <v>0</v>
      </c>
      <c r="R436">
        <v>110000</v>
      </c>
      <c r="S436">
        <v>0</v>
      </c>
      <c r="T436">
        <v>110000</v>
      </c>
    </row>
    <row r="437" spans="1:20" x14ac:dyDescent="0.25">
      <c r="A437">
        <v>436</v>
      </c>
      <c r="B437" s="5">
        <v>45363</v>
      </c>
      <c r="C437">
        <v>66</v>
      </c>
      <c r="D437">
        <v>2</v>
      </c>
      <c r="E437">
        <v>27</v>
      </c>
      <c r="F437" s="4" t="s">
        <v>515</v>
      </c>
      <c r="G437" s="4" t="s">
        <v>516</v>
      </c>
      <c r="H437" s="4" t="s">
        <v>42</v>
      </c>
      <c r="I437" s="4" t="s">
        <v>638</v>
      </c>
      <c r="J437" s="4" t="s">
        <v>27</v>
      </c>
      <c r="K437" s="4" t="s">
        <v>28</v>
      </c>
      <c r="L437" s="4" t="s">
        <v>38</v>
      </c>
      <c r="M437" s="4" t="s">
        <v>39</v>
      </c>
      <c r="N437" s="4" t="s">
        <v>24</v>
      </c>
      <c r="O437">
        <v>35000</v>
      </c>
      <c r="P437">
        <v>1</v>
      </c>
      <c r="Q437">
        <v>5</v>
      </c>
      <c r="R437">
        <v>35000</v>
      </c>
      <c r="S437">
        <v>1750</v>
      </c>
      <c r="T437">
        <v>33250</v>
      </c>
    </row>
    <row r="438" spans="1:20" x14ac:dyDescent="0.25">
      <c r="A438">
        <v>437</v>
      </c>
      <c r="B438" s="5">
        <v>45364</v>
      </c>
      <c r="C438">
        <v>10</v>
      </c>
      <c r="D438">
        <v>7</v>
      </c>
      <c r="E438">
        <v>37</v>
      </c>
      <c r="F438" s="4" t="s">
        <v>250</v>
      </c>
      <c r="G438" s="4" t="s">
        <v>251</v>
      </c>
      <c r="H438" s="4" t="s">
        <v>19</v>
      </c>
      <c r="I438" s="4" t="s">
        <v>625</v>
      </c>
      <c r="J438" s="4" t="s">
        <v>37</v>
      </c>
      <c r="K438" s="4" t="s">
        <v>37</v>
      </c>
      <c r="L438" s="4" t="s">
        <v>38</v>
      </c>
      <c r="M438" s="4" t="s">
        <v>49</v>
      </c>
      <c r="N438" s="4" t="s">
        <v>31</v>
      </c>
      <c r="O438">
        <v>800000</v>
      </c>
      <c r="P438">
        <v>3</v>
      </c>
      <c r="Q438">
        <v>1</v>
      </c>
      <c r="R438">
        <v>2400000</v>
      </c>
      <c r="S438">
        <v>24000</v>
      </c>
      <c r="T438">
        <v>2376000</v>
      </c>
    </row>
    <row r="439" spans="1:20" x14ac:dyDescent="0.25">
      <c r="A439">
        <v>438</v>
      </c>
      <c r="B439" s="5">
        <v>45365</v>
      </c>
      <c r="C439">
        <v>27</v>
      </c>
      <c r="D439">
        <v>4</v>
      </c>
      <c r="E439">
        <v>185</v>
      </c>
      <c r="F439" s="4" t="s">
        <v>287</v>
      </c>
      <c r="G439" s="4" t="s">
        <v>288</v>
      </c>
      <c r="H439" s="4" t="s">
        <v>19</v>
      </c>
      <c r="I439" s="4" t="s">
        <v>613</v>
      </c>
      <c r="J439" s="4" t="s">
        <v>116</v>
      </c>
      <c r="K439" s="4" t="s">
        <v>37</v>
      </c>
      <c r="L439" s="4" t="s">
        <v>38</v>
      </c>
      <c r="M439" s="4" t="s">
        <v>62</v>
      </c>
      <c r="N439" s="4" t="s">
        <v>31</v>
      </c>
      <c r="O439">
        <v>650000</v>
      </c>
      <c r="P439">
        <v>3</v>
      </c>
      <c r="Q439">
        <v>1</v>
      </c>
      <c r="R439">
        <v>1950000</v>
      </c>
      <c r="S439">
        <v>19500</v>
      </c>
      <c r="T439">
        <v>1930500</v>
      </c>
    </row>
    <row r="440" spans="1:20" x14ac:dyDescent="0.25">
      <c r="A440">
        <v>439</v>
      </c>
      <c r="B440" s="5">
        <v>45366</v>
      </c>
      <c r="C440">
        <v>10</v>
      </c>
      <c r="D440">
        <v>7</v>
      </c>
      <c r="E440">
        <v>173</v>
      </c>
      <c r="F440" s="4" t="s">
        <v>517</v>
      </c>
      <c r="G440" s="4" t="s">
        <v>518</v>
      </c>
      <c r="H440" s="4" t="s">
        <v>19</v>
      </c>
      <c r="I440" s="4" t="s">
        <v>641</v>
      </c>
      <c r="J440" s="4" t="s">
        <v>37</v>
      </c>
      <c r="K440" s="4" t="s">
        <v>37</v>
      </c>
      <c r="L440" s="4" t="s">
        <v>29</v>
      </c>
      <c r="M440" s="4" t="s">
        <v>69</v>
      </c>
      <c r="N440" s="4" t="s">
        <v>53</v>
      </c>
      <c r="O440">
        <v>450000</v>
      </c>
      <c r="P440">
        <v>3</v>
      </c>
      <c r="Q440">
        <v>5</v>
      </c>
      <c r="R440">
        <v>1350000</v>
      </c>
      <c r="S440">
        <v>67500</v>
      </c>
      <c r="T440">
        <v>1282500</v>
      </c>
    </row>
    <row r="441" spans="1:20" x14ac:dyDescent="0.25">
      <c r="A441">
        <v>440</v>
      </c>
      <c r="B441" s="5">
        <v>45367</v>
      </c>
      <c r="C441">
        <v>16</v>
      </c>
      <c r="D441">
        <v>3</v>
      </c>
      <c r="E441">
        <v>175</v>
      </c>
      <c r="F441" s="4" t="s">
        <v>519</v>
      </c>
      <c r="G441" s="4" t="s">
        <v>520</v>
      </c>
      <c r="H441" s="4" t="s">
        <v>19</v>
      </c>
      <c r="I441" s="4" t="s">
        <v>623</v>
      </c>
      <c r="J441" s="4" t="s">
        <v>20</v>
      </c>
      <c r="K441" s="4" t="s">
        <v>21</v>
      </c>
      <c r="L441" s="4" t="s">
        <v>38</v>
      </c>
      <c r="M441" s="4" t="s">
        <v>23</v>
      </c>
      <c r="N441" s="4" t="s">
        <v>24</v>
      </c>
      <c r="O441">
        <v>15000</v>
      </c>
      <c r="P441">
        <v>1</v>
      </c>
      <c r="Q441">
        <v>0</v>
      </c>
      <c r="R441">
        <v>15000</v>
      </c>
      <c r="S441">
        <v>0</v>
      </c>
      <c r="T441">
        <v>15000</v>
      </c>
    </row>
    <row r="442" spans="1:20" x14ac:dyDescent="0.25">
      <c r="A442">
        <v>441</v>
      </c>
      <c r="B442" s="5">
        <v>45368</v>
      </c>
      <c r="C442">
        <v>41</v>
      </c>
      <c r="D442">
        <v>4</v>
      </c>
      <c r="E442">
        <v>1</v>
      </c>
      <c r="F442" s="4" t="s">
        <v>218</v>
      </c>
      <c r="G442" s="4" t="s">
        <v>219</v>
      </c>
      <c r="H442" s="4" t="s">
        <v>19</v>
      </c>
      <c r="I442" s="4" t="s">
        <v>609</v>
      </c>
      <c r="J442" s="4" t="s">
        <v>43</v>
      </c>
      <c r="K442" s="4" t="s">
        <v>43</v>
      </c>
      <c r="L442" s="4" t="s">
        <v>29</v>
      </c>
      <c r="M442" s="4" t="s">
        <v>49</v>
      </c>
      <c r="N442" s="4" t="s">
        <v>31</v>
      </c>
      <c r="O442">
        <v>800000</v>
      </c>
      <c r="P442">
        <v>1</v>
      </c>
      <c r="Q442">
        <v>5</v>
      </c>
      <c r="R442">
        <v>800000</v>
      </c>
      <c r="S442">
        <v>40000</v>
      </c>
      <c r="T442">
        <v>760000</v>
      </c>
    </row>
    <row r="443" spans="1:20" x14ac:dyDescent="0.25">
      <c r="A443">
        <v>442</v>
      </c>
      <c r="B443" s="5">
        <v>45369</v>
      </c>
      <c r="C443">
        <v>57</v>
      </c>
      <c r="D443">
        <v>3</v>
      </c>
      <c r="E443">
        <v>75</v>
      </c>
      <c r="F443" s="4" t="s">
        <v>240</v>
      </c>
      <c r="G443" s="4" t="s">
        <v>241</v>
      </c>
      <c r="H443" s="4" t="s">
        <v>19</v>
      </c>
      <c r="I443" s="4" t="s">
        <v>612</v>
      </c>
      <c r="J443" s="4" t="s">
        <v>52</v>
      </c>
      <c r="K443" s="4" t="s">
        <v>28</v>
      </c>
      <c r="L443" s="4" t="s">
        <v>38</v>
      </c>
      <c r="M443" s="4" t="s">
        <v>39</v>
      </c>
      <c r="N443" s="4" t="s">
        <v>24</v>
      </c>
      <c r="O443">
        <v>35000</v>
      </c>
      <c r="P443">
        <v>3</v>
      </c>
      <c r="Q443">
        <v>0</v>
      </c>
      <c r="R443">
        <v>105000</v>
      </c>
      <c r="S443">
        <v>0</v>
      </c>
      <c r="T443">
        <v>105000</v>
      </c>
    </row>
    <row r="444" spans="1:20" x14ac:dyDescent="0.25">
      <c r="A444">
        <v>443</v>
      </c>
      <c r="B444" s="5">
        <v>45370</v>
      </c>
      <c r="C444">
        <v>4</v>
      </c>
      <c r="D444">
        <v>3</v>
      </c>
      <c r="E444">
        <v>61</v>
      </c>
      <c r="F444" s="4" t="s">
        <v>222</v>
      </c>
      <c r="G444" s="4" t="s">
        <v>223</v>
      </c>
      <c r="H444" s="4" t="s">
        <v>42</v>
      </c>
      <c r="I444" s="4" t="s">
        <v>639</v>
      </c>
      <c r="J444" s="4" t="s">
        <v>52</v>
      </c>
      <c r="K444" s="4" t="s">
        <v>28</v>
      </c>
      <c r="L444" s="4" t="s">
        <v>22</v>
      </c>
      <c r="M444" s="4" t="s">
        <v>56</v>
      </c>
      <c r="N444" s="4" t="s">
        <v>57</v>
      </c>
      <c r="O444">
        <v>25000</v>
      </c>
      <c r="P444">
        <v>2</v>
      </c>
      <c r="Q444">
        <v>1</v>
      </c>
      <c r="R444">
        <v>50000</v>
      </c>
      <c r="S444">
        <v>500</v>
      </c>
      <c r="T444">
        <v>49500</v>
      </c>
    </row>
    <row r="445" spans="1:20" x14ac:dyDescent="0.25">
      <c r="A445">
        <v>444</v>
      </c>
      <c r="B445" s="5">
        <v>45371</v>
      </c>
      <c r="C445">
        <v>57</v>
      </c>
      <c r="D445">
        <v>3</v>
      </c>
      <c r="E445">
        <v>191</v>
      </c>
      <c r="F445" s="4" t="s">
        <v>202</v>
      </c>
      <c r="G445" s="4" t="s">
        <v>203</v>
      </c>
      <c r="H445" s="4" t="s">
        <v>42</v>
      </c>
      <c r="I445" s="4" t="s">
        <v>639</v>
      </c>
      <c r="J445" s="4" t="s">
        <v>52</v>
      </c>
      <c r="K445" s="4" t="s">
        <v>28</v>
      </c>
      <c r="L445" s="4" t="s">
        <v>22</v>
      </c>
      <c r="M445" s="4" t="s">
        <v>102</v>
      </c>
      <c r="N445" s="4" t="s">
        <v>57</v>
      </c>
      <c r="O445">
        <v>12000</v>
      </c>
      <c r="P445">
        <v>3</v>
      </c>
      <c r="Q445">
        <v>1</v>
      </c>
      <c r="R445">
        <v>36000</v>
      </c>
      <c r="S445">
        <v>360</v>
      </c>
      <c r="T445">
        <v>35640</v>
      </c>
    </row>
    <row r="446" spans="1:20" x14ac:dyDescent="0.25">
      <c r="A446">
        <v>445</v>
      </c>
      <c r="B446" s="5">
        <v>45372</v>
      </c>
      <c r="C446">
        <v>46</v>
      </c>
      <c r="D446">
        <v>5</v>
      </c>
      <c r="E446">
        <v>139</v>
      </c>
      <c r="F446" s="4" t="s">
        <v>413</v>
      </c>
      <c r="G446" s="4" t="s">
        <v>414</v>
      </c>
      <c r="H446" s="4" t="s">
        <v>19</v>
      </c>
      <c r="I446" s="4" t="s">
        <v>621</v>
      </c>
      <c r="J446" s="4" t="s">
        <v>84</v>
      </c>
      <c r="K446" s="4" t="s">
        <v>85</v>
      </c>
      <c r="L446" s="4" t="s">
        <v>38</v>
      </c>
      <c r="M446" s="4" t="s">
        <v>30</v>
      </c>
      <c r="N446" s="4" t="s">
        <v>31</v>
      </c>
      <c r="O446">
        <v>700000</v>
      </c>
      <c r="P446">
        <v>3</v>
      </c>
      <c r="Q446">
        <v>5</v>
      </c>
      <c r="R446">
        <v>2100000</v>
      </c>
      <c r="S446">
        <v>105000</v>
      </c>
      <c r="T446">
        <v>1995000</v>
      </c>
    </row>
    <row r="447" spans="1:20" x14ac:dyDescent="0.25">
      <c r="A447">
        <v>446</v>
      </c>
      <c r="B447" s="5">
        <v>45373</v>
      </c>
      <c r="C447">
        <v>54</v>
      </c>
      <c r="D447">
        <v>9</v>
      </c>
      <c r="E447">
        <v>232</v>
      </c>
      <c r="F447" s="4" t="s">
        <v>90</v>
      </c>
      <c r="G447" s="4" t="s">
        <v>91</v>
      </c>
      <c r="H447" s="4" t="s">
        <v>19</v>
      </c>
      <c r="I447" s="4" t="s">
        <v>625</v>
      </c>
      <c r="J447" s="4" t="s">
        <v>27</v>
      </c>
      <c r="K447" s="4" t="s">
        <v>28</v>
      </c>
      <c r="L447" s="4" t="s">
        <v>29</v>
      </c>
      <c r="M447" s="4" t="s">
        <v>30</v>
      </c>
      <c r="N447" s="4" t="s">
        <v>31</v>
      </c>
      <c r="O447">
        <v>700000</v>
      </c>
      <c r="P447">
        <v>2</v>
      </c>
      <c r="Q447">
        <v>1</v>
      </c>
      <c r="R447">
        <v>1400000</v>
      </c>
      <c r="S447">
        <v>14000</v>
      </c>
      <c r="T447">
        <v>1386000</v>
      </c>
    </row>
    <row r="448" spans="1:20" x14ac:dyDescent="0.25">
      <c r="A448">
        <v>447</v>
      </c>
      <c r="B448" s="5">
        <v>45374</v>
      </c>
      <c r="C448">
        <v>27</v>
      </c>
      <c r="D448">
        <v>4</v>
      </c>
      <c r="E448">
        <v>115</v>
      </c>
      <c r="F448" s="4" t="s">
        <v>521</v>
      </c>
      <c r="G448" s="4" t="s">
        <v>522</v>
      </c>
      <c r="H448" s="4" t="s">
        <v>42</v>
      </c>
      <c r="I448" s="4" t="s">
        <v>613</v>
      </c>
      <c r="J448" s="4" t="s">
        <v>116</v>
      </c>
      <c r="K448" s="4" t="s">
        <v>37</v>
      </c>
      <c r="L448" s="4" t="s">
        <v>22</v>
      </c>
      <c r="M448" s="4" t="s">
        <v>102</v>
      </c>
      <c r="N448" s="4" t="s">
        <v>57</v>
      </c>
      <c r="O448">
        <v>12000</v>
      </c>
      <c r="P448">
        <v>1</v>
      </c>
      <c r="Q448">
        <v>5</v>
      </c>
      <c r="R448">
        <v>12000</v>
      </c>
      <c r="S448">
        <v>600</v>
      </c>
      <c r="T448">
        <v>11400</v>
      </c>
    </row>
    <row r="449" spans="1:20" x14ac:dyDescent="0.25">
      <c r="A449">
        <v>448</v>
      </c>
      <c r="B449" s="5">
        <v>45375</v>
      </c>
      <c r="C449">
        <v>42</v>
      </c>
      <c r="D449">
        <v>4</v>
      </c>
      <c r="E449">
        <v>215</v>
      </c>
      <c r="F449" s="4" t="s">
        <v>371</v>
      </c>
      <c r="G449" s="4" t="s">
        <v>372</v>
      </c>
      <c r="H449" s="4" t="s">
        <v>19</v>
      </c>
      <c r="I449" s="4" t="s">
        <v>611</v>
      </c>
      <c r="J449" s="4" t="s">
        <v>27</v>
      </c>
      <c r="K449" s="4" t="s">
        <v>28</v>
      </c>
      <c r="L449" s="4" t="s">
        <v>38</v>
      </c>
      <c r="M449" s="4" t="s">
        <v>23</v>
      </c>
      <c r="N449" s="4" t="s">
        <v>24</v>
      </c>
      <c r="O449">
        <v>15000</v>
      </c>
      <c r="P449">
        <v>3</v>
      </c>
      <c r="Q449">
        <v>5</v>
      </c>
      <c r="R449">
        <v>45000</v>
      </c>
      <c r="S449">
        <v>2250</v>
      </c>
      <c r="T449">
        <v>42750</v>
      </c>
    </row>
    <row r="450" spans="1:20" x14ac:dyDescent="0.25">
      <c r="A450">
        <v>449</v>
      </c>
      <c r="B450" s="5">
        <v>45376</v>
      </c>
      <c r="C450">
        <v>38</v>
      </c>
      <c r="D450">
        <v>8</v>
      </c>
      <c r="E450">
        <v>201</v>
      </c>
      <c r="F450" s="4" t="s">
        <v>295</v>
      </c>
      <c r="G450" s="4" t="s">
        <v>296</v>
      </c>
      <c r="H450" s="4" t="s">
        <v>42</v>
      </c>
      <c r="I450" s="4" t="s">
        <v>627</v>
      </c>
      <c r="J450" s="4" t="s">
        <v>52</v>
      </c>
      <c r="K450" s="4" t="s">
        <v>28</v>
      </c>
      <c r="L450" s="4" t="s">
        <v>38</v>
      </c>
      <c r="M450" s="4" t="s">
        <v>102</v>
      </c>
      <c r="N450" s="4" t="s">
        <v>57</v>
      </c>
      <c r="O450">
        <v>12000</v>
      </c>
      <c r="P450">
        <v>2</v>
      </c>
      <c r="Q450">
        <v>0</v>
      </c>
      <c r="R450">
        <v>24000</v>
      </c>
      <c r="S450">
        <v>0</v>
      </c>
      <c r="T450">
        <v>24000</v>
      </c>
    </row>
    <row r="451" spans="1:20" x14ac:dyDescent="0.25">
      <c r="A451">
        <v>450</v>
      </c>
      <c r="B451" s="5">
        <v>45377</v>
      </c>
      <c r="C451">
        <v>36</v>
      </c>
      <c r="D451">
        <v>4</v>
      </c>
      <c r="E451">
        <v>47</v>
      </c>
      <c r="F451" s="4" t="s">
        <v>441</v>
      </c>
      <c r="G451" s="4" t="s">
        <v>442</v>
      </c>
      <c r="H451" s="4" t="s">
        <v>19</v>
      </c>
      <c r="I451" s="4" t="s">
        <v>639</v>
      </c>
      <c r="J451" s="4" t="s">
        <v>101</v>
      </c>
      <c r="K451" s="4" t="s">
        <v>109</v>
      </c>
      <c r="L451" s="4" t="s">
        <v>22</v>
      </c>
      <c r="M451" s="4" t="s">
        <v>23</v>
      </c>
      <c r="N451" s="4" t="s">
        <v>24</v>
      </c>
      <c r="O451">
        <v>15000</v>
      </c>
      <c r="P451">
        <v>1</v>
      </c>
      <c r="Q451">
        <v>0</v>
      </c>
      <c r="R451">
        <v>15000</v>
      </c>
      <c r="S451">
        <v>0</v>
      </c>
      <c r="T451">
        <v>15000</v>
      </c>
    </row>
    <row r="452" spans="1:20" x14ac:dyDescent="0.25">
      <c r="A452">
        <v>451</v>
      </c>
      <c r="B452" s="5">
        <v>45378</v>
      </c>
      <c r="C452">
        <v>36</v>
      </c>
      <c r="D452">
        <v>4</v>
      </c>
      <c r="E452">
        <v>26</v>
      </c>
      <c r="F452" s="4" t="s">
        <v>186</v>
      </c>
      <c r="G452" s="4" t="s">
        <v>187</v>
      </c>
      <c r="H452" s="4" t="s">
        <v>42</v>
      </c>
      <c r="I452" s="4" t="s">
        <v>622</v>
      </c>
      <c r="J452" s="4" t="s">
        <v>101</v>
      </c>
      <c r="K452" s="4" t="s">
        <v>109</v>
      </c>
      <c r="L452" s="4" t="s">
        <v>29</v>
      </c>
      <c r="M452" s="4" t="s">
        <v>49</v>
      </c>
      <c r="N452" s="4" t="s">
        <v>31</v>
      </c>
      <c r="O452">
        <v>800000</v>
      </c>
      <c r="P452">
        <v>2</v>
      </c>
      <c r="Q452">
        <v>0</v>
      </c>
      <c r="R452">
        <v>1600000</v>
      </c>
      <c r="S452">
        <v>0</v>
      </c>
      <c r="T452">
        <v>1600000</v>
      </c>
    </row>
    <row r="453" spans="1:20" x14ac:dyDescent="0.25">
      <c r="A453">
        <v>452</v>
      </c>
      <c r="B453" s="5">
        <v>45379</v>
      </c>
      <c r="C453">
        <v>62</v>
      </c>
      <c r="D453">
        <v>4</v>
      </c>
      <c r="E453">
        <v>18</v>
      </c>
      <c r="F453" s="4" t="s">
        <v>260</v>
      </c>
      <c r="G453" s="4" t="s">
        <v>261</v>
      </c>
      <c r="H453" s="4" t="s">
        <v>42</v>
      </c>
      <c r="I453" s="4" t="s">
        <v>623</v>
      </c>
      <c r="J453" s="4" t="s">
        <v>76</v>
      </c>
      <c r="K453" s="4" t="s">
        <v>77</v>
      </c>
      <c r="L453" s="4" t="s">
        <v>22</v>
      </c>
      <c r="M453" s="4" t="s">
        <v>30</v>
      </c>
      <c r="N453" s="4" t="s">
        <v>31</v>
      </c>
      <c r="O453">
        <v>700000</v>
      </c>
      <c r="P453">
        <v>1</v>
      </c>
      <c r="Q453">
        <v>5</v>
      </c>
      <c r="R453">
        <v>700000</v>
      </c>
      <c r="S453">
        <v>35000</v>
      </c>
      <c r="T453">
        <v>665000</v>
      </c>
    </row>
    <row r="454" spans="1:20" x14ac:dyDescent="0.25">
      <c r="A454">
        <v>453</v>
      </c>
      <c r="B454" s="5">
        <v>45380</v>
      </c>
      <c r="C454">
        <v>67</v>
      </c>
      <c r="D454">
        <v>0</v>
      </c>
      <c r="E454">
        <v>6</v>
      </c>
      <c r="F454" s="4" t="s">
        <v>224</v>
      </c>
      <c r="G454" s="4" t="s">
        <v>225</v>
      </c>
      <c r="H454" s="4" t="s">
        <v>42</v>
      </c>
      <c r="I454" s="4" t="s">
        <v>613</v>
      </c>
      <c r="J454" s="4" t="s">
        <v>27</v>
      </c>
      <c r="K454" s="4" t="s">
        <v>28</v>
      </c>
      <c r="L454" s="4" t="s">
        <v>22</v>
      </c>
      <c r="M454" s="4" t="s">
        <v>69</v>
      </c>
      <c r="N454" s="4" t="s">
        <v>53</v>
      </c>
      <c r="O454">
        <v>450000</v>
      </c>
      <c r="P454">
        <v>3</v>
      </c>
      <c r="Q454">
        <v>1</v>
      </c>
      <c r="R454">
        <v>1350000</v>
      </c>
      <c r="S454">
        <v>13500</v>
      </c>
      <c r="T454">
        <v>1336500</v>
      </c>
    </row>
    <row r="455" spans="1:20" x14ac:dyDescent="0.25">
      <c r="A455">
        <v>454</v>
      </c>
      <c r="B455" s="5">
        <v>45381</v>
      </c>
      <c r="C455">
        <v>20</v>
      </c>
      <c r="D455">
        <v>0</v>
      </c>
      <c r="E455">
        <v>36</v>
      </c>
      <c r="F455" s="4" t="s">
        <v>353</v>
      </c>
      <c r="G455" s="4" t="s">
        <v>354</v>
      </c>
      <c r="H455" s="4" t="s">
        <v>42</v>
      </c>
      <c r="I455" s="4" t="s">
        <v>618</v>
      </c>
      <c r="J455" s="4" t="s">
        <v>20</v>
      </c>
      <c r="K455" s="4" t="s">
        <v>21</v>
      </c>
      <c r="L455" s="4" t="s">
        <v>22</v>
      </c>
      <c r="M455" s="4" t="s">
        <v>102</v>
      </c>
      <c r="N455" s="4" t="s">
        <v>57</v>
      </c>
      <c r="O455">
        <v>12000</v>
      </c>
      <c r="P455">
        <v>3</v>
      </c>
      <c r="Q455">
        <v>1</v>
      </c>
      <c r="R455">
        <v>36000</v>
      </c>
      <c r="S455">
        <v>360</v>
      </c>
      <c r="T455">
        <v>35640</v>
      </c>
    </row>
    <row r="456" spans="1:20" x14ac:dyDescent="0.25">
      <c r="A456">
        <v>455</v>
      </c>
      <c r="B456" s="5">
        <v>45382</v>
      </c>
      <c r="C456">
        <v>22</v>
      </c>
      <c r="D456">
        <v>1</v>
      </c>
      <c r="E456">
        <v>60</v>
      </c>
      <c r="F456" s="4" t="s">
        <v>307</v>
      </c>
      <c r="G456" s="4" t="s">
        <v>308</v>
      </c>
      <c r="H456" s="4" t="s">
        <v>19</v>
      </c>
      <c r="I456" s="4" t="s">
        <v>637</v>
      </c>
      <c r="J456" s="4" t="s">
        <v>116</v>
      </c>
      <c r="K456" s="4" t="s">
        <v>37</v>
      </c>
      <c r="L456" s="4" t="s">
        <v>29</v>
      </c>
      <c r="M456" s="4" t="s">
        <v>56</v>
      </c>
      <c r="N456" s="4" t="s">
        <v>57</v>
      </c>
      <c r="O456">
        <v>25000</v>
      </c>
      <c r="P456">
        <v>2</v>
      </c>
      <c r="Q456">
        <v>1</v>
      </c>
      <c r="R456">
        <v>50000</v>
      </c>
      <c r="S456">
        <v>500</v>
      </c>
      <c r="T456">
        <v>49500</v>
      </c>
    </row>
    <row r="457" spans="1:20" x14ac:dyDescent="0.25">
      <c r="A457">
        <v>456</v>
      </c>
      <c r="B457" s="5">
        <v>45383</v>
      </c>
      <c r="C457">
        <v>12</v>
      </c>
      <c r="D457">
        <v>0</v>
      </c>
      <c r="E457">
        <v>79</v>
      </c>
      <c r="F457" s="4" t="s">
        <v>523</v>
      </c>
      <c r="G457" s="4" t="s">
        <v>524</v>
      </c>
      <c r="H457" s="4" t="s">
        <v>42</v>
      </c>
      <c r="I457" s="4" t="s">
        <v>622</v>
      </c>
      <c r="J457" s="4" t="s">
        <v>116</v>
      </c>
      <c r="K457" s="4" t="s">
        <v>37</v>
      </c>
      <c r="L457" s="4" t="s">
        <v>22</v>
      </c>
      <c r="M457" s="4" t="s">
        <v>98</v>
      </c>
      <c r="N457" s="4" t="s">
        <v>151</v>
      </c>
      <c r="O457">
        <v>55000</v>
      </c>
      <c r="P457">
        <v>3</v>
      </c>
      <c r="Q457">
        <v>0</v>
      </c>
      <c r="R457">
        <v>165000</v>
      </c>
      <c r="S457">
        <v>0</v>
      </c>
      <c r="T457">
        <v>165000</v>
      </c>
    </row>
    <row r="458" spans="1:20" x14ac:dyDescent="0.25">
      <c r="A458">
        <v>457</v>
      </c>
      <c r="B458" s="5">
        <v>45384</v>
      </c>
      <c r="C458">
        <v>34</v>
      </c>
      <c r="D458">
        <v>1</v>
      </c>
      <c r="E458">
        <v>145</v>
      </c>
      <c r="F458" s="4" t="s">
        <v>196</v>
      </c>
      <c r="G458" s="4" t="s">
        <v>197</v>
      </c>
      <c r="H458" s="4" t="s">
        <v>19</v>
      </c>
      <c r="I458" s="4" t="s">
        <v>623</v>
      </c>
      <c r="J458" s="4" t="s">
        <v>52</v>
      </c>
      <c r="K458" s="4" t="s">
        <v>28</v>
      </c>
      <c r="L458" s="4" t="s">
        <v>38</v>
      </c>
      <c r="M458" s="4" t="s">
        <v>30</v>
      </c>
      <c r="N458" s="4" t="s">
        <v>31</v>
      </c>
      <c r="O458">
        <v>700000</v>
      </c>
      <c r="P458">
        <v>3</v>
      </c>
      <c r="Q458">
        <v>5</v>
      </c>
      <c r="R458">
        <v>2100000</v>
      </c>
      <c r="S458">
        <v>105000</v>
      </c>
      <c r="T458">
        <v>1995000</v>
      </c>
    </row>
    <row r="459" spans="1:20" x14ac:dyDescent="0.25">
      <c r="A459">
        <v>458</v>
      </c>
      <c r="B459" s="5">
        <v>45385</v>
      </c>
      <c r="C459">
        <v>4</v>
      </c>
      <c r="D459">
        <v>3</v>
      </c>
      <c r="E459">
        <v>220</v>
      </c>
      <c r="F459" s="4" t="s">
        <v>103</v>
      </c>
      <c r="G459" s="4" t="s">
        <v>104</v>
      </c>
      <c r="H459" s="4" t="s">
        <v>19</v>
      </c>
      <c r="I459" s="4" t="s">
        <v>610</v>
      </c>
      <c r="J459" s="4" t="s">
        <v>52</v>
      </c>
      <c r="K459" s="4" t="s">
        <v>28</v>
      </c>
      <c r="L459" s="4" t="s">
        <v>22</v>
      </c>
      <c r="M459" s="4" t="s">
        <v>30</v>
      </c>
      <c r="N459" s="4" t="s">
        <v>31</v>
      </c>
      <c r="O459">
        <v>700000</v>
      </c>
      <c r="P459">
        <v>2</v>
      </c>
      <c r="Q459">
        <v>0</v>
      </c>
      <c r="R459">
        <v>1400000</v>
      </c>
      <c r="S459">
        <v>0</v>
      </c>
      <c r="T459">
        <v>1400000</v>
      </c>
    </row>
    <row r="460" spans="1:20" x14ac:dyDescent="0.25">
      <c r="A460">
        <v>459</v>
      </c>
      <c r="B460" s="5">
        <v>45386</v>
      </c>
      <c r="C460">
        <v>24</v>
      </c>
      <c r="D460">
        <v>3</v>
      </c>
      <c r="E460">
        <v>189</v>
      </c>
      <c r="F460" s="4" t="s">
        <v>67</v>
      </c>
      <c r="G460" s="4" t="s">
        <v>68</v>
      </c>
      <c r="H460" s="4" t="s">
        <v>42</v>
      </c>
      <c r="I460" s="4" t="s">
        <v>616</v>
      </c>
      <c r="J460" s="4" t="s">
        <v>84</v>
      </c>
      <c r="K460" s="4" t="s">
        <v>85</v>
      </c>
      <c r="L460" s="4" t="s">
        <v>22</v>
      </c>
      <c r="M460" s="4" t="s">
        <v>56</v>
      </c>
      <c r="N460" s="4" t="s">
        <v>57</v>
      </c>
      <c r="O460">
        <v>25000</v>
      </c>
      <c r="P460">
        <v>3</v>
      </c>
      <c r="Q460">
        <v>0</v>
      </c>
      <c r="R460">
        <v>75000</v>
      </c>
      <c r="S460">
        <v>0</v>
      </c>
      <c r="T460">
        <v>75000</v>
      </c>
    </row>
    <row r="461" spans="1:20" x14ac:dyDescent="0.25">
      <c r="A461">
        <v>460</v>
      </c>
      <c r="B461" s="5">
        <v>45387</v>
      </c>
      <c r="C461">
        <v>4</v>
      </c>
      <c r="D461">
        <v>3</v>
      </c>
      <c r="E461">
        <v>160</v>
      </c>
      <c r="F461" s="4" t="s">
        <v>47</v>
      </c>
      <c r="G461" s="4" t="s">
        <v>48</v>
      </c>
      <c r="H461" s="4" t="s">
        <v>42</v>
      </c>
      <c r="I461" s="4" t="s">
        <v>617</v>
      </c>
      <c r="J461" s="4" t="s">
        <v>52</v>
      </c>
      <c r="K461" s="4" t="s">
        <v>28</v>
      </c>
      <c r="L461" s="4" t="s">
        <v>38</v>
      </c>
      <c r="M461" s="4" t="s">
        <v>46</v>
      </c>
      <c r="N461" s="4" t="s">
        <v>53</v>
      </c>
      <c r="O461">
        <v>750000</v>
      </c>
      <c r="P461">
        <v>1</v>
      </c>
      <c r="Q461">
        <v>0</v>
      </c>
      <c r="R461">
        <v>750000</v>
      </c>
      <c r="S461">
        <v>0</v>
      </c>
      <c r="T461">
        <v>750000</v>
      </c>
    </row>
    <row r="462" spans="1:20" x14ac:dyDescent="0.25">
      <c r="A462">
        <v>461</v>
      </c>
      <c r="B462" s="5">
        <v>45388</v>
      </c>
      <c r="C462">
        <v>42</v>
      </c>
      <c r="D462">
        <v>4</v>
      </c>
      <c r="E462">
        <v>177</v>
      </c>
      <c r="F462" s="4" t="s">
        <v>335</v>
      </c>
      <c r="G462" s="4" t="s">
        <v>336</v>
      </c>
      <c r="H462" s="4" t="s">
        <v>42</v>
      </c>
      <c r="I462" s="4" t="s">
        <v>610</v>
      </c>
      <c r="J462" s="4" t="s">
        <v>27</v>
      </c>
      <c r="K462" s="4" t="s">
        <v>28</v>
      </c>
      <c r="L462" s="4" t="s">
        <v>29</v>
      </c>
      <c r="M462" s="4" t="s">
        <v>46</v>
      </c>
      <c r="N462" s="4" t="s">
        <v>53</v>
      </c>
      <c r="O462">
        <v>750000</v>
      </c>
      <c r="P462">
        <v>1</v>
      </c>
      <c r="Q462">
        <v>0</v>
      </c>
      <c r="R462">
        <v>750000</v>
      </c>
      <c r="S462">
        <v>0</v>
      </c>
      <c r="T462">
        <v>750000</v>
      </c>
    </row>
    <row r="463" spans="1:20" x14ac:dyDescent="0.25">
      <c r="A463">
        <v>462</v>
      </c>
      <c r="B463" s="5">
        <v>45389</v>
      </c>
      <c r="C463">
        <v>40</v>
      </c>
      <c r="D463">
        <v>1</v>
      </c>
      <c r="E463">
        <v>221</v>
      </c>
      <c r="F463" s="4" t="s">
        <v>145</v>
      </c>
      <c r="G463" s="4" t="s">
        <v>146</v>
      </c>
      <c r="H463" s="4" t="s">
        <v>42</v>
      </c>
      <c r="I463" s="4" t="s">
        <v>647</v>
      </c>
      <c r="J463" s="4" t="s">
        <v>27</v>
      </c>
      <c r="K463" s="4" t="s">
        <v>28</v>
      </c>
      <c r="L463" s="4" t="s">
        <v>38</v>
      </c>
      <c r="M463" s="4" t="s">
        <v>69</v>
      </c>
      <c r="N463" s="4" t="s">
        <v>53</v>
      </c>
      <c r="O463">
        <v>450000</v>
      </c>
      <c r="P463">
        <v>1</v>
      </c>
      <c r="Q463">
        <v>0</v>
      </c>
      <c r="R463">
        <v>450000</v>
      </c>
      <c r="S463">
        <v>0</v>
      </c>
      <c r="T463">
        <v>450000</v>
      </c>
    </row>
    <row r="464" spans="1:20" x14ac:dyDescent="0.25">
      <c r="A464">
        <v>463</v>
      </c>
      <c r="B464" s="5">
        <v>45390</v>
      </c>
      <c r="C464">
        <v>35</v>
      </c>
      <c r="D464">
        <v>1</v>
      </c>
      <c r="E464">
        <v>83</v>
      </c>
      <c r="F464" s="4" t="s">
        <v>487</v>
      </c>
      <c r="G464" s="4" t="s">
        <v>488</v>
      </c>
      <c r="H464" s="4" t="s">
        <v>19</v>
      </c>
      <c r="I464" s="4" t="s">
        <v>628</v>
      </c>
      <c r="J464" s="4" t="s">
        <v>43</v>
      </c>
      <c r="K464" s="4" t="s">
        <v>43</v>
      </c>
      <c r="L464" s="4" t="s">
        <v>38</v>
      </c>
      <c r="M464" s="4" t="s">
        <v>62</v>
      </c>
      <c r="N464" s="4" t="s">
        <v>31</v>
      </c>
      <c r="O464">
        <v>650000</v>
      </c>
      <c r="P464">
        <v>2</v>
      </c>
      <c r="Q464">
        <v>0</v>
      </c>
      <c r="R464">
        <v>1300000</v>
      </c>
      <c r="S464">
        <v>0</v>
      </c>
      <c r="T464">
        <v>1300000</v>
      </c>
    </row>
    <row r="465" spans="1:20" x14ac:dyDescent="0.25">
      <c r="A465">
        <v>464</v>
      </c>
      <c r="B465" s="5">
        <v>45391</v>
      </c>
      <c r="C465">
        <v>66</v>
      </c>
      <c r="D465">
        <v>2</v>
      </c>
      <c r="E465">
        <v>89</v>
      </c>
      <c r="F465" s="4" t="s">
        <v>525</v>
      </c>
      <c r="G465" s="4" t="s">
        <v>526</v>
      </c>
      <c r="H465" s="4" t="s">
        <v>19</v>
      </c>
      <c r="I465" s="4" t="s">
        <v>630</v>
      </c>
      <c r="J465" s="4" t="s">
        <v>27</v>
      </c>
      <c r="K465" s="4" t="s">
        <v>28</v>
      </c>
      <c r="L465" s="4" t="s">
        <v>22</v>
      </c>
      <c r="M465" s="4" t="s">
        <v>62</v>
      </c>
      <c r="N465" s="4" t="s">
        <v>31</v>
      </c>
      <c r="O465">
        <v>650000</v>
      </c>
      <c r="P465">
        <v>3</v>
      </c>
      <c r="Q465">
        <v>5</v>
      </c>
      <c r="R465">
        <v>1950000</v>
      </c>
      <c r="S465">
        <v>97500</v>
      </c>
      <c r="T465">
        <v>1852500</v>
      </c>
    </row>
    <row r="466" spans="1:20" x14ac:dyDescent="0.25">
      <c r="A466">
        <v>465</v>
      </c>
      <c r="B466" s="5">
        <v>45392</v>
      </c>
      <c r="C466">
        <v>32</v>
      </c>
      <c r="D466">
        <v>5</v>
      </c>
      <c r="E466">
        <v>244</v>
      </c>
      <c r="F466" s="4" t="s">
        <v>443</v>
      </c>
      <c r="G466" s="4" t="s">
        <v>444</v>
      </c>
      <c r="H466" s="4" t="s">
        <v>19</v>
      </c>
      <c r="I466" s="4" t="s">
        <v>648</v>
      </c>
      <c r="J466" s="4" t="s">
        <v>76</v>
      </c>
      <c r="K466" s="4" t="s">
        <v>77</v>
      </c>
      <c r="L466" s="4" t="s">
        <v>38</v>
      </c>
      <c r="M466" s="4" t="s">
        <v>102</v>
      </c>
      <c r="N466" s="4" t="s">
        <v>57</v>
      </c>
      <c r="O466">
        <v>12000</v>
      </c>
      <c r="P466">
        <v>1</v>
      </c>
      <c r="Q466">
        <v>1</v>
      </c>
      <c r="R466">
        <v>12000</v>
      </c>
      <c r="S466">
        <v>120</v>
      </c>
      <c r="T466">
        <v>11880</v>
      </c>
    </row>
    <row r="467" spans="1:20" x14ac:dyDescent="0.25">
      <c r="A467">
        <v>466</v>
      </c>
      <c r="B467" s="5">
        <v>45393</v>
      </c>
      <c r="C467">
        <v>60</v>
      </c>
      <c r="D467">
        <v>1</v>
      </c>
      <c r="E467">
        <v>239</v>
      </c>
      <c r="F467" s="4" t="s">
        <v>141</v>
      </c>
      <c r="G467" s="4" t="s">
        <v>142</v>
      </c>
      <c r="H467" s="4" t="s">
        <v>42</v>
      </c>
      <c r="I467" s="4" t="s">
        <v>643</v>
      </c>
      <c r="J467" s="4" t="s">
        <v>37</v>
      </c>
      <c r="K467" s="4" t="s">
        <v>37</v>
      </c>
      <c r="L467" s="4" t="s">
        <v>22</v>
      </c>
      <c r="M467" s="4" t="s">
        <v>23</v>
      </c>
      <c r="N467" s="4" t="s">
        <v>24</v>
      </c>
      <c r="O467">
        <v>15000</v>
      </c>
      <c r="P467">
        <v>1</v>
      </c>
      <c r="Q467">
        <v>1</v>
      </c>
      <c r="R467">
        <v>15000</v>
      </c>
      <c r="S467">
        <v>150</v>
      </c>
      <c r="T467">
        <v>14850</v>
      </c>
    </row>
    <row r="468" spans="1:20" x14ac:dyDescent="0.25">
      <c r="A468">
        <v>467</v>
      </c>
      <c r="B468" s="5">
        <v>45394</v>
      </c>
      <c r="C468">
        <v>11</v>
      </c>
      <c r="D468">
        <v>0</v>
      </c>
      <c r="E468">
        <v>125</v>
      </c>
      <c r="F468" s="4" t="s">
        <v>206</v>
      </c>
      <c r="G468" s="4" t="s">
        <v>207</v>
      </c>
      <c r="H468" s="4" t="s">
        <v>42</v>
      </c>
      <c r="I468" s="4" t="s">
        <v>617</v>
      </c>
      <c r="J468" s="4" t="s">
        <v>43</v>
      </c>
      <c r="K468" s="4" t="s">
        <v>43</v>
      </c>
      <c r="L468" s="4" t="s">
        <v>38</v>
      </c>
      <c r="M468" s="4" t="s">
        <v>102</v>
      </c>
      <c r="N468" s="4" t="s">
        <v>57</v>
      </c>
      <c r="O468">
        <v>12000</v>
      </c>
      <c r="P468">
        <v>1</v>
      </c>
      <c r="Q468">
        <v>0</v>
      </c>
      <c r="R468">
        <v>12000</v>
      </c>
      <c r="S468">
        <v>0</v>
      </c>
      <c r="T468">
        <v>12000</v>
      </c>
    </row>
    <row r="469" spans="1:20" x14ac:dyDescent="0.25">
      <c r="A469">
        <v>468</v>
      </c>
      <c r="B469" s="5">
        <v>45395</v>
      </c>
      <c r="C469">
        <v>57</v>
      </c>
      <c r="D469">
        <v>3</v>
      </c>
      <c r="E469">
        <v>259</v>
      </c>
      <c r="F469" s="4" t="s">
        <v>389</v>
      </c>
      <c r="G469" s="4" t="s">
        <v>390</v>
      </c>
      <c r="H469" s="4" t="s">
        <v>42</v>
      </c>
      <c r="I469" s="4" t="s">
        <v>609</v>
      </c>
      <c r="J469" s="4" t="s">
        <v>52</v>
      </c>
      <c r="K469" s="4" t="s">
        <v>28</v>
      </c>
      <c r="L469" s="4" t="s">
        <v>38</v>
      </c>
      <c r="M469" s="4" t="s">
        <v>46</v>
      </c>
      <c r="N469" s="4" t="s">
        <v>53</v>
      </c>
      <c r="O469">
        <v>750000</v>
      </c>
      <c r="P469">
        <v>2</v>
      </c>
      <c r="Q469">
        <v>0</v>
      </c>
      <c r="R469">
        <v>1500000</v>
      </c>
      <c r="S469">
        <v>0</v>
      </c>
      <c r="T469">
        <v>1500000</v>
      </c>
    </row>
    <row r="470" spans="1:20" x14ac:dyDescent="0.25">
      <c r="A470">
        <v>469</v>
      </c>
      <c r="B470" s="5">
        <v>45396</v>
      </c>
      <c r="C470">
        <v>7</v>
      </c>
      <c r="D470">
        <v>8</v>
      </c>
      <c r="E470">
        <v>234</v>
      </c>
      <c r="F470" s="4" t="s">
        <v>78</v>
      </c>
      <c r="G470" s="4" t="s">
        <v>79</v>
      </c>
      <c r="H470" s="4" t="s">
        <v>42</v>
      </c>
      <c r="I470" s="4" t="s">
        <v>643</v>
      </c>
      <c r="J470" s="4" t="s">
        <v>37</v>
      </c>
      <c r="K470" s="4" t="s">
        <v>37</v>
      </c>
      <c r="L470" s="4" t="s">
        <v>29</v>
      </c>
      <c r="M470" s="4" t="s">
        <v>69</v>
      </c>
      <c r="N470" s="4" t="s">
        <v>53</v>
      </c>
      <c r="O470">
        <v>450000</v>
      </c>
      <c r="P470">
        <v>2</v>
      </c>
      <c r="Q470">
        <v>5</v>
      </c>
      <c r="R470">
        <v>900000</v>
      </c>
      <c r="S470">
        <v>45000</v>
      </c>
      <c r="T470">
        <v>855000</v>
      </c>
    </row>
    <row r="471" spans="1:20" x14ac:dyDescent="0.25">
      <c r="A471">
        <v>470</v>
      </c>
      <c r="B471" s="5">
        <v>45397</v>
      </c>
      <c r="C471">
        <v>28</v>
      </c>
      <c r="D471">
        <v>5</v>
      </c>
      <c r="E471">
        <v>250</v>
      </c>
      <c r="F471" s="4" t="s">
        <v>473</v>
      </c>
      <c r="G471" s="4" t="s">
        <v>474</v>
      </c>
      <c r="H471" s="4" t="s">
        <v>42</v>
      </c>
      <c r="I471" s="4" t="s">
        <v>627</v>
      </c>
      <c r="J471" s="4" t="s">
        <v>116</v>
      </c>
      <c r="K471" s="4" t="s">
        <v>37</v>
      </c>
      <c r="L471" s="4" t="s">
        <v>38</v>
      </c>
      <c r="M471" s="4" t="s">
        <v>23</v>
      </c>
      <c r="N471" s="4" t="s">
        <v>24</v>
      </c>
      <c r="O471">
        <v>15000</v>
      </c>
      <c r="P471">
        <v>1</v>
      </c>
      <c r="Q471">
        <v>0</v>
      </c>
      <c r="R471">
        <v>15000</v>
      </c>
      <c r="S471">
        <v>0</v>
      </c>
      <c r="T471">
        <v>15000</v>
      </c>
    </row>
    <row r="472" spans="1:20" x14ac:dyDescent="0.25">
      <c r="A472">
        <v>471</v>
      </c>
      <c r="B472" s="5">
        <v>45398</v>
      </c>
      <c r="C472">
        <v>11</v>
      </c>
      <c r="D472">
        <v>0</v>
      </c>
      <c r="E472">
        <v>123</v>
      </c>
      <c r="F472" s="4" t="s">
        <v>158</v>
      </c>
      <c r="G472" s="4" t="s">
        <v>159</v>
      </c>
      <c r="H472" s="4" t="s">
        <v>19</v>
      </c>
      <c r="I472" s="4" t="s">
        <v>633</v>
      </c>
      <c r="J472" s="4" t="s">
        <v>43</v>
      </c>
      <c r="K472" s="4" t="s">
        <v>43</v>
      </c>
      <c r="L472" s="4" t="s">
        <v>29</v>
      </c>
      <c r="M472" s="4" t="s">
        <v>49</v>
      </c>
      <c r="N472" s="4" t="s">
        <v>31</v>
      </c>
      <c r="O472">
        <v>800000</v>
      </c>
      <c r="P472">
        <v>2</v>
      </c>
      <c r="Q472">
        <v>1</v>
      </c>
      <c r="R472">
        <v>1600000</v>
      </c>
      <c r="S472">
        <v>16000</v>
      </c>
      <c r="T472">
        <v>1584000</v>
      </c>
    </row>
    <row r="473" spans="1:20" x14ac:dyDescent="0.25">
      <c r="A473">
        <v>472</v>
      </c>
      <c r="B473" s="5">
        <v>45399</v>
      </c>
      <c r="C473">
        <v>19</v>
      </c>
      <c r="D473">
        <v>5</v>
      </c>
      <c r="E473">
        <v>11</v>
      </c>
      <c r="F473" s="4" t="s">
        <v>527</v>
      </c>
      <c r="G473" s="4" t="s">
        <v>528</v>
      </c>
      <c r="H473" s="4" t="s">
        <v>19</v>
      </c>
      <c r="I473" s="4" t="s">
        <v>639</v>
      </c>
      <c r="J473" s="4" t="s">
        <v>20</v>
      </c>
      <c r="K473" s="4" t="s">
        <v>21</v>
      </c>
      <c r="L473" s="4" t="s">
        <v>38</v>
      </c>
      <c r="M473" s="4" t="s">
        <v>98</v>
      </c>
      <c r="N473" s="4" t="s">
        <v>151</v>
      </c>
      <c r="O473">
        <v>55000</v>
      </c>
      <c r="P473">
        <v>3</v>
      </c>
      <c r="Q473">
        <v>0</v>
      </c>
      <c r="R473">
        <v>165000</v>
      </c>
      <c r="S473">
        <v>0</v>
      </c>
      <c r="T473">
        <v>165000</v>
      </c>
    </row>
    <row r="474" spans="1:20" x14ac:dyDescent="0.25">
      <c r="A474">
        <v>473</v>
      </c>
      <c r="B474" s="5">
        <v>45400</v>
      </c>
      <c r="C474">
        <v>58</v>
      </c>
      <c r="D474">
        <v>1</v>
      </c>
      <c r="E474">
        <v>135</v>
      </c>
      <c r="F474" s="4" t="s">
        <v>423</v>
      </c>
      <c r="G474" s="4" t="s">
        <v>424</v>
      </c>
      <c r="H474" s="4" t="s">
        <v>42</v>
      </c>
      <c r="I474" s="4" t="s">
        <v>608</v>
      </c>
      <c r="J474" s="4" t="s">
        <v>76</v>
      </c>
      <c r="K474" s="4" t="s">
        <v>77</v>
      </c>
      <c r="L474" s="4" t="s">
        <v>38</v>
      </c>
      <c r="M474" s="4" t="s">
        <v>102</v>
      </c>
      <c r="N474" s="4" t="s">
        <v>57</v>
      </c>
      <c r="O474">
        <v>12000</v>
      </c>
      <c r="P474">
        <v>1</v>
      </c>
      <c r="Q474">
        <v>1</v>
      </c>
      <c r="R474">
        <v>12000</v>
      </c>
      <c r="S474">
        <v>120</v>
      </c>
      <c r="T474">
        <v>11880</v>
      </c>
    </row>
    <row r="475" spans="1:20" x14ac:dyDescent="0.25">
      <c r="A475">
        <v>474</v>
      </c>
      <c r="B475" s="5">
        <v>45401</v>
      </c>
      <c r="C475">
        <v>50</v>
      </c>
      <c r="D475">
        <v>0</v>
      </c>
      <c r="E475">
        <v>15</v>
      </c>
      <c r="F475" s="4" t="s">
        <v>529</v>
      </c>
      <c r="G475" s="4" t="s">
        <v>530</v>
      </c>
      <c r="H475" s="4" t="s">
        <v>19</v>
      </c>
      <c r="I475" s="4" t="s">
        <v>612</v>
      </c>
      <c r="J475" s="4" t="s">
        <v>20</v>
      </c>
      <c r="K475" s="4" t="s">
        <v>21</v>
      </c>
      <c r="L475" s="4" t="s">
        <v>29</v>
      </c>
      <c r="M475" s="4" t="s">
        <v>30</v>
      </c>
      <c r="N475" s="4" t="s">
        <v>31</v>
      </c>
      <c r="O475">
        <v>700000</v>
      </c>
      <c r="P475">
        <v>1</v>
      </c>
      <c r="Q475">
        <v>5</v>
      </c>
      <c r="R475">
        <v>700000</v>
      </c>
      <c r="S475">
        <v>35000</v>
      </c>
      <c r="T475">
        <v>665000</v>
      </c>
    </row>
    <row r="476" spans="1:20" x14ac:dyDescent="0.25">
      <c r="A476">
        <v>475</v>
      </c>
      <c r="B476" s="5">
        <v>45402</v>
      </c>
      <c r="C476">
        <v>27</v>
      </c>
      <c r="D476">
        <v>4</v>
      </c>
      <c r="E476">
        <v>5</v>
      </c>
      <c r="F476" s="4" t="s">
        <v>437</v>
      </c>
      <c r="G476" s="4" t="s">
        <v>438</v>
      </c>
      <c r="H476" s="4" t="s">
        <v>19</v>
      </c>
      <c r="I476" s="4" t="s">
        <v>613</v>
      </c>
      <c r="J476" s="4" t="s">
        <v>116</v>
      </c>
      <c r="K476" s="4" t="s">
        <v>37</v>
      </c>
      <c r="L476" s="4" t="s">
        <v>38</v>
      </c>
      <c r="M476" s="4" t="s">
        <v>98</v>
      </c>
      <c r="N476" s="4" t="s">
        <v>151</v>
      </c>
      <c r="O476">
        <v>55000</v>
      </c>
      <c r="P476">
        <v>1</v>
      </c>
      <c r="Q476">
        <v>1</v>
      </c>
      <c r="R476">
        <v>55000</v>
      </c>
      <c r="S476">
        <v>550</v>
      </c>
      <c r="T476">
        <v>54450</v>
      </c>
    </row>
    <row r="477" spans="1:20" x14ac:dyDescent="0.25">
      <c r="A477">
        <v>476</v>
      </c>
      <c r="B477" s="5">
        <v>45403</v>
      </c>
      <c r="C477">
        <v>24</v>
      </c>
      <c r="D477">
        <v>3</v>
      </c>
      <c r="E477">
        <v>102</v>
      </c>
      <c r="F477" s="4" t="s">
        <v>25</v>
      </c>
      <c r="G477" s="4" t="s">
        <v>26</v>
      </c>
      <c r="H477" s="4" t="s">
        <v>19</v>
      </c>
      <c r="I477" s="4" t="s">
        <v>639</v>
      </c>
      <c r="J477" s="4" t="s">
        <v>84</v>
      </c>
      <c r="K477" s="4" t="s">
        <v>85</v>
      </c>
      <c r="L477" s="4" t="s">
        <v>38</v>
      </c>
      <c r="M477" s="4" t="s">
        <v>69</v>
      </c>
      <c r="N477" s="4" t="s">
        <v>53</v>
      </c>
      <c r="O477">
        <v>450000</v>
      </c>
      <c r="P477">
        <v>2</v>
      </c>
      <c r="Q477">
        <v>0</v>
      </c>
      <c r="R477">
        <v>900000</v>
      </c>
      <c r="S477">
        <v>0</v>
      </c>
      <c r="T477">
        <v>900000</v>
      </c>
    </row>
    <row r="478" spans="1:20" x14ac:dyDescent="0.25">
      <c r="A478">
        <v>477</v>
      </c>
      <c r="B478" s="5">
        <v>45404</v>
      </c>
      <c r="C478">
        <v>63</v>
      </c>
      <c r="D478">
        <v>5</v>
      </c>
      <c r="E478">
        <v>149</v>
      </c>
      <c r="F478" s="4" t="s">
        <v>439</v>
      </c>
      <c r="G478" s="4" t="s">
        <v>440</v>
      </c>
      <c r="H478" s="4" t="s">
        <v>42</v>
      </c>
      <c r="I478" s="4" t="s">
        <v>620</v>
      </c>
      <c r="J478" s="4" t="s">
        <v>101</v>
      </c>
      <c r="K478" s="4" t="s">
        <v>109</v>
      </c>
      <c r="L478" s="4" t="s">
        <v>22</v>
      </c>
      <c r="M478" s="4" t="s">
        <v>49</v>
      </c>
      <c r="N478" s="4" t="s">
        <v>31</v>
      </c>
      <c r="O478">
        <v>800000</v>
      </c>
      <c r="P478">
        <v>2</v>
      </c>
      <c r="Q478">
        <v>1</v>
      </c>
      <c r="R478">
        <v>1600000</v>
      </c>
      <c r="S478">
        <v>16000</v>
      </c>
      <c r="T478">
        <v>1584000</v>
      </c>
    </row>
    <row r="479" spans="1:20" x14ac:dyDescent="0.25">
      <c r="A479">
        <v>478</v>
      </c>
      <c r="B479" s="5">
        <v>45405</v>
      </c>
      <c r="C479">
        <v>19</v>
      </c>
      <c r="D479">
        <v>5</v>
      </c>
      <c r="E479">
        <v>165</v>
      </c>
      <c r="F479" s="4" t="s">
        <v>182</v>
      </c>
      <c r="G479" s="4" t="s">
        <v>183</v>
      </c>
      <c r="H479" s="4" t="s">
        <v>42</v>
      </c>
      <c r="I479" s="4" t="s">
        <v>637</v>
      </c>
      <c r="J479" s="4" t="s">
        <v>20</v>
      </c>
      <c r="K479" s="4" t="s">
        <v>21</v>
      </c>
      <c r="L479" s="4" t="s">
        <v>22</v>
      </c>
      <c r="M479" s="4" t="s">
        <v>102</v>
      </c>
      <c r="N479" s="4" t="s">
        <v>57</v>
      </c>
      <c r="O479">
        <v>12000</v>
      </c>
      <c r="P479">
        <v>2</v>
      </c>
      <c r="Q479">
        <v>1</v>
      </c>
      <c r="R479">
        <v>24000</v>
      </c>
      <c r="S479">
        <v>240</v>
      </c>
      <c r="T479">
        <v>23760</v>
      </c>
    </row>
    <row r="480" spans="1:20" x14ac:dyDescent="0.25">
      <c r="A480">
        <v>479</v>
      </c>
      <c r="B480" s="5">
        <v>45406</v>
      </c>
      <c r="C480">
        <v>39</v>
      </c>
      <c r="D480">
        <v>6</v>
      </c>
      <c r="E480">
        <v>44</v>
      </c>
      <c r="F480" s="4" t="s">
        <v>180</v>
      </c>
      <c r="G480" s="4" t="s">
        <v>181</v>
      </c>
      <c r="H480" s="4" t="s">
        <v>19</v>
      </c>
      <c r="I480" s="4" t="s">
        <v>611</v>
      </c>
      <c r="J480" s="4" t="s">
        <v>43</v>
      </c>
      <c r="K480" s="4" t="s">
        <v>43</v>
      </c>
      <c r="L480" s="4" t="s">
        <v>29</v>
      </c>
      <c r="M480" s="4" t="s">
        <v>56</v>
      </c>
      <c r="N480" s="4" t="s">
        <v>57</v>
      </c>
      <c r="O480">
        <v>25000</v>
      </c>
      <c r="P480">
        <v>1</v>
      </c>
      <c r="Q480">
        <v>0</v>
      </c>
      <c r="R480">
        <v>25000</v>
      </c>
      <c r="S480">
        <v>0</v>
      </c>
      <c r="T480">
        <v>25000</v>
      </c>
    </row>
    <row r="481" spans="1:20" x14ac:dyDescent="0.25">
      <c r="A481">
        <v>480</v>
      </c>
      <c r="B481" s="5">
        <v>45407</v>
      </c>
      <c r="C481">
        <v>55</v>
      </c>
      <c r="D481">
        <v>9</v>
      </c>
      <c r="E481">
        <v>118</v>
      </c>
      <c r="F481" s="4" t="s">
        <v>133</v>
      </c>
      <c r="G481" s="4" t="s">
        <v>134</v>
      </c>
      <c r="H481" s="4" t="s">
        <v>42</v>
      </c>
      <c r="I481" s="4" t="s">
        <v>618</v>
      </c>
      <c r="J481" s="4" t="s">
        <v>43</v>
      </c>
      <c r="K481" s="4" t="s">
        <v>43</v>
      </c>
      <c r="L481" s="4" t="s">
        <v>22</v>
      </c>
      <c r="M481" s="4" t="s">
        <v>39</v>
      </c>
      <c r="N481" s="4" t="s">
        <v>24</v>
      </c>
      <c r="O481">
        <v>35000</v>
      </c>
      <c r="P481">
        <v>2</v>
      </c>
      <c r="Q481">
        <v>5</v>
      </c>
      <c r="R481">
        <v>70000</v>
      </c>
      <c r="S481">
        <v>3500</v>
      </c>
      <c r="T481">
        <v>66500</v>
      </c>
    </row>
    <row r="482" spans="1:20" x14ac:dyDescent="0.25">
      <c r="A482">
        <v>481</v>
      </c>
      <c r="B482" s="5">
        <v>45408</v>
      </c>
      <c r="C482">
        <v>68</v>
      </c>
      <c r="D482">
        <v>2</v>
      </c>
      <c r="E482">
        <v>20</v>
      </c>
      <c r="F482" s="4" t="s">
        <v>489</v>
      </c>
      <c r="G482" s="4" t="s">
        <v>490</v>
      </c>
      <c r="H482" s="4" t="s">
        <v>19</v>
      </c>
      <c r="I482" s="4" t="s">
        <v>629</v>
      </c>
      <c r="J482" s="4" t="s">
        <v>34</v>
      </c>
      <c r="K482" s="4" t="s">
        <v>272</v>
      </c>
      <c r="L482" s="4" t="s">
        <v>38</v>
      </c>
      <c r="M482" s="4" t="s">
        <v>49</v>
      </c>
      <c r="N482" s="4" t="s">
        <v>31</v>
      </c>
      <c r="O482">
        <v>800000</v>
      </c>
      <c r="P482">
        <v>3</v>
      </c>
      <c r="Q482">
        <v>0</v>
      </c>
      <c r="R482">
        <v>2400000</v>
      </c>
      <c r="S482">
        <v>0</v>
      </c>
      <c r="T482">
        <v>2400000</v>
      </c>
    </row>
    <row r="483" spans="1:20" x14ac:dyDescent="0.25">
      <c r="A483">
        <v>482</v>
      </c>
      <c r="B483" s="5">
        <v>45409</v>
      </c>
      <c r="C483">
        <v>59</v>
      </c>
      <c r="D483">
        <v>1</v>
      </c>
      <c r="E483">
        <v>197</v>
      </c>
      <c r="F483" s="4" t="s">
        <v>405</v>
      </c>
      <c r="G483" s="4" t="s">
        <v>406</v>
      </c>
      <c r="H483" s="4" t="s">
        <v>42</v>
      </c>
      <c r="I483" s="4" t="s">
        <v>616</v>
      </c>
      <c r="J483" s="4" t="s">
        <v>43</v>
      </c>
      <c r="K483" s="4" t="s">
        <v>43</v>
      </c>
      <c r="L483" s="4" t="s">
        <v>22</v>
      </c>
      <c r="M483" s="4" t="s">
        <v>30</v>
      </c>
      <c r="N483" s="4" t="s">
        <v>31</v>
      </c>
      <c r="O483">
        <v>700000</v>
      </c>
      <c r="P483">
        <v>1</v>
      </c>
      <c r="Q483">
        <v>0</v>
      </c>
      <c r="R483">
        <v>700000</v>
      </c>
      <c r="S483">
        <v>0</v>
      </c>
      <c r="T483">
        <v>700000</v>
      </c>
    </row>
    <row r="484" spans="1:20" x14ac:dyDescent="0.25">
      <c r="A484">
        <v>483</v>
      </c>
      <c r="B484" s="5">
        <v>45410</v>
      </c>
      <c r="C484">
        <v>7</v>
      </c>
      <c r="D484">
        <v>8</v>
      </c>
      <c r="E484">
        <v>71</v>
      </c>
      <c r="F484" s="4" t="s">
        <v>313</v>
      </c>
      <c r="G484" s="4" t="s">
        <v>314</v>
      </c>
      <c r="H484" s="4" t="s">
        <v>42</v>
      </c>
      <c r="I484" s="4" t="s">
        <v>627</v>
      </c>
      <c r="J484" s="4" t="s">
        <v>37</v>
      </c>
      <c r="K484" s="4" t="s">
        <v>37</v>
      </c>
      <c r="L484" s="4" t="s">
        <v>38</v>
      </c>
      <c r="M484" s="4" t="s">
        <v>23</v>
      </c>
      <c r="N484" s="4" t="s">
        <v>24</v>
      </c>
      <c r="O484">
        <v>15000</v>
      </c>
      <c r="P484">
        <v>3</v>
      </c>
      <c r="Q484">
        <v>5</v>
      </c>
      <c r="R484">
        <v>45000</v>
      </c>
      <c r="S484">
        <v>2250</v>
      </c>
      <c r="T484">
        <v>42750</v>
      </c>
    </row>
    <row r="485" spans="1:20" x14ac:dyDescent="0.25">
      <c r="A485">
        <v>484</v>
      </c>
      <c r="B485" s="5">
        <v>45411</v>
      </c>
      <c r="C485">
        <v>42</v>
      </c>
      <c r="D485">
        <v>4</v>
      </c>
      <c r="E485">
        <v>35</v>
      </c>
      <c r="F485" s="4" t="s">
        <v>58</v>
      </c>
      <c r="G485" s="4" t="s">
        <v>59</v>
      </c>
      <c r="H485" s="4" t="s">
        <v>42</v>
      </c>
      <c r="I485" s="4" t="s">
        <v>621</v>
      </c>
      <c r="J485" s="4" t="s">
        <v>27</v>
      </c>
      <c r="K485" s="4" t="s">
        <v>28</v>
      </c>
      <c r="L485" s="4" t="s">
        <v>38</v>
      </c>
      <c r="M485" s="4" t="s">
        <v>39</v>
      </c>
      <c r="N485" s="4" t="s">
        <v>24</v>
      </c>
      <c r="O485">
        <v>35000</v>
      </c>
      <c r="P485">
        <v>1</v>
      </c>
      <c r="Q485">
        <v>5</v>
      </c>
      <c r="R485">
        <v>35000</v>
      </c>
      <c r="S485">
        <v>1750</v>
      </c>
      <c r="T485">
        <v>33250</v>
      </c>
    </row>
    <row r="486" spans="1:20" x14ac:dyDescent="0.25">
      <c r="A486">
        <v>485</v>
      </c>
      <c r="B486" s="5">
        <v>45412</v>
      </c>
      <c r="C486">
        <v>68</v>
      </c>
      <c r="D486">
        <v>2</v>
      </c>
      <c r="E486">
        <v>11</v>
      </c>
      <c r="F486" s="4" t="s">
        <v>527</v>
      </c>
      <c r="G486" s="4" t="s">
        <v>528</v>
      </c>
      <c r="H486" s="4" t="s">
        <v>19</v>
      </c>
      <c r="I486" s="4" t="s">
        <v>639</v>
      </c>
      <c r="J486" s="4" t="s">
        <v>34</v>
      </c>
      <c r="K486" s="4" t="s">
        <v>272</v>
      </c>
      <c r="L486" s="4" t="s">
        <v>38</v>
      </c>
      <c r="M486" s="4" t="s">
        <v>56</v>
      </c>
      <c r="N486" s="4" t="s">
        <v>57</v>
      </c>
      <c r="O486">
        <v>25000</v>
      </c>
      <c r="P486">
        <v>1</v>
      </c>
      <c r="Q486">
        <v>5</v>
      </c>
      <c r="R486">
        <v>25000</v>
      </c>
      <c r="S486">
        <v>1250</v>
      </c>
      <c r="T486">
        <v>23750</v>
      </c>
    </row>
    <row r="487" spans="1:20" x14ac:dyDescent="0.25">
      <c r="A487">
        <v>486</v>
      </c>
      <c r="B487" s="5">
        <v>45413</v>
      </c>
      <c r="C487">
        <v>65</v>
      </c>
      <c r="D487">
        <v>0</v>
      </c>
      <c r="E487">
        <v>37</v>
      </c>
      <c r="F487" s="4" t="s">
        <v>250</v>
      </c>
      <c r="G487" s="4" t="s">
        <v>251</v>
      </c>
      <c r="H487" s="4" t="s">
        <v>19</v>
      </c>
      <c r="I487" s="4" t="s">
        <v>625</v>
      </c>
      <c r="J487" s="4" t="s">
        <v>101</v>
      </c>
      <c r="K487" s="4" t="s">
        <v>109</v>
      </c>
      <c r="L487" s="4" t="s">
        <v>38</v>
      </c>
      <c r="M487" s="4" t="s">
        <v>30</v>
      </c>
      <c r="N487" s="4" t="s">
        <v>31</v>
      </c>
      <c r="O487">
        <v>700000</v>
      </c>
      <c r="P487">
        <v>1</v>
      </c>
      <c r="Q487">
        <v>0</v>
      </c>
      <c r="R487">
        <v>700000</v>
      </c>
      <c r="S487">
        <v>0</v>
      </c>
      <c r="T487">
        <v>700000</v>
      </c>
    </row>
    <row r="488" spans="1:20" x14ac:dyDescent="0.25">
      <c r="A488">
        <v>487</v>
      </c>
      <c r="B488" s="5">
        <v>45414</v>
      </c>
      <c r="C488">
        <v>21</v>
      </c>
      <c r="D488">
        <v>5</v>
      </c>
      <c r="E488">
        <v>247</v>
      </c>
      <c r="F488" s="4" t="s">
        <v>283</v>
      </c>
      <c r="G488" s="4" t="s">
        <v>284</v>
      </c>
      <c r="H488" s="4" t="s">
        <v>42</v>
      </c>
      <c r="I488" s="4" t="s">
        <v>639</v>
      </c>
      <c r="J488" s="4" t="s">
        <v>76</v>
      </c>
      <c r="K488" s="4" t="s">
        <v>77</v>
      </c>
      <c r="L488" s="4" t="s">
        <v>38</v>
      </c>
      <c r="M488" s="4" t="s">
        <v>69</v>
      </c>
      <c r="N488" s="4" t="s">
        <v>53</v>
      </c>
      <c r="O488">
        <v>450000</v>
      </c>
      <c r="P488">
        <v>2</v>
      </c>
      <c r="Q488">
        <v>0</v>
      </c>
      <c r="R488">
        <v>900000</v>
      </c>
      <c r="S488">
        <v>0</v>
      </c>
      <c r="T488">
        <v>900000</v>
      </c>
    </row>
    <row r="489" spans="1:20" x14ac:dyDescent="0.25">
      <c r="A489">
        <v>488</v>
      </c>
      <c r="B489" s="5">
        <v>45415</v>
      </c>
      <c r="C489">
        <v>44</v>
      </c>
      <c r="D489">
        <v>7</v>
      </c>
      <c r="E489">
        <v>170</v>
      </c>
      <c r="F489" s="4" t="s">
        <v>531</v>
      </c>
      <c r="G489" s="4" t="s">
        <v>532</v>
      </c>
      <c r="H489" s="4" t="s">
        <v>19</v>
      </c>
      <c r="I489" s="4" t="s">
        <v>631</v>
      </c>
      <c r="J489" s="4" t="s">
        <v>43</v>
      </c>
      <c r="K489" s="4" t="s">
        <v>43</v>
      </c>
      <c r="L489" s="4" t="s">
        <v>22</v>
      </c>
      <c r="M489" s="4" t="s">
        <v>23</v>
      </c>
      <c r="N489" s="4" t="s">
        <v>24</v>
      </c>
      <c r="O489">
        <v>15000</v>
      </c>
      <c r="P489">
        <v>3</v>
      </c>
      <c r="Q489">
        <v>0</v>
      </c>
      <c r="R489">
        <v>45000</v>
      </c>
      <c r="S489">
        <v>0</v>
      </c>
      <c r="T489">
        <v>45000</v>
      </c>
    </row>
    <row r="490" spans="1:20" x14ac:dyDescent="0.25">
      <c r="A490">
        <v>489</v>
      </c>
      <c r="B490" s="5">
        <v>45416</v>
      </c>
      <c r="C490">
        <v>56</v>
      </c>
      <c r="D490">
        <v>2</v>
      </c>
      <c r="E490">
        <v>276</v>
      </c>
      <c r="F490" s="4" t="s">
        <v>533</v>
      </c>
      <c r="G490" s="4" t="s">
        <v>534</v>
      </c>
      <c r="H490" s="4" t="s">
        <v>19</v>
      </c>
      <c r="I490" s="4" t="s">
        <v>609</v>
      </c>
      <c r="J490" s="4" t="s">
        <v>27</v>
      </c>
      <c r="K490" s="4" t="s">
        <v>28</v>
      </c>
      <c r="L490" s="4" t="s">
        <v>22</v>
      </c>
      <c r="M490" s="4" t="s">
        <v>39</v>
      </c>
      <c r="N490" s="4" t="s">
        <v>24</v>
      </c>
      <c r="O490">
        <v>35000</v>
      </c>
      <c r="P490">
        <v>3</v>
      </c>
      <c r="Q490">
        <v>0</v>
      </c>
      <c r="R490">
        <v>105000</v>
      </c>
      <c r="S490">
        <v>0</v>
      </c>
      <c r="T490">
        <v>105000</v>
      </c>
    </row>
    <row r="491" spans="1:20" x14ac:dyDescent="0.25">
      <c r="A491">
        <v>490</v>
      </c>
      <c r="B491" s="5">
        <v>45417</v>
      </c>
      <c r="C491">
        <v>17</v>
      </c>
      <c r="D491">
        <v>0</v>
      </c>
      <c r="E491">
        <v>175</v>
      </c>
      <c r="F491" s="4" t="s">
        <v>519</v>
      </c>
      <c r="G491" s="4" t="s">
        <v>520</v>
      </c>
      <c r="H491" s="4" t="s">
        <v>19</v>
      </c>
      <c r="I491" s="4" t="s">
        <v>623</v>
      </c>
      <c r="J491" s="4" t="s">
        <v>34</v>
      </c>
      <c r="K491" s="4" t="s">
        <v>272</v>
      </c>
      <c r="L491" s="4" t="s">
        <v>22</v>
      </c>
      <c r="M491" s="4" t="s">
        <v>39</v>
      </c>
      <c r="N491" s="4" t="s">
        <v>24</v>
      </c>
      <c r="O491">
        <v>35000</v>
      </c>
      <c r="P491">
        <v>3</v>
      </c>
      <c r="Q491">
        <v>1</v>
      </c>
      <c r="R491">
        <v>105000</v>
      </c>
      <c r="S491">
        <v>1050</v>
      </c>
      <c r="T491">
        <v>103950</v>
      </c>
    </row>
    <row r="492" spans="1:20" x14ac:dyDescent="0.25">
      <c r="A492">
        <v>491</v>
      </c>
      <c r="B492" s="5">
        <v>45418</v>
      </c>
      <c r="C492">
        <v>41</v>
      </c>
      <c r="D492">
        <v>4</v>
      </c>
      <c r="E492">
        <v>66</v>
      </c>
      <c r="F492" s="4" t="s">
        <v>373</v>
      </c>
      <c r="G492" s="4" t="s">
        <v>374</v>
      </c>
      <c r="H492" s="4" t="s">
        <v>19</v>
      </c>
      <c r="I492" s="4" t="s">
        <v>633</v>
      </c>
      <c r="J492" s="4" t="s">
        <v>43</v>
      </c>
      <c r="K492" s="4" t="s">
        <v>43</v>
      </c>
      <c r="L492" s="4" t="s">
        <v>38</v>
      </c>
      <c r="M492" s="4" t="s">
        <v>69</v>
      </c>
      <c r="N492" s="4" t="s">
        <v>53</v>
      </c>
      <c r="O492">
        <v>450000</v>
      </c>
      <c r="P492">
        <v>3</v>
      </c>
      <c r="Q492">
        <v>0</v>
      </c>
      <c r="R492">
        <v>1350000</v>
      </c>
      <c r="S492">
        <v>0</v>
      </c>
      <c r="T492">
        <v>1350000</v>
      </c>
    </row>
    <row r="493" spans="1:20" x14ac:dyDescent="0.25">
      <c r="A493">
        <v>492</v>
      </c>
      <c r="B493" s="5">
        <v>45419</v>
      </c>
      <c r="C493">
        <v>55</v>
      </c>
      <c r="D493">
        <v>9</v>
      </c>
      <c r="E493">
        <v>94</v>
      </c>
      <c r="F493" s="4" t="s">
        <v>477</v>
      </c>
      <c r="G493" s="4" t="s">
        <v>478</v>
      </c>
      <c r="H493" s="4" t="s">
        <v>19</v>
      </c>
      <c r="I493" s="4" t="s">
        <v>611</v>
      </c>
      <c r="J493" s="4" t="s">
        <v>43</v>
      </c>
      <c r="K493" s="4" t="s">
        <v>43</v>
      </c>
      <c r="L493" s="4" t="s">
        <v>38</v>
      </c>
      <c r="M493" s="4" t="s">
        <v>23</v>
      </c>
      <c r="N493" s="4" t="s">
        <v>24</v>
      </c>
      <c r="O493">
        <v>15000</v>
      </c>
      <c r="P493">
        <v>3</v>
      </c>
      <c r="Q493">
        <v>0</v>
      </c>
      <c r="R493">
        <v>45000</v>
      </c>
      <c r="S493">
        <v>0</v>
      </c>
      <c r="T493">
        <v>45000</v>
      </c>
    </row>
    <row r="494" spans="1:20" x14ac:dyDescent="0.25">
      <c r="A494">
        <v>493</v>
      </c>
      <c r="B494" s="5">
        <v>45420</v>
      </c>
      <c r="C494">
        <v>28</v>
      </c>
      <c r="D494">
        <v>5</v>
      </c>
      <c r="E494">
        <v>181</v>
      </c>
      <c r="F494" s="4" t="s">
        <v>535</v>
      </c>
      <c r="G494" s="4" t="s">
        <v>536</v>
      </c>
      <c r="H494" s="4" t="s">
        <v>19</v>
      </c>
      <c r="I494" s="4" t="s">
        <v>617</v>
      </c>
      <c r="J494" s="4" t="s">
        <v>116</v>
      </c>
      <c r="K494" s="4" t="s">
        <v>37</v>
      </c>
      <c r="L494" s="4" t="s">
        <v>29</v>
      </c>
      <c r="M494" s="4" t="s">
        <v>23</v>
      </c>
      <c r="N494" s="4" t="s">
        <v>24</v>
      </c>
      <c r="O494">
        <v>15000</v>
      </c>
      <c r="P494">
        <v>3</v>
      </c>
      <c r="Q494">
        <v>5</v>
      </c>
      <c r="R494">
        <v>45000</v>
      </c>
      <c r="S494">
        <v>2250</v>
      </c>
      <c r="T494">
        <v>42750</v>
      </c>
    </row>
    <row r="495" spans="1:20" x14ac:dyDescent="0.25">
      <c r="A495">
        <v>494</v>
      </c>
      <c r="B495" s="5">
        <v>45421</v>
      </c>
      <c r="C495">
        <v>45</v>
      </c>
      <c r="D495">
        <v>2</v>
      </c>
      <c r="E495">
        <v>159</v>
      </c>
      <c r="F495" s="4" t="s">
        <v>349</v>
      </c>
      <c r="G495" s="4" t="s">
        <v>350</v>
      </c>
      <c r="H495" s="4" t="s">
        <v>42</v>
      </c>
      <c r="I495" s="4"/>
      <c r="J495" s="4" t="s">
        <v>27</v>
      </c>
      <c r="K495" s="4" t="s">
        <v>28</v>
      </c>
      <c r="L495" s="4" t="s">
        <v>22</v>
      </c>
      <c r="M495" s="4" t="s">
        <v>23</v>
      </c>
      <c r="N495" s="4" t="s">
        <v>24</v>
      </c>
      <c r="O495">
        <v>15000</v>
      </c>
      <c r="P495">
        <v>2</v>
      </c>
      <c r="Q495">
        <v>0</v>
      </c>
      <c r="R495">
        <v>30000</v>
      </c>
      <c r="S495">
        <v>0</v>
      </c>
      <c r="T495">
        <v>30000</v>
      </c>
    </row>
    <row r="496" spans="1:20" x14ac:dyDescent="0.25">
      <c r="A496">
        <v>495</v>
      </c>
      <c r="B496" s="5">
        <v>45422</v>
      </c>
      <c r="C496">
        <v>12</v>
      </c>
      <c r="D496">
        <v>0</v>
      </c>
      <c r="E496">
        <v>234</v>
      </c>
      <c r="F496" s="4" t="s">
        <v>78</v>
      </c>
      <c r="G496" s="4" t="s">
        <v>79</v>
      </c>
      <c r="H496" s="4" t="s">
        <v>42</v>
      </c>
      <c r="I496" s="4" t="s">
        <v>643</v>
      </c>
      <c r="J496" s="4" t="s">
        <v>116</v>
      </c>
      <c r="K496" s="4" t="s">
        <v>37</v>
      </c>
      <c r="L496" s="4" t="s">
        <v>38</v>
      </c>
      <c r="M496" s="4" t="s">
        <v>46</v>
      </c>
      <c r="N496" s="4" t="s">
        <v>53</v>
      </c>
      <c r="O496">
        <v>750000</v>
      </c>
      <c r="P496">
        <v>2</v>
      </c>
      <c r="Q496">
        <v>0</v>
      </c>
      <c r="R496">
        <v>1500000</v>
      </c>
      <c r="S496">
        <v>0</v>
      </c>
      <c r="T496">
        <v>1500000</v>
      </c>
    </row>
    <row r="497" spans="1:20" x14ac:dyDescent="0.25">
      <c r="A497">
        <v>496</v>
      </c>
      <c r="B497" s="5">
        <v>45423</v>
      </c>
      <c r="C497">
        <v>19</v>
      </c>
      <c r="D497">
        <v>5</v>
      </c>
      <c r="E497">
        <v>128</v>
      </c>
      <c r="F497" s="4" t="s">
        <v>425</v>
      </c>
      <c r="G497" s="4" t="s">
        <v>426</v>
      </c>
      <c r="H497" s="4" t="s">
        <v>42</v>
      </c>
      <c r="I497" s="4" t="s">
        <v>630</v>
      </c>
      <c r="J497" s="4" t="s">
        <v>20</v>
      </c>
      <c r="K497" s="4" t="s">
        <v>21</v>
      </c>
      <c r="L497" s="4" t="s">
        <v>38</v>
      </c>
      <c r="M497" s="4" t="s">
        <v>39</v>
      </c>
      <c r="N497" s="4" t="s">
        <v>24</v>
      </c>
      <c r="O497">
        <v>35000</v>
      </c>
      <c r="P497">
        <v>2</v>
      </c>
      <c r="Q497">
        <v>0</v>
      </c>
      <c r="R497">
        <v>70000</v>
      </c>
      <c r="S497">
        <v>0</v>
      </c>
      <c r="T497">
        <v>70000</v>
      </c>
    </row>
    <row r="498" spans="1:20" x14ac:dyDescent="0.25">
      <c r="A498">
        <v>497</v>
      </c>
      <c r="B498" s="5">
        <v>45424</v>
      </c>
      <c r="C498">
        <v>44</v>
      </c>
      <c r="D498">
        <v>7</v>
      </c>
      <c r="E498">
        <v>175</v>
      </c>
      <c r="F498" s="4" t="s">
        <v>519</v>
      </c>
      <c r="G498" s="4" t="s">
        <v>520</v>
      </c>
      <c r="H498" s="4" t="s">
        <v>19</v>
      </c>
      <c r="I498" s="4" t="s">
        <v>623</v>
      </c>
      <c r="J498" s="4" t="s">
        <v>43</v>
      </c>
      <c r="K498" s="4" t="s">
        <v>43</v>
      </c>
      <c r="L498" s="4" t="s">
        <v>38</v>
      </c>
      <c r="M498" s="4" t="s">
        <v>46</v>
      </c>
      <c r="N498" s="4" t="s">
        <v>53</v>
      </c>
      <c r="O498">
        <v>750000</v>
      </c>
      <c r="P498">
        <v>3</v>
      </c>
      <c r="Q498">
        <v>0</v>
      </c>
      <c r="R498">
        <v>2250000</v>
      </c>
      <c r="S498">
        <v>0</v>
      </c>
      <c r="T498">
        <v>2250000</v>
      </c>
    </row>
    <row r="499" spans="1:20" x14ac:dyDescent="0.25">
      <c r="A499">
        <v>498</v>
      </c>
      <c r="B499" s="5">
        <v>45425</v>
      </c>
      <c r="C499">
        <v>29</v>
      </c>
      <c r="D499">
        <v>1</v>
      </c>
      <c r="E499">
        <v>279</v>
      </c>
      <c r="F499" s="4" t="s">
        <v>381</v>
      </c>
      <c r="G499" s="4" t="s">
        <v>382</v>
      </c>
      <c r="H499" s="4" t="s">
        <v>42</v>
      </c>
      <c r="I499" s="4" t="s">
        <v>610</v>
      </c>
      <c r="J499" s="4" t="s">
        <v>116</v>
      </c>
      <c r="K499" s="4" t="s">
        <v>37</v>
      </c>
      <c r="L499" s="4" t="s">
        <v>29</v>
      </c>
      <c r="M499" s="4" t="s">
        <v>56</v>
      </c>
      <c r="N499" s="4" t="s">
        <v>57</v>
      </c>
      <c r="O499">
        <v>25000</v>
      </c>
      <c r="P499">
        <v>2</v>
      </c>
      <c r="Q499">
        <v>0</v>
      </c>
      <c r="R499">
        <v>50000</v>
      </c>
      <c r="S499">
        <v>0</v>
      </c>
      <c r="T499">
        <v>50000</v>
      </c>
    </row>
    <row r="500" spans="1:20" x14ac:dyDescent="0.25">
      <c r="A500">
        <v>499</v>
      </c>
      <c r="B500" s="5">
        <v>45426</v>
      </c>
      <c r="C500">
        <v>56</v>
      </c>
      <c r="D500">
        <v>2</v>
      </c>
      <c r="E500">
        <v>126</v>
      </c>
      <c r="F500" s="4" t="s">
        <v>501</v>
      </c>
      <c r="G500" s="4" t="s">
        <v>502</v>
      </c>
      <c r="H500" s="4" t="s">
        <v>42</v>
      </c>
      <c r="I500" s="4" t="s">
        <v>649</v>
      </c>
      <c r="J500" s="4" t="s">
        <v>27</v>
      </c>
      <c r="K500" s="4" t="s">
        <v>28</v>
      </c>
      <c r="L500" s="4" t="s">
        <v>38</v>
      </c>
      <c r="M500" s="4" t="s">
        <v>49</v>
      </c>
      <c r="N500" s="4" t="s">
        <v>31</v>
      </c>
      <c r="O500">
        <v>800000</v>
      </c>
      <c r="P500">
        <v>3</v>
      </c>
      <c r="Q500">
        <v>5</v>
      </c>
      <c r="R500">
        <v>2400000</v>
      </c>
      <c r="S500">
        <v>120000</v>
      </c>
      <c r="T500">
        <v>2280000</v>
      </c>
    </row>
    <row r="501" spans="1:20" x14ac:dyDescent="0.25">
      <c r="A501">
        <v>500</v>
      </c>
      <c r="B501" s="5">
        <v>45427</v>
      </c>
      <c r="C501">
        <v>47</v>
      </c>
      <c r="D501">
        <v>1</v>
      </c>
      <c r="E501">
        <v>106</v>
      </c>
      <c r="F501" s="4" t="s">
        <v>451</v>
      </c>
      <c r="G501" s="4" t="s">
        <v>452</v>
      </c>
      <c r="H501" s="4" t="s">
        <v>19</v>
      </c>
      <c r="I501" s="4" t="s">
        <v>627</v>
      </c>
      <c r="J501" s="4" t="s">
        <v>116</v>
      </c>
      <c r="K501" s="4" t="s">
        <v>37</v>
      </c>
      <c r="L501" s="4" t="s">
        <v>38</v>
      </c>
      <c r="M501" s="4" t="s">
        <v>39</v>
      </c>
      <c r="N501" s="4" t="s">
        <v>24</v>
      </c>
      <c r="O501">
        <v>35000</v>
      </c>
      <c r="P501">
        <v>1</v>
      </c>
      <c r="Q501">
        <v>0</v>
      </c>
      <c r="R501">
        <v>35000</v>
      </c>
      <c r="S501">
        <v>0</v>
      </c>
      <c r="T501">
        <v>35000</v>
      </c>
    </row>
    <row r="502" spans="1:20" x14ac:dyDescent="0.25">
      <c r="A502">
        <v>501</v>
      </c>
      <c r="B502" s="5">
        <v>45428</v>
      </c>
      <c r="C502">
        <v>65</v>
      </c>
      <c r="D502">
        <v>0</v>
      </c>
      <c r="E502">
        <v>173</v>
      </c>
      <c r="F502" s="4" t="s">
        <v>517</v>
      </c>
      <c r="G502" s="4" t="s">
        <v>518</v>
      </c>
      <c r="H502" s="4" t="s">
        <v>19</v>
      </c>
      <c r="I502" s="4" t="s">
        <v>641</v>
      </c>
      <c r="J502" s="4" t="s">
        <v>101</v>
      </c>
      <c r="K502" s="4" t="s">
        <v>109</v>
      </c>
      <c r="L502" s="4" t="s">
        <v>38</v>
      </c>
      <c r="M502" s="4" t="s">
        <v>102</v>
      </c>
      <c r="N502" s="4" t="s">
        <v>57</v>
      </c>
      <c r="O502">
        <v>12000</v>
      </c>
      <c r="P502">
        <v>1</v>
      </c>
      <c r="Q502">
        <v>5</v>
      </c>
      <c r="R502">
        <v>12000</v>
      </c>
      <c r="S502">
        <v>600</v>
      </c>
      <c r="T502">
        <v>11400</v>
      </c>
    </row>
    <row r="503" spans="1:20" x14ac:dyDescent="0.25">
      <c r="A503">
        <v>502</v>
      </c>
      <c r="B503" s="5">
        <v>45429</v>
      </c>
      <c r="C503">
        <v>13</v>
      </c>
      <c r="D503">
        <v>0</v>
      </c>
      <c r="E503">
        <v>204</v>
      </c>
      <c r="F503" s="4" t="s">
        <v>139</v>
      </c>
      <c r="G503" s="4" t="s">
        <v>140</v>
      </c>
      <c r="H503" s="4" t="s">
        <v>19</v>
      </c>
      <c r="I503" s="4" t="s">
        <v>619</v>
      </c>
      <c r="J503" s="4" t="s">
        <v>27</v>
      </c>
      <c r="K503" s="4" t="s">
        <v>28</v>
      </c>
      <c r="L503" s="4" t="s">
        <v>29</v>
      </c>
      <c r="M503" s="4" t="s">
        <v>23</v>
      </c>
      <c r="N503" s="4" t="s">
        <v>24</v>
      </c>
      <c r="O503">
        <v>15000</v>
      </c>
      <c r="P503">
        <v>3</v>
      </c>
      <c r="Q503">
        <v>5</v>
      </c>
      <c r="R503">
        <v>45000</v>
      </c>
      <c r="S503">
        <v>2250</v>
      </c>
      <c r="T503">
        <v>42750</v>
      </c>
    </row>
    <row r="504" spans="1:20" x14ac:dyDescent="0.25">
      <c r="A504">
        <v>503</v>
      </c>
      <c r="B504" s="5">
        <v>45430</v>
      </c>
      <c r="C504">
        <v>11</v>
      </c>
      <c r="D504">
        <v>0</v>
      </c>
      <c r="E504">
        <v>46</v>
      </c>
      <c r="F504" s="4" t="s">
        <v>357</v>
      </c>
      <c r="G504" s="4" t="s">
        <v>358</v>
      </c>
      <c r="H504" s="4" t="s">
        <v>42</v>
      </c>
      <c r="I504" s="4" t="s">
        <v>614</v>
      </c>
      <c r="J504" s="4" t="s">
        <v>43</v>
      </c>
      <c r="K504" s="4" t="s">
        <v>43</v>
      </c>
      <c r="L504" s="4" t="s">
        <v>29</v>
      </c>
      <c r="M504" s="4" t="s">
        <v>98</v>
      </c>
      <c r="N504" s="4" t="s">
        <v>151</v>
      </c>
      <c r="O504">
        <v>55000</v>
      </c>
      <c r="P504">
        <v>2</v>
      </c>
      <c r="Q504">
        <v>0</v>
      </c>
      <c r="R504">
        <v>110000</v>
      </c>
      <c r="S504">
        <v>0</v>
      </c>
      <c r="T504">
        <v>110000</v>
      </c>
    </row>
    <row r="505" spans="1:20" x14ac:dyDescent="0.25">
      <c r="A505">
        <v>504</v>
      </c>
      <c r="B505" s="5">
        <v>45431</v>
      </c>
      <c r="C505">
        <v>24</v>
      </c>
      <c r="D505">
        <v>3</v>
      </c>
      <c r="E505">
        <v>170</v>
      </c>
      <c r="F505" s="4" t="s">
        <v>531</v>
      </c>
      <c r="G505" s="4" t="s">
        <v>532</v>
      </c>
      <c r="H505" s="4" t="s">
        <v>19</v>
      </c>
      <c r="I505" s="4" t="s">
        <v>631</v>
      </c>
      <c r="J505" s="4" t="s">
        <v>84</v>
      </c>
      <c r="K505" s="4" t="s">
        <v>85</v>
      </c>
      <c r="L505" s="4" t="s">
        <v>38</v>
      </c>
      <c r="M505" s="4" t="s">
        <v>23</v>
      </c>
      <c r="N505" s="4" t="s">
        <v>24</v>
      </c>
      <c r="O505">
        <v>15000</v>
      </c>
      <c r="P505">
        <v>2</v>
      </c>
      <c r="Q505">
        <v>5</v>
      </c>
      <c r="R505">
        <v>30000</v>
      </c>
      <c r="S505">
        <v>1500</v>
      </c>
      <c r="T505">
        <v>28500</v>
      </c>
    </row>
    <row r="506" spans="1:20" x14ac:dyDescent="0.25">
      <c r="A506">
        <v>505</v>
      </c>
      <c r="B506" s="5">
        <v>45432</v>
      </c>
      <c r="C506">
        <v>46</v>
      </c>
      <c r="D506">
        <v>5</v>
      </c>
      <c r="E506">
        <v>146</v>
      </c>
      <c r="F506" s="4" t="s">
        <v>537</v>
      </c>
      <c r="G506" s="4" t="s">
        <v>538</v>
      </c>
      <c r="H506" s="4" t="s">
        <v>42</v>
      </c>
      <c r="I506" s="4" t="s">
        <v>621</v>
      </c>
      <c r="J506" s="4" t="s">
        <v>84</v>
      </c>
      <c r="K506" s="4" t="s">
        <v>85</v>
      </c>
      <c r="L506" s="4" t="s">
        <v>38</v>
      </c>
      <c r="M506" s="4" t="s">
        <v>62</v>
      </c>
      <c r="N506" s="4" t="s">
        <v>31</v>
      </c>
      <c r="O506">
        <v>650000</v>
      </c>
      <c r="P506">
        <v>1</v>
      </c>
      <c r="Q506">
        <v>1</v>
      </c>
      <c r="R506">
        <v>650000</v>
      </c>
      <c r="S506">
        <v>6500</v>
      </c>
      <c r="T506">
        <v>643500</v>
      </c>
    </row>
    <row r="507" spans="1:20" x14ac:dyDescent="0.25">
      <c r="A507">
        <v>506</v>
      </c>
      <c r="B507" s="5">
        <v>45433</v>
      </c>
      <c r="C507">
        <v>70</v>
      </c>
      <c r="D507">
        <v>6</v>
      </c>
      <c r="E507">
        <v>173</v>
      </c>
      <c r="F507" s="4" t="s">
        <v>517</v>
      </c>
      <c r="G507" s="4" t="s">
        <v>518</v>
      </c>
      <c r="H507" s="4" t="s">
        <v>19</v>
      </c>
      <c r="I507" s="4" t="s">
        <v>641</v>
      </c>
      <c r="J507" s="4" t="s">
        <v>27</v>
      </c>
      <c r="K507" s="4" t="s">
        <v>28</v>
      </c>
      <c r="L507" s="4" t="s">
        <v>22</v>
      </c>
      <c r="M507" s="4" t="s">
        <v>39</v>
      </c>
      <c r="N507" s="4" t="s">
        <v>24</v>
      </c>
      <c r="O507">
        <v>35000</v>
      </c>
      <c r="P507">
        <v>1</v>
      </c>
      <c r="Q507">
        <v>5</v>
      </c>
      <c r="R507">
        <v>35000</v>
      </c>
      <c r="S507">
        <v>1750</v>
      </c>
      <c r="T507">
        <v>33250</v>
      </c>
    </row>
    <row r="508" spans="1:20" x14ac:dyDescent="0.25">
      <c r="A508">
        <v>507</v>
      </c>
      <c r="B508" s="5">
        <v>45434</v>
      </c>
      <c r="C508">
        <v>3</v>
      </c>
      <c r="D508">
        <v>1</v>
      </c>
      <c r="E508">
        <v>251</v>
      </c>
      <c r="F508" s="4" t="s">
        <v>431</v>
      </c>
      <c r="G508" s="4" t="s">
        <v>432</v>
      </c>
      <c r="H508" s="4" t="s">
        <v>19</v>
      </c>
      <c r="I508" s="4" t="s">
        <v>624</v>
      </c>
      <c r="J508" s="4" t="s">
        <v>37</v>
      </c>
      <c r="K508" s="4" t="s">
        <v>37</v>
      </c>
      <c r="L508" s="4" t="s">
        <v>38</v>
      </c>
      <c r="M508" s="4" t="s">
        <v>56</v>
      </c>
      <c r="N508" s="4" t="s">
        <v>57</v>
      </c>
      <c r="O508">
        <v>25000</v>
      </c>
      <c r="P508">
        <v>2</v>
      </c>
      <c r="Q508">
        <v>0</v>
      </c>
      <c r="R508">
        <v>50000</v>
      </c>
      <c r="S508">
        <v>0</v>
      </c>
      <c r="T508">
        <v>50000</v>
      </c>
    </row>
    <row r="509" spans="1:20" x14ac:dyDescent="0.25">
      <c r="A509">
        <v>508</v>
      </c>
      <c r="B509" s="5">
        <v>45435</v>
      </c>
      <c r="C509">
        <v>33</v>
      </c>
      <c r="D509">
        <v>13</v>
      </c>
      <c r="E509">
        <v>210</v>
      </c>
      <c r="F509" s="4" t="s">
        <v>465</v>
      </c>
      <c r="G509" s="4" t="s">
        <v>466</v>
      </c>
      <c r="H509" s="4" t="s">
        <v>19</v>
      </c>
      <c r="I509" s="4" t="s">
        <v>654</v>
      </c>
      <c r="J509" s="4" t="s">
        <v>101</v>
      </c>
      <c r="K509" s="4" t="s">
        <v>109</v>
      </c>
      <c r="L509" s="4" t="s">
        <v>38</v>
      </c>
      <c r="M509" s="4" t="s">
        <v>49</v>
      </c>
      <c r="N509" s="4" t="s">
        <v>31</v>
      </c>
      <c r="O509">
        <v>800000</v>
      </c>
      <c r="P509">
        <v>3</v>
      </c>
      <c r="Q509">
        <v>0</v>
      </c>
      <c r="R509">
        <v>2400000</v>
      </c>
      <c r="S509">
        <v>0</v>
      </c>
      <c r="T509">
        <v>2400000</v>
      </c>
    </row>
    <row r="510" spans="1:20" x14ac:dyDescent="0.25">
      <c r="A510">
        <v>509</v>
      </c>
      <c r="B510" s="5">
        <v>45436</v>
      </c>
      <c r="C510">
        <v>33</v>
      </c>
      <c r="D510">
        <v>13</v>
      </c>
      <c r="E510">
        <v>255</v>
      </c>
      <c r="F510" s="4" t="s">
        <v>54</v>
      </c>
      <c r="G510" s="4" t="s">
        <v>55</v>
      </c>
      <c r="H510" s="4" t="s">
        <v>19</v>
      </c>
      <c r="I510" s="4" t="s">
        <v>652</v>
      </c>
      <c r="J510" s="4" t="s">
        <v>101</v>
      </c>
      <c r="K510" s="4" t="s">
        <v>109</v>
      </c>
      <c r="L510" s="4" t="s">
        <v>38</v>
      </c>
      <c r="M510" s="4" t="s">
        <v>62</v>
      </c>
      <c r="N510" s="4" t="s">
        <v>31</v>
      </c>
      <c r="O510">
        <v>650000</v>
      </c>
      <c r="P510">
        <v>3</v>
      </c>
      <c r="Q510">
        <v>0</v>
      </c>
      <c r="R510">
        <v>1950000</v>
      </c>
      <c r="S510">
        <v>0</v>
      </c>
      <c r="T510">
        <v>1950000</v>
      </c>
    </row>
    <row r="511" spans="1:20" x14ac:dyDescent="0.25">
      <c r="A511">
        <v>510</v>
      </c>
      <c r="B511" s="5">
        <v>45437</v>
      </c>
      <c r="C511">
        <v>13</v>
      </c>
      <c r="D511">
        <v>0</v>
      </c>
      <c r="E511">
        <v>178</v>
      </c>
      <c r="F511" s="4" t="s">
        <v>125</v>
      </c>
      <c r="G511" s="4" t="s">
        <v>126</v>
      </c>
      <c r="H511" s="4" t="s">
        <v>42</v>
      </c>
      <c r="I511" s="4" t="s">
        <v>628</v>
      </c>
      <c r="J511" s="4" t="s">
        <v>27</v>
      </c>
      <c r="K511" s="4" t="s">
        <v>28</v>
      </c>
      <c r="L511" s="4" t="s">
        <v>38</v>
      </c>
      <c r="M511" s="4" t="s">
        <v>56</v>
      </c>
      <c r="N511" s="4" t="s">
        <v>57</v>
      </c>
      <c r="O511">
        <v>25000</v>
      </c>
      <c r="P511">
        <v>2</v>
      </c>
      <c r="Q511">
        <v>1</v>
      </c>
      <c r="R511">
        <v>50000</v>
      </c>
      <c r="S511">
        <v>500</v>
      </c>
      <c r="T511">
        <v>49500</v>
      </c>
    </row>
    <row r="512" spans="1:20" x14ac:dyDescent="0.25">
      <c r="A512">
        <v>511</v>
      </c>
      <c r="B512" s="5">
        <v>45438</v>
      </c>
      <c r="C512">
        <v>15</v>
      </c>
      <c r="D512">
        <v>0</v>
      </c>
      <c r="E512">
        <v>182</v>
      </c>
      <c r="F512" s="4" t="s">
        <v>361</v>
      </c>
      <c r="G512" s="4" t="s">
        <v>362</v>
      </c>
      <c r="H512" s="4" t="s">
        <v>19</v>
      </c>
      <c r="I512" s="4" t="s">
        <v>616</v>
      </c>
      <c r="J512" s="4" t="s">
        <v>34</v>
      </c>
      <c r="K512" s="4" t="s">
        <v>272</v>
      </c>
      <c r="L512" s="4" t="s">
        <v>38</v>
      </c>
      <c r="M512" s="4" t="s">
        <v>69</v>
      </c>
      <c r="N512" s="4" t="s">
        <v>53</v>
      </c>
      <c r="O512">
        <v>450000</v>
      </c>
      <c r="P512">
        <v>1</v>
      </c>
      <c r="Q512">
        <v>0</v>
      </c>
      <c r="R512">
        <v>450000</v>
      </c>
      <c r="S512">
        <v>0</v>
      </c>
      <c r="T512">
        <v>450000</v>
      </c>
    </row>
    <row r="513" spans="1:20" x14ac:dyDescent="0.25">
      <c r="A513">
        <v>512</v>
      </c>
      <c r="B513" s="5">
        <v>45439</v>
      </c>
      <c r="C513">
        <v>48</v>
      </c>
      <c r="D513">
        <v>6</v>
      </c>
      <c r="E513">
        <v>8</v>
      </c>
      <c r="F513" s="4" t="s">
        <v>395</v>
      </c>
      <c r="G513" s="4" t="s">
        <v>396</v>
      </c>
      <c r="H513" s="4" t="s">
        <v>42</v>
      </c>
      <c r="I513" s="4" t="s">
        <v>621</v>
      </c>
      <c r="J513" s="4" t="s">
        <v>37</v>
      </c>
      <c r="K513" s="4" t="s">
        <v>37</v>
      </c>
      <c r="L513" s="4" t="s">
        <v>38</v>
      </c>
      <c r="M513" s="4" t="s">
        <v>98</v>
      </c>
      <c r="N513" s="4" t="s">
        <v>151</v>
      </c>
      <c r="O513">
        <v>55000</v>
      </c>
      <c r="P513">
        <v>2</v>
      </c>
      <c r="Q513">
        <v>0</v>
      </c>
      <c r="R513">
        <v>110000</v>
      </c>
      <c r="S513">
        <v>0</v>
      </c>
      <c r="T513">
        <v>110000</v>
      </c>
    </row>
    <row r="514" spans="1:20" x14ac:dyDescent="0.25">
      <c r="A514">
        <v>513</v>
      </c>
      <c r="B514" s="5">
        <v>45440</v>
      </c>
      <c r="C514">
        <v>21</v>
      </c>
      <c r="D514">
        <v>5</v>
      </c>
      <c r="E514">
        <v>148</v>
      </c>
      <c r="F514" s="4" t="s">
        <v>176</v>
      </c>
      <c r="G514" s="4" t="s">
        <v>177</v>
      </c>
      <c r="H514" s="4" t="s">
        <v>19</v>
      </c>
      <c r="I514" s="4" t="s">
        <v>624</v>
      </c>
      <c r="J514" s="4" t="s">
        <v>76</v>
      </c>
      <c r="K514" s="4" t="s">
        <v>77</v>
      </c>
      <c r="L514" s="4" t="s">
        <v>29</v>
      </c>
      <c r="M514" s="4" t="s">
        <v>23</v>
      </c>
      <c r="N514" s="4" t="s">
        <v>24</v>
      </c>
      <c r="O514">
        <v>15000</v>
      </c>
      <c r="P514">
        <v>2</v>
      </c>
      <c r="Q514">
        <v>1</v>
      </c>
      <c r="R514">
        <v>30000</v>
      </c>
      <c r="S514">
        <v>300</v>
      </c>
      <c r="T514">
        <v>29700</v>
      </c>
    </row>
    <row r="515" spans="1:20" x14ac:dyDescent="0.25">
      <c r="A515">
        <v>514</v>
      </c>
      <c r="B515" s="5">
        <v>45441</v>
      </c>
      <c r="C515">
        <v>44</v>
      </c>
      <c r="D515">
        <v>7</v>
      </c>
      <c r="E515">
        <v>204</v>
      </c>
      <c r="F515" s="4" t="s">
        <v>139</v>
      </c>
      <c r="G515" s="4" t="s">
        <v>140</v>
      </c>
      <c r="H515" s="4" t="s">
        <v>19</v>
      </c>
      <c r="I515" s="4" t="s">
        <v>619</v>
      </c>
      <c r="J515" s="4" t="s">
        <v>43</v>
      </c>
      <c r="K515" s="4" t="s">
        <v>43</v>
      </c>
      <c r="L515" s="4" t="s">
        <v>22</v>
      </c>
      <c r="M515" s="4" t="s">
        <v>98</v>
      </c>
      <c r="N515" s="4" t="s">
        <v>151</v>
      </c>
      <c r="O515">
        <v>55000</v>
      </c>
      <c r="P515">
        <v>2</v>
      </c>
      <c r="Q515">
        <v>1</v>
      </c>
      <c r="R515">
        <v>110000</v>
      </c>
      <c r="S515">
        <v>1100</v>
      </c>
      <c r="T515">
        <v>108900</v>
      </c>
    </row>
    <row r="516" spans="1:20" x14ac:dyDescent="0.25">
      <c r="A516">
        <v>515</v>
      </c>
      <c r="B516" s="5">
        <v>45442</v>
      </c>
      <c r="C516">
        <v>7</v>
      </c>
      <c r="D516">
        <v>8</v>
      </c>
      <c r="E516">
        <v>177</v>
      </c>
      <c r="F516" s="4" t="s">
        <v>335</v>
      </c>
      <c r="G516" s="4" t="s">
        <v>336</v>
      </c>
      <c r="H516" s="4" t="s">
        <v>42</v>
      </c>
      <c r="I516" s="4" t="s">
        <v>610</v>
      </c>
      <c r="J516" s="4" t="s">
        <v>37</v>
      </c>
      <c r="K516" s="4" t="s">
        <v>37</v>
      </c>
      <c r="L516" s="4" t="s">
        <v>22</v>
      </c>
      <c r="M516" s="4" t="s">
        <v>46</v>
      </c>
      <c r="N516" s="4" t="s">
        <v>53</v>
      </c>
      <c r="O516">
        <v>750000</v>
      </c>
      <c r="P516">
        <v>3</v>
      </c>
      <c r="Q516">
        <v>1</v>
      </c>
      <c r="R516">
        <v>2250000</v>
      </c>
      <c r="S516">
        <v>22500</v>
      </c>
      <c r="T516">
        <v>2227500</v>
      </c>
    </row>
    <row r="517" spans="1:20" x14ac:dyDescent="0.25">
      <c r="A517">
        <v>516</v>
      </c>
      <c r="B517" s="5">
        <v>45443</v>
      </c>
      <c r="C517">
        <v>46</v>
      </c>
      <c r="D517">
        <v>5</v>
      </c>
      <c r="E517">
        <v>248</v>
      </c>
      <c r="F517" s="4" t="s">
        <v>275</v>
      </c>
      <c r="G517" s="4" t="s">
        <v>276</v>
      </c>
      <c r="H517" s="4" t="s">
        <v>19</v>
      </c>
      <c r="I517" s="4" t="s">
        <v>643</v>
      </c>
      <c r="J517" s="4" t="s">
        <v>84</v>
      </c>
      <c r="K517" s="4" t="s">
        <v>85</v>
      </c>
      <c r="L517" s="4" t="s">
        <v>38</v>
      </c>
      <c r="M517" s="4" t="s">
        <v>56</v>
      </c>
      <c r="N517" s="4" t="s">
        <v>57</v>
      </c>
      <c r="O517">
        <v>25000</v>
      </c>
      <c r="P517">
        <v>1</v>
      </c>
      <c r="Q517">
        <v>0</v>
      </c>
      <c r="R517">
        <v>25000</v>
      </c>
      <c r="S517">
        <v>0</v>
      </c>
      <c r="T517">
        <v>25000</v>
      </c>
    </row>
    <row r="518" spans="1:20" x14ac:dyDescent="0.25">
      <c r="A518">
        <v>517</v>
      </c>
      <c r="B518" s="5">
        <v>45444</v>
      </c>
      <c r="C518">
        <v>6</v>
      </c>
      <c r="D518">
        <v>2</v>
      </c>
      <c r="E518">
        <v>59</v>
      </c>
      <c r="F518" s="4" t="s">
        <v>539</v>
      </c>
      <c r="G518" s="4" t="s">
        <v>540</v>
      </c>
      <c r="H518" s="4" t="s">
        <v>19</v>
      </c>
      <c r="I518" s="4" t="s">
        <v>623</v>
      </c>
      <c r="J518" s="4" t="s">
        <v>52</v>
      </c>
      <c r="K518" s="4" t="s">
        <v>28</v>
      </c>
      <c r="L518" s="4" t="s">
        <v>38</v>
      </c>
      <c r="M518" s="4" t="s">
        <v>46</v>
      </c>
      <c r="N518" s="4" t="s">
        <v>53</v>
      </c>
      <c r="O518">
        <v>750000</v>
      </c>
      <c r="P518">
        <v>3</v>
      </c>
      <c r="Q518">
        <v>0</v>
      </c>
      <c r="R518">
        <v>2250000</v>
      </c>
      <c r="S518">
        <v>0</v>
      </c>
      <c r="T518">
        <v>2250000</v>
      </c>
    </row>
    <row r="519" spans="1:20" x14ac:dyDescent="0.25">
      <c r="A519">
        <v>518</v>
      </c>
      <c r="B519" s="5">
        <v>45445</v>
      </c>
      <c r="C519">
        <v>2</v>
      </c>
      <c r="D519">
        <v>2</v>
      </c>
      <c r="E519">
        <v>272</v>
      </c>
      <c r="F519" s="4" t="s">
        <v>403</v>
      </c>
      <c r="G519" s="4" t="s">
        <v>404</v>
      </c>
      <c r="H519" s="4" t="s">
        <v>19</v>
      </c>
      <c r="I519" s="4" t="s">
        <v>642</v>
      </c>
      <c r="J519" s="4" t="s">
        <v>101</v>
      </c>
      <c r="K519" s="4" t="s">
        <v>109</v>
      </c>
      <c r="L519" s="4" t="s">
        <v>22</v>
      </c>
      <c r="M519" s="4" t="s">
        <v>98</v>
      </c>
      <c r="N519" s="4" t="s">
        <v>151</v>
      </c>
      <c r="O519">
        <v>55000</v>
      </c>
      <c r="P519">
        <v>2</v>
      </c>
      <c r="Q519">
        <v>0</v>
      </c>
      <c r="R519">
        <v>110000</v>
      </c>
      <c r="S519">
        <v>0</v>
      </c>
      <c r="T519">
        <v>110000</v>
      </c>
    </row>
    <row r="520" spans="1:20" x14ac:dyDescent="0.25">
      <c r="A520">
        <v>519</v>
      </c>
      <c r="B520" s="5">
        <v>45446</v>
      </c>
      <c r="C520">
        <v>28</v>
      </c>
      <c r="D520">
        <v>5</v>
      </c>
      <c r="E520">
        <v>168</v>
      </c>
      <c r="F520" s="4" t="s">
        <v>445</v>
      </c>
      <c r="G520" s="4" t="s">
        <v>446</v>
      </c>
      <c r="H520" s="4" t="s">
        <v>19</v>
      </c>
      <c r="I520" s="4" t="s">
        <v>651</v>
      </c>
      <c r="J520" s="4" t="s">
        <v>116</v>
      </c>
      <c r="K520" s="4" t="s">
        <v>37</v>
      </c>
      <c r="L520" s="4" t="s">
        <v>29</v>
      </c>
      <c r="M520" s="4" t="s">
        <v>30</v>
      </c>
      <c r="N520" s="4" t="s">
        <v>31</v>
      </c>
      <c r="O520">
        <v>700000</v>
      </c>
      <c r="P520">
        <v>1</v>
      </c>
      <c r="Q520">
        <v>1</v>
      </c>
      <c r="R520">
        <v>700000</v>
      </c>
      <c r="S520">
        <v>7000</v>
      </c>
      <c r="T520">
        <v>693000</v>
      </c>
    </row>
    <row r="521" spans="1:20" x14ac:dyDescent="0.25">
      <c r="A521">
        <v>520</v>
      </c>
      <c r="B521" s="5">
        <v>45447</v>
      </c>
      <c r="C521">
        <v>64</v>
      </c>
      <c r="D521">
        <v>4</v>
      </c>
      <c r="E521">
        <v>132</v>
      </c>
      <c r="F521" s="4" t="s">
        <v>94</v>
      </c>
      <c r="G521" s="4" t="s">
        <v>95</v>
      </c>
      <c r="H521" s="4" t="s">
        <v>42</v>
      </c>
      <c r="I521" s="4" t="s">
        <v>610</v>
      </c>
      <c r="J521" s="4" t="s">
        <v>20</v>
      </c>
      <c r="K521" s="4" t="s">
        <v>21</v>
      </c>
      <c r="L521" s="4" t="s">
        <v>22</v>
      </c>
      <c r="M521" s="4" t="s">
        <v>56</v>
      </c>
      <c r="N521" s="4" t="s">
        <v>57</v>
      </c>
      <c r="O521">
        <v>25000</v>
      </c>
      <c r="P521">
        <v>2</v>
      </c>
      <c r="Q521">
        <v>1</v>
      </c>
      <c r="R521">
        <v>50000</v>
      </c>
      <c r="S521">
        <v>500</v>
      </c>
      <c r="T521">
        <v>49500</v>
      </c>
    </row>
    <row r="522" spans="1:20" x14ac:dyDescent="0.25">
      <c r="A522">
        <v>521</v>
      </c>
      <c r="B522" s="5">
        <v>45448</v>
      </c>
      <c r="C522">
        <v>7</v>
      </c>
      <c r="D522">
        <v>8</v>
      </c>
      <c r="E522">
        <v>57</v>
      </c>
      <c r="F522" s="4" t="s">
        <v>541</v>
      </c>
      <c r="G522" s="4" t="s">
        <v>542</v>
      </c>
      <c r="H522" s="4" t="s">
        <v>42</v>
      </c>
      <c r="I522" s="4" t="s">
        <v>616</v>
      </c>
      <c r="J522" s="4" t="s">
        <v>37</v>
      </c>
      <c r="K522" s="4" t="s">
        <v>37</v>
      </c>
      <c r="L522" s="4" t="s">
        <v>38</v>
      </c>
      <c r="M522" s="4" t="s">
        <v>49</v>
      </c>
      <c r="N522" s="4" t="s">
        <v>31</v>
      </c>
      <c r="O522">
        <v>800000</v>
      </c>
      <c r="P522">
        <v>3</v>
      </c>
      <c r="Q522">
        <v>5</v>
      </c>
      <c r="R522">
        <v>2400000</v>
      </c>
      <c r="S522">
        <v>120000</v>
      </c>
      <c r="T522">
        <v>2280000</v>
      </c>
    </row>
    <row r="523" spans="1:20" x14ac:dyDescent="0.25">
      <c r="A523">
        <v>522</v>
      </c>
      <c r="B523" s="5">
        <v>45449</v>
      </c>
      <c r="C523">
        <v>16</v>
      </c>
      <c r="D523">
        <v>3</v>
      </c>
      <c r="E523">
        <v>74</v>
      </c>
      <c r="F523" s="4" t="s">
        <v>415</v>
      </c>
      <c r="G523" s="4" t="s">
        <v>416</v>
      </c>
      <c r="H523" s="4" t="s">
        <v>19</v>
      </c>
      <c r="I523" s="4" t="s">
        <v>646</v>
      </c>
      <c r="J523" s="4" t="s">
        <v>20</v>
      </c>
      <c r="K523" s="4" t="s">
        <v>21</v>
      </c>
      <c r="L523" s="4" t="s">
        <v>29</v>
      </c>
      <c r="M523" s="4" t="s">
        <v>98</v>
      </c>
      <c r="N523" s="4" t="s">
        <v>151</v>
      </c>
      <c r="O523">
        <v>55000</v>
      </c>
      <c r="P523">
        <v>2</v>
      </c>
      <c r="Q523">
        <v>5</v>
      </c>
      <c r="R523">
        <v>110000</v>
      </c>
      <c r="S523">
        <v>5500</v>
      </c>
      <c r="T523">
        <v>104500</v>
      </c>
    </row>
    <row r="524" spans="1:20" x14ac:dyDescent="0.25">
      <c r="A524">
        <v>523</v>
      </c>
      <c r="B524" s="5">
        <v>45450</v>
      </c>
      <c r="C524">
        <v>9</v>
      </c>
      <c r="D524">
        <v>9</v>
      </c>
      <c r="E524">
        <v>152</v>
      </c>
      <c r="F524" s="4" t="s">
        <v>543</v>
      </c>
      <c r="G524" s="4" t="s">
        <v>544</v>
      </c>
      <c r="H524" s="4" t="s">
        <v>42</v>
      </c>
      <c r="I524" s="4" t="s">
        <v>627</v>
      </c>
      <c r="J524" s="4" t="s">
        <v>37</v>
      </c>
      <c r="K524" s="4" t="s">
        <v>37</v>
      </c>
      <c r="L524" s="4" t="s">
        <v>22</v>
      </c>
      <c r="M524" s="4" t="s">
        <v>46</v>
      </c>
      <c r="N524" s="4" t="s">
        <v>53</v>
      </c>
      <c r="O524">
        <v>750000</v>
      </c>
      <c r="P524">
        <v>1</v>
      </c>
      <c r="Q524">
        <v>1</v>
      </c>
      <c r="R524">
        <v>750000</v>
      </c>
      <c r="S524">
        <v>7500</v>
      </c>
      <c r="T524">
        <v>742500</v>
      </c>
    </row>
    <row r="525" spans="1:20" x14ac:dyDescent="0.25">
      <c r="A525">
        <v>524</v>
      </c>
      <c r="B525" s="5">
        <v>45451</v>
      </c>
      <c r="C525">
        <v>57</v>
      </c>
      <c r="D525">
        <v>3</v>
      </c>
      <c r="E525">
        <v>82</v>
      </c>
      <c r="F525" s="4" t="s">
        <v>447</v>
      </c>
      <c r="G525" s="4" t="s">
        <v>448</v>
      </c>
      <c r="H525" s="4" t="s">
        <v>19</v>
      </c>
      <c r="I525" s="4"/>
      <c r="J525" s="4" t="s">
        <v>52</v>
      </c>
      <c r="K525" s="4" t="s">
        <v>28</v>
      </c>
      <c r="L525" s="4" t="s">
        <v>22</v>
      </c>
      <c r="M525" s="4" t="s">
        <v>69</v>
      </c>
      <c r="N525" s="4" t="s">
        <v>53</v>
      </c>
      <c r="O525">
        <v>450000</v>
      </c>
      <c r="P525">
        <v>2</v>
      </c>
      <c r="Q525">
        <v>1</v>
      </c>
      <c r="R525">
        <v>900000</v>
      </c>
      <c r="S525">
        <v>9000</v>
      </c>
      <c r="T525">
        <v>891000</v>
      </c>
    </row>
    <row r="526" spans="1:20" x14ac:dyDescent="0.25">
      <c r="A526">
        <v>525</v>
      </c>
      <c r="B526" s="5">
        <v>45452</v>
      </c>
      <c r="C526">
        <v>42</v>
      </c>
      <c r="D526">
        <v>4</v>
      </c>
      <c r="E526">
        <v>113</v>
      </c>
      <c r="F526" s="4" t="s">
        <v>479</v>
      </c>
      <c r="G526" s="4" t="s">
        <v>480</v>
      </c>
      <c r="H526" s="4" t="s">
        <v>42</v>
      </c>
      <c r="I526" s="4" t="s">
        <v>610</v>
      </c>
      <c r="J526" s="4" t="s">
        <v>27</v>
      </c>
      <c r="K526" s="4" t="s">
        <v>28</v>
      </c>
      <c r="L526" s="4" t="s">
        <v>38</v>
      </c>
      <c r="M526" s="4" t="s">
        <v>62</v>
      </c>
      <c r="N526" s="4" t="s">
        <v>31</v>
      </c>
      <c r="O526">
        <v>650000</v>
      </c>
      <c r="P526">
        <v>3</v>
      </c>
      <c r="Q526">
        <v>0</v>
      </c>
      <c r="R526">
        <v>1950000</v>
      </c>
      <c r="S526">
        <v>0</v>
      </c>
      <c r="T526">
        <v>1950000</v>
      </c>
    </row>
    <row r="527" spans="1:20" x14ac:dyDescent="0.25">
      <c r="A527">
        <v>526</v>
      </c>
      <c r="B527" s="5">
        <v>45453</v>
      </c>
      <c r="C527">
        <v>40</v>
      </c>
      <c r="D527">
        <v>1</v>
      </c>
      <c r="E527">
        <v>279</v>
      </c>
      <c r="F527" s="4" t="s">
        <v>381</v>
      </c>
      <c r="G527" s="4" t="s">
        <v>382</v>
      </c>
      <c r="H527" s="4" t="s">
        <v>42</v>
      </c>
      <c r="I527" s="4" t="s">
        <v>610</v>
      </c>
      <c r="J527" s="4" t="s">
        <v>27</v>
      </c>
      <c r="K527" s="4" t="s">
        <v>28</v>
      </c>
      <c r="L527" s="4" t="s">
        <v>38</v>
      </c>
      <c r="M527" s="4" t="s">
        <v>62</v>
      </c>
      <c r="N527" s="4" t="s">
        <v>31</v>
      </c>
      <c r="O527">
        <v>650000</v>
      </c>
      <c r="P527">
        <v>3</v>
      </c>
      <c r="Q527">
        <v>0</v>
      </c>
      <c r="R527">
        <v>1950000</v>
      </c>
      <c r="S527">
        <v>0</v>
      </c>
      <c r="T527">
        <v>1950000</v>
      </c>
    </row>
    <row r="528" spans="1:20" x14ac:dyDescent="0.25">
      <c r="A528">
        <v>527</v>
      </c>
      <c r="B528" s="5">
        <v>45454</v>
      </c>
      <c r="C528">
        <v>27</v>
      </c>
      <c r="D528">
        <v>4</v>
      </c>
      <c r="E528">
        <v>114</v>
      </c>
      <c r="F528" s="4" t="s">
        <v>96</v>
      </c>
      <c r="G528" s="4" t="s">
        <v>97</v>
      </c>
      <c r="H528" s="4" t="s">
        <v>42</v>
      </c>
      <c r="I528" s="4" t="s">
        <v>640</v>
      </c>
      <c r="J528" s="4" t="s">
        <v>116</v>
      </c>
      <c r="K528" s="4" t="s">
        <v>37</v>
      </c>
      <c r="L528" s="4" t="s">
        <v>38</v>
      </c>
      <c r="M528" s="4" t="s">
        <v>49</v>
      </c>
      <c r="N528" s="4" t="s">
        <v>31</v>
      </c>
      <c r="O528">
        <v>800000</v>
      </c>
      <c r="P528">
        <v>1</v>
      </c>
      <c r="Q528">
        <v>5</v>
      </c>
      <c r="R528">
        <v>800000</v>
      </c>
      <c r="S528">
        <v>40000</v>
      </c>
      <c r="T528">
        <v>760000</v>
      </c>
    </row>
    <row r="529" spans="1:20" x14ac:dyDescent="0.25">
      <c r="A529">
        <v>528</v>
      </c>
      <c r="B529" s="5">
        <v>45455</v>
      </c>
      <c r="C529">
        <v>57</v>
      </c>
      <c r="D529">
        <v>3</v>
      </c>
      <c r="E529">
        <v>86</v>
      </c>
      <c r="F529" s="4" t="s">
        <v>214</v>
      </c>
      <c r="G529" s="4" t="s">
        <v>215</v>
      </c>
      <c r="H529" s="4" t="s">
        <v>19</v>
      </c>
      <c r="I529" s="4" t="s">
        <v>630</v>
      </c>
      <c r="J529" s="4" t="s">
        <v>52</v>
      </c>
      <c r="K529" s="4" t="s">
        <v>28</v>
      </c>
      <c r="L529" s="4" t="s">
        <v>22</v>
      </c>
      <c r="M529" s="4" t="s">
        <v>56</v>
      </c>
      <c r="N529" s="4" t="s">
        <v>57</v>
      </c>
      <c r="O529">
        <v>25000</v>
      </c>
      <c r="P529">
        <v>2</v>
      </c>
      <c r="Q529">
        <v>5</v>
      </c>
      <c r="R529">
        <v>50000</v>
      </c>
      <c r="S529">
        <v>2500</v>
      </c>
      <c r="T529">
        <v>47500</v>
      </c>
    </row>
    <row r="530" spans="1:20" x14ac:dyDescent="0.25">
      <c r="A530">
        <v>529</v>
      </c>
      <c r="B530" s="5">
        <v>45456</v>
      </c>
      <c r="C530">
        <v>37</v>
      </c>
      <c r="D530">
        <v>1</v>
      </c>
      <c r="E530">
        <v>76</v>
      </c>
      <c r="F530" s="4" t="s">
        <v>317</v>
      </c>
      <c r="G530" s="4" t="s">
        <v>318</v>
      </c>
      <c r="H530" s="4" t="s">
        <v>19</v>
      </c>
      <c r="I530" s="4" t="s">
        <v>621</v>
      </c>
      <c r="J530" s="4" t="s">
        <v>116</v>
      </c>
      <c r="K530" s="4" t="s">
        <v>37</v>
      </c>
      <c r="L530" s="4" t="s">
        <v>29</v>
      </c>
      <c r="M530" s="4" t="s">
        <v>46</v>
      </c>
      <c r="N530" s="4" t="s">
        <v>53</v>
      </c>
      <c r="O530">
        <v>750000</v>
      </c>
      <c r="P530">
        <v>1</v>
      </c>
      <c r="Q530">
        <v>0</v>
      </c>
      <c r="R530">
        <v>750000</v>
      </c>
      <c r="S530">
        <v>0</v>
      </c>
      <c r="T530">
        <v>750000</v>
      </c>
    </row>
    <row r="531" spans="1:20" x14ac:dyDescent="0.25">
      <c r="A531">
        <v>530</v>
      </c>
      <c r="B531" s="5">
        <v>45457</v>
      </c>
      <c r="C531">
        <v>33</v>
      </c>
      <c r="D531">
        <v>13</v>
      </c>
      <c r="E531">
        <v>240</v>
      </c>
      <c r="F531" s="4" t="s">
        <v>485</v>
      </c>
      <c r="G531" s="4" t="s">
        <v>486</v>
      </c>
      <c r="H531" s="4" t="s">
        <v>19</v>
      </c>
      <c r="I531" s="4" t="s">
        <v>648</v>
      </c>
      <c r="J531" s="4" t="s">
        <v>101</v>
      </c>
      <c r="K531" s="4" t="s">
        <v>109</v>
      </c>
      <c r="L531" s="4" t="s">
        <v>29</v>
      </c>
      <c r="M531" s="4" t="s">
        <v>46</v>
      </c>
      <c r="N531" s="4" t="s">
        <v>53</v>
      </c>
      <c r="O531">
        <v>750000</v>
      </c>
      <c r="P531">
        <v>3</v>
      </c>
      <c r="Q531">
        <v>0</v>
      </c>
      <c r="R531">
        <v>2250000</v>
      </c>
      <c r="S531">
        <v>0</v>
      </c>
      <c r="T531">
        <v>2250000</v>
      </c>
    </row>
    <row r="532" spans="1:20" x14ac:dyDescent="0.25">
      <c r="A532">
        <v>531</v>
      </c>
      <c r="B532" s="5">
        <v>45458</v>
      </c>
      <c r="C532">
        <v>7</v>
      </c>
      <c r="D532">
        <v>8</v>
      </c>
      <c r="E532">
        <v>186</v>
      </c>
      <c r="F532" s="4" t="s">
        <v>152</v>
      </c>
      <c r="G532" s="4" t="s">
        <v>153</v>
      </c>
      <c r="H532" s="4" t="s">
        <v>42</v>
      </c>
      <c r="I532" s="4" t="s">
        <v>636</v>
      </c>
      <c r="J532" s="4" t="s">
        <v>37</v>
      </c>
      <c r="K532" s="4" t="s">
        <v>37</v>
      </c>
      <c r="L532" s="4" t="s">
        <v>38</v>
      </c>
      <c r="M532" s="4" t="s">
        <v>23</v>
      </c>
      <c r="N532" s="4" t="s">
        <v>24</v>
      </c>
      <c r="O532">
        <v>15000</v>
      </c>
      <c r="P532">
        <v>1</v>
      </c>
      <c r="Q532">
        <v>5</v>
      </c>
      <c r="R532">
        <v>15000</v>
      </c>
      <c r="S532">
        <v>750</v>
      </c>
      <c r="T532">
        <v>14250</v>
      </c>
    </row>
    <row r="533" spans="1:20" x14ac:dyDescent="0.25">
      <c r="A533">
        <v>532</v>
      </c>
      <c r="B533" s="5">
        <v>45459</v>
      </c>
      <c r="C533">
        <v>1</v>
      </c>
      <c r="D533">
        <v>8</v>
      </c>
      <c r="E533">
        <v>210</v>
      </c>
      <c r="F533" s="4" t="s">
        <v>465</v>
      </c>
      <c r="G533" s="4" t="s">
        <v>466</v>
      </c>
      <c r="H533" s="4" t="s">
        <v>19</v>
      </c>
      <c r="I533" s="4" t="s">
        <v>654</v>
      </c>
      <c r="J533" s="4" t="s">
        <v>34</v>
      </c>
      <c r="K533" s="4" t="s">
        <v>272</v>
      </c>
      <c r="L533" s="4" t="s">
        <v>38</v>
      </c>
      <c r="M533" s="4" t="s">
        <v>62</v>
      </c>
      <c r="N533" s="4" t="s">
        <v>31</v>
      </c>
      <c r="O533">
        <v>650000</v>
      </c>
      <c r="P533">
        <v>2</v>
      </c>
      <c r="Q533">
        <v>0</v>
      </c>
      <c r="R533">
        <v>1300000</v>
      </c>
      <c r="S533">
        <v>0</v>
      </c>
      <c r="T533">
        <v>1300000</v>
      </c>
    </row>
    <row r="534" spans="1:20" x14ac:dyDescent="0.25">
      <c r="A534">
        <v>533</v>
      </c>
      <c r="B534" s="5">
        <v>45460</v>
      </c>
      <c r="C534">
        <v>44</v>
      </c>
      <c r="D534">
        <v>7</v>
      </c>
      <c r="E534">
        <v>61</v>
      </c>
      <c r="F534" s="4" t="s">
        <v>222</v>
      </c>
      <c r="G534" s="4" t="s">
        <v>223</v>
      </c>
      <c r="H534" s="4" t="s">
        <v>42</v>
      </c>
      <c r="I534" s="4" t="s">
        <v>639</v>
      </c>
      <c r="J534" s="4" t="s">
        <v>43</v>
      </c>
      <c r="K534" s="4" t="s">
        <v>43</v>
      </c>
      <c r="L534" s="4" t="s">
        <v>29</v>
      </c>
      <c r="M534" s="4" t="s">
        <v>69</v>
      </c>
      <c r="N534" s="4" t="s">
        <v>53</v>
      </c>
      <c r="O534">
        <v>450000</v>
      </c>
      <c r="P534">
        <v>1</v>
      </c>
      <c r="Q534">
        <v>0</v>
      </c>
      <c r="R534">
        <v>450000</v>
      </c>
      <c r="S534">
        <v>0</v>
      </c>
      <c r="T534">
        <v>450000</v>
      </c>
    </row>
    <row r="535" spans="1:20" x14ac:dyDescent="0.25">
      <c r="A535">
        <v>534</v>
      </c>
      <c r="B535" s="5">
        <v>45461</v>
      </c>
      <c r="C535">
        <v>48</v>
      </c>
      <c r="D535">
        <v>6</v>
      </c>
      <c r="E535">
        <v>263</v>
      </c>
      <c r="F535" s="4" t="s">
        <v>166</v>
      </c>
      <c r="G535" s="4" t="s">
        <v>167</v>
      </c>
      <c r="H535" s="4" t="s">
        <v>42</v>
      </c>
      <c r="I535" s="4" t="s">
        <v>612</v>
      </c>
      <c r="J535" s="4" t="s">
        <v>37</v>
      </c>
      <c r="K535" s="4" t="s">
        <v>37</v>
      </c>
      <c r="L535" s="4" t="s">
        <v>22</v>
      </c>
      <c r="M535" s="4" t="s">
        <v>49</v>
      </c>
      <c r="N535" s="4" t="s">
        <v>31</v>
      </c>
      <c r="O535">
        <v>800000</v>
      </c>
      <c r="P535">
        <v>1</v>
      </c>
      <c r="Q535">
        <v>1</v>
      </c>
      <c r="R535">
        <v>800000</v>
      </c>
      <c r="S535">
        <v>8000</v>
      </c>
      <c r="T535">
        <v>792000</v>
      </c>
    </row>
    <row r="536" spans="1:20" x14ac:dyDescent="0.25">
      <c r="A536">
        <v>535</v>
      </c>
      <c r="B536" s="5">
        <v>45462</v>
      </c>
      <c r="C536">
        <v>10</v>
      </c>
      <c r="D536">
        <v>7</v>
      </c>
      <c r="E536">
        <v>175</v>
      </c>
      <c r="F536" s="4" t="s">
        <v>519</v>
      </c>
      <c r="G536" s="4" t="s">
        <v>520</v>
      </c>
      <c r="H536" s="4" t="s">
        <v>19</v>
      </c>
      <c r="I536" s="4" t="s">
        <v>623</v>
      </c>
      <c r="J536" s="4" t="s">
        <v>37</v>
      </c>
      <c r="K536" s="4" t="s">
        <v>37</v>
      </c>
      <c r="L536" s="4" t="s">
        <v>38</v>
      </c>
      <c r="M536" s="4" t="s">
        <v>49</v>
      </c>
      <c r="N536" s="4" t="s">
        <v>31</v>
      </c>
      <c r="O536">
        <v>800000</v>
      </c>
      <c r="P536">
        <v>3</v>
      </c>
      <c r="Q536">
        <v>5</v>
      </c>
      <c r="R536">
        <v>2400000</v>
      </c>
      <c r="S536">
        <v>120000</v>
      </c>
      <c r="T536">
        <v>2280000</v>
      </c>
    </row>
    <row r="537" spans="1:20" x14ac:dyDescent="0.25">
      <c r="A537">
        <v>536</v>
      </c>
      <c r="B537" s="5">
        <v>45463</v>
      </c>
      <c r="C537">
        <v>27</v>
      </c>
      <c r="D537">
        <v>4</v>
      </c>
      <c r="E537">
        <v>262</v>
      </c>
      <c r="F537" s="4" t="s">
        <v>545</v>
      </c>
      <c r="G537" s="4" t="s">
        <v>546</v>
      </c>
      <c r="H537" s="4" t="s">
        <v>42</v>
      </c>
      <c r="I537" s="4" t="s">
        <v>641</v>
      </c>
      <c r="J537" s="4" t="s">
        <v>116</v>
      </c>
      <c r="K537" s="4" t="s">
        <v>37</v>
      </c>
      <c r="L537" s="4" t="s">
        <v>38</v>
      </c>
      <c r="M537" s="4" t="s">
        <v>56</v>
      </c>
      <c r="N537" s="4" t="s">
        <v>57</v>
      </c>
      <c r="O537">
        <v>25000</v>
      </c>
      <c r="P537">
        <v>1</v>
      </c>
      <c r="Q537">
        <v>0</v>
      </c>
      <c r="R537">
        <v>25000</v>
      </c>
      <c r="S537">
        <v>0</v>
      </c>
      <c r="T537">
        <v>25000</v>
      </c>
    </row>
    <row r="538" spans="1:20" x14ac:dyDescent="0.25">
      <c r="A538">
        <v>537</v>
      </c>
      <c r="B538" s="5">
        <v>45464</v>
      </c>
      <c r="C538">
        <v>11</v>
      </c>
      <c r="D538">
        <v>0</v>
      </c>
      <c r="E538">
        <v>196</v>
      </c>
      <c r="F538" s="4" t="s">
        <v>32</v>
      </c>
      <c r="G538" s="4" t="s">
        <v>33</v>
      </c>
      <c r="H538" s="4" t="s">
        <v>19</v>
      </c>
      <c r="I538" s="4" t="s">
        <v>627</v>
      </c>
      <c r="J538" s="4" t="s">
        <v>43</v>
      </c>
      <c r="K538" s="4" t="s">
        <v>43</v>
      </c>
      <c r="L538" s="4" t="s">
        <v>29</v>
      </c>
      <c r="M538" s="4" t="s">
        <v>69</v>
      </c>
      <c r="N538" s="4" t="s">
        <v>53</v>
      </c>
      <c r="O538">
        <v>450000</v>
      </c>
      <c r="P538">
        <v>1</v>
      </c>
      <c r="Q538">
        <v>0</v>
      </c>
      <c r="R538">
        <v>450000</v>
      </c>
      <c r="S538">
        <v>0</v>
      </c>
      <c r="T538">
        <v>450000</v>
      </c>
    </row>
    <row r="539" spans="1:20" x14ac:dyDescent="0.25">
      <c r="A539">
        <v>538</v>
      </c>
      <c r="B539" s="5">
        <v>45465</v>
      </c>
      <c r="C539">
        <v>30</v>
      </c>
      <c r="D539">
        <v>0</v>
      </c>
      <c r="E539">
        <v>121</v>
      </c>
      <c r="F539" s="4" t="s">
        <v>194</v>
      </c>
      <c r="G539" s="4" t="s">
        <v>195</v>
      </c>
      <c r="H539" s="4" t="s">
        <v>19</v>
      </c>
      <c r="I539" s="4" t="s">
        <v>621</v>
      </c>
      <c r="J539" s="4" t="s">
        <v>37</v>
      </c>
      <c r="K539" s="4" t="s">
        <v>37</v>
      </c>
      <c r="L539" s="4" t="s">
        <v>29</v>
      </c>
      <c r="M539" s="4" t="s">
        <v>98</v>
      </c>
      <c r="N539" s="4" t="s">
        <v>151</v>
      </c>
      <c r="O539">
        <v>55000</v>
      </c>
      <c r="P539">
        <v>3</v>
      </c>
      <c r="Q539">
        <v>1</v>
      </c>
      <c r="R539">
        <v>165000</v>
      </c>
      <c r="S539">
        <v>1650</v>
      </c>
      <c r="T539">
        <v>163350</v>
      </c>
    </row>
    <row r="540" spans="1:20" x14ac:dyDescent="0.25">
      <c r="A540">
        <v>539</v>
      </c>
      <c r="B540" s="5">
        <v>45466</v>
      </c>
      <c r="C540">
        <v>66</v>
      </c>
      <c r="D540">
        <v>2</v>
      </c>
      <c r="E540">
        <v>70</v>
      </c>
      <c r="F540" s="4" t="s">
        <v>343</v>
      </c>
      <c r="G540" s="4" t="s">
        <v>344</v>
      </c>
      <c r="H540" s="4" t="s">
        <v>42</v>
      </c>
      <c r="I540" s="4" t="s">
        <v>643</v>
      </c>
      <c r="J540" s="4" t="s">
        <v>27</v>
      </c>
      <c r="K540" s="4" t="s">
        <v>28</v>
      </c>
      <c r="L540" s="4" t="s">
        <v>22</v>
      </c>
      <c r="M540" s="4" t="s">
        <v>69</v>
      </c>
      <c r="N540" s="4" t="s">
        <v>53</v>
      </c>
      <c r="O540">
        <v>450000</v>
      </c>
      <c r="P540">
        <v>2</v>
      </c>
      <c r="Q540">
        <v>0</v>
      </c>
      <c r="R540">
        <v>900000</v>
      </c>
      <c r="S540">
        <v>0</v>
      </c>
      <c r="T540">
        <v>900000</v>
      </c>
    </row>
    <row r="541" spans="1:20" x14ac:dyDescent="0.25">
      <c r="A541">
        <v>540</v>
      </c>
      <c r="B541" s="5">
        <v>45467</v>
      </c>
      <c r="C541">
        <v>58</v>
      </c>
      <c r="D541">
        <v>1</v>
      </c>
      <c r="E541">
        <v>159</v>
      </c>
      <c r="F541" s="4" t="s">
        <v>349</v>
      </c>
      <c r="G541" s="4" t="s">
        <v>350</v>
      </c>
      <c r="H541" s="4" t="s">
        <v>42</v>
      </c>
      <c r="I541" s="4"/>
      <c r="J541" s="4" t="s">
        <v>76</v>
      </c>
      <c r="K541" s="4" t="s">
        <v>77</v>
      </c>
      <c r="L541" s="4" t="s">
        <v>29</v>
      </c>
      <c r="M541" s="4" t="s">
        <v>46</v>
      </c>
      <c r="N541" s="4" t="s">
        <v>53</v>
      </c>
      <c r="O541">
        <v>750000</v>
      </c>
      <c r="P541">
        <v>2</v>
      </c>
      <c r="Q541">
        <v>0</v>
      </c>
      <c r="R541">
        <v>1500000</v>
      </c>
      <c r="S541">
        <v>0</v>
      </c>
      <c r="T541">
        <v>1500000</v>
      </c>
    </row>
    <row r="542" spans="1:20" x14ac:dyDescent="0.25">
      <c r="A542">
        <v>541</v>
      </c>
      <c r="B542" s="5">
        <v>45468</v>
      </c>
      <c r="C542">
        <v>10</v>
      </c>
      <c r="D542">
        <v>7</v>
      </c>
      <c r="E542">
        <v>29</v>
      </c>
      <c r="F542" s="4" t="s">
        <v>547</v>
      </c>
      <c r="G542" s="4" t="s">
        <v>548</v>
      </c>
      <c r="H542" s="4" t="s">
        <v>19</v>
      </c>
      <c r="I542" s="4" t="s">
        <v>643</v>
      </c>
      <c r="J542" s="4" t="s">
        <v>37</v>
      </c>
      <c r="K542" s="4" t="s">
        <v>37</v>
      </c>
      <c r="L542" s="4" t="s">
        <v>38</v>
      </c>
      <c r="M542" s="4" t="s">
        <v>56</v>
      </c>
      <c r="N542" s="4" t="s">
        <v>57</v>
      </c>
      <c r="O542">
        <v>25000</v>
      </c>
      <c r="P542">
        <v>1</v>
      </c>
      <c r="Q542">
        <v>0</v>
      </c>
      <c r="R542">
        <v>25000</v>
      </c>
      <c r="S542">
        <v>0</v>
      </c>
      <c r="T542">
        <v>25000</v>
      </c>
    </row>
    <row r="543" spans="1:20" x14ac:dyDescent="0.25">
      <c r="A543">
        <v>542</v>
      </c>
      <c r="B543" s="5">
        <v>45469</v>
      </c>
      <c r="C543">
        <v>36</v>
      </c>
      <c r="D543">
        <v>4</v>
      </c>
      <c r="E543">
        <v>270</v>
      </c>
      <c r="F543" s="4" t="s">
        <v>467</v>
      </c>
      <c r="G543" s="4" t="s">
        <v>468</v>
      </c>
      <c r="H543" s="4" t="s">
        <v>19</v>
      </c>
      <c r="I543" s="4" t="s">
        <v>622</v>
      </c>
      <c r="J543" s="4" t="s">
        <v>101</v>
      </c>
      <c r="K543" s="4" t="s">
        <v>109</v>
      </c>
      <c r="L543" s="4" t="s">
        <v>22</v>
      </c>
      <c r="M543" s="4" t="s">
        <v>30</v>
      </c>
      <c r="N543" s="4" t="s">
        <v>31</v>
      </c>
      <c r="O543">
        <v>700000</v>
      </c>
      <c r="P543">
        <v>3</v>
      </c>
      <c r="Q543">
        <v>0</v>
      </c>
      <c r="R543">
        <v>2100000</v>
      </c>
      <c r="S543">
        <v>0</v>
      </c>
      <c r="T543">
        <v>2100000</v>
      </c>
    </row>
    <row r="544" spans="1:20" x14ac:dyDescent="0.25">
      <c r="A544">
        <v>543</v>
      </c>
      <c r="B544" s="5">
        <v>45470</v>
      </c>
      <c r="C544">
        <v>41</v>
      </c>
      <c r="D544">
        <v>4</v>
      </c>
      <c r="E544">
        <v>106</v>
      </c>
      <c r="F544" s="4" t="s">
        <v>451</v>
      </c>
      <c r="G544" s="4" t="s">
        <v>452</v>
      </c>
      <c r="H544" s="4" t="s">
        <v>19</v>
      </c>
      <c r="I544" s="4" t="s">
        <v>627</v>
      </c>
      <c r="J544" s="4" t="s">
        <v>43</v>
      </c>
      <c r="K544" s="4" t="s">
        <v>43</v>
      </c>
      <c r="L544" s="4" t="s">
        <v>22</v>
      </c>
      <c r="M544" s="4" t="s">
        <v>69</v>
      </c>
      <c r="N544" s="4" t="s">
        <v>53</v>
      </c>
      <c r="O544">
        <v>450000</v>
      </c>
      <c r="P544">
        <v>3</v>
      </c>
      <c r="Q544">
        <v>0</v>
      </c>
      <c r="R544">
        <v>1350000</v>
      </c>
      <c r="S544">
        <v>0</v>
      </c>
      <c r="T544">
        <v>1350000</v>
      </c>
    </row>
    <row r="545" spans="1:20" x14ac:dyDescent="0.25">
      <c r="A545">
        <v>544</v>
      </c>
      <c r="B545" s="5">
        <v>45471</v>
      </c>
      <c r="C545">
        <v>27</v>
      </c>
      <c r="D545">
        <v>4</v>
      </c>
      <c r="E545">
        <v>252</v>
      </c>
      <c r="F545" s="4" t="s">
        <v>99</v>
      </c>
      <c r="G545" s="4" t="s">
        <v>100</v>
      </c>
      <c r="H545" s="4" t="s">
        <v>42</v>
      </c>
      <c r="I545" s="4" t="s">
        <v>637</v>
      </c>
      <c r="J545" s="4" t="s">
        <v>116</v>
      </c>
      <c r="K545" s="4" t="s">
        <v>37</v>
      </c>
      <c r="L545" s="4" t="s">
        <v>22</v>
      </c>
      <c r="M545" s="4" t="s">
        <v>30</v>
      </c>
      <c r="N545" s="4" t="s">
        <v>31</v>
      </c>
      <c r="O545">
        <v>700000</v>
      </c>
      <c r="P545">
        <v>3</v>
      </c>
      <c r="Q545">
        <v>0</v>
      </c>
      <c r="R545">
        <v>2100000</v>
      </c>
      <c r="S545">
        <v>0</v>
      </c>
      <c r="T545">
        <v>2100000</v>
      </c>
    </row>
    <row r="546" spans="1:20" x14ac:dyDescent="0.25">
      <c r="A546">
        <v>545</v>
      </c>
      <c r="B546" s="5">
        <v>45472</v>
      </c>
      <c r="C546">
        <v>31</v>
      </c>
      <c r="D546">
        <v>4</v>
      </c>
      <c r="E546">
        <v>43</v>
      </c>
      <c r="F546" s="4" t="s">
        <v>112</v>
      </c>
      <c r="G546" s="4" t="s">
        <v>113</v>
      </c>
      <c r="H546" s="4" t="s">
        <v>19</v>
      </c>
      <c r="I546" s="4" t="s">
        <v>635</v>
      </c>
      <c r="J546" s="4" t="s">
        <v>101</v>
      </c>
      <c r="K546" s="4" t="s">
        <v>109</v>
      </c>
      <c r="L546" s="4" t="s">
        <v>38</v>
      </c>
      <c r="M546" s="4" t="s">
        <v>23</v>
      </c>
      <c r="N546" s="4" t="s">
        <v>24</v>
      </c>
      <c r="O546">
        <v>15000</v>
      </c>
      <c r="P546">
        <v>2</v>
      </c>
      <c r="Q546">
        <v>0</v>
      </c>
      <c r="R546">
        <v>30000</v>
      </c>
      <c r="S546">
        <v>0</v>
      </c>
      <c r="T546">
        <v>30000</v>
      </c>
    </row>
    <row r="547" spans="1:20" x14ac:dyDescent="0.25">
      <c r="A547">
        <v>546</v>
      </c>
      <c r="B547" s="5">
        <v>45473</v>
      </c>
      <c r="C547">
        <v>53</v>
      </c>
      <c r="D547">
        <v>1</v>
      </c>
      <c r="E547">
        <v>162</v>
      </c>
      <c r="F547" s="4" t="s">
        <v>110</v>
      </c>
      <c r="G547" s="4" t="s">
        <v>111</v>
      </c>
      <c r="H547" s="4" t="s">
        <v>42</v>
      </c>
      <c r="I547" s="4" t="s">
        <v>621</v>
      </c>
      <c r="J547" s="4" t="s">
        <v>76</v>
      </c>
      <c r="K547" s="4" t="s">
        <v>77</v>
      </c>
      <c r="L547" s="4" t="s">
        <v>38</v>
      </c>
      <c r="M547" s="4" t="s">
        <v>49</v>
      </c>
      <c r="N547" s="4" t="s">
        <v>31</v>
      </c>
      <c r="O547">
        <v>800000</v>
      </c>
      <c r="P547">
        <v>1</v>
      </c>
      <c r="Q547">
        <v>0</v>
      </c>
      <c r="R547">
        <v>800000</v>
      </c>
      <c r="S547">
        <v>0</v>
      </c>
      <c r="T547">
        <v>800000</v>
      </c>
    </row>
    <row r="548" spans="1:20" x14ac:dyDescent="0.25">
      <c r="A548">
        <v>547</v>
      </c>
      <c r="B548" s="5">
        <v>45474</v>
      </c>
      <c r="C548">
        <v>11</v>
      </c>
      <c r="D548">
        <v>0</v>
      </c>
      <c r="E548">
        <v>51</v>
      </c>
      <c r="F548" s="4" t="s">
        <v>341</v>
      </c>
      <c r="G548" s="4" t="s">
        <v>342</v>
      </c>
      <c r="H548" s="4" t="s">
        <v>19</v>
      </c>
      <c r="I548" s="4"/>
      <c r="J548" s="4" t="s">
        <v>43</v>
      </c>
      <c r="K548" s="4" t="s">
        <v>43</v>
      </c>
      <c r="L548" s="4" t="s">
        <v>29</v>
      </c>
      <c r="M548" s="4" t="s">
        <v>98</v>
      </c>
      <c r="N548" s="4" t="s">
        <v>151</v>
      </c>
      <c r="O548">
        <v>55000</v>
      </c>
      <c r="P548">
        <v>3</v>
      </c>
      <c r="Q548">
        <v>1</v>
      </c>
      <c r="R548">
        <v>165000</v>
      </c>
      <c r="S548">
        <v>1650</v>
      </c>
      <c r="T548">
        <v>163350</v>
      </c>
    </row>
    <row r="549" spans="1:20" x14ac:dyDescent="0.25">
      <c r="A549">
        <v>548</v>
      </c>
      <c r="B549" s="5">
        <v>45475</v>
      </c>
      <c r="C549">
        <v>9</v>
      </c>
      <c r="D549">
        <v>9</v>
      </c>
      <c r="E549">
        <v>11</v>
      </c>
      <c r="F549" s="4" t="s">
        <v>527</v>
      </c>
      <c r="G549" s="4" t="s">
        <v>528</v>
      </c>
      <c r="H549" s="4" t="s">
        <v>19</v>
      </c>
      <c r="I549" s="4" t="s">
        <v>639</v>
      </c>
      <c r="J549" s="4" t="s">
        <v>37</v>
      </c>
      <c r="K549" s="4" t="s">
        <v>37</v>
      </c>
      <c r="L549" s="4" t="s">
        <v>38</v>
      </c>
      <c r="M549" s="4" t="s">
        <v>30</v>
      </c>
      <c r="N549" s="4" t="s">
        <v>31</v>
      </c>
      <c r="O549">
        <v>700000</v>
      </c>
      <c r="P549">
        <v>1</v>
      </c>
      <c r="Q549">
        <v>0</v>
      </c>
      <c r="R549">
        <v>700000</v>
      </c>
      <c r="S549">
        <v>0</v>
      </c>
      <c r="T549">
        <v>700000</v>
      </c>
    </row>
    <row r="550" spans="1:20" x14ac:dyDescent="0.25">
      <c r="A550">
        <v>549</v>
      </c>
      <c r="B550" s="5">
        <v>45476</v>
      </c>
      <c r="C550">
        <v>18</v>
      </c>
      <c r="D550">
        <v>1</v>
      </c>
      <c r="E550">
        <v>208</v>
      </c>
      <c r="F550" s="4" t="s">
        <v>513</v>
      </c>
      <c r="G550" s="4" t="s">
        <v>514</v>
      </c>
      <c r="H550" s="4" t="s">
        <v>42</v>
      </c>
      <c r="I550" s="4" t="s">
        <v>620</v>
      </c>
      <c r="J550" s="4" t="s">
        <v>27</v>
      </c>
      <c r="K550" s="4" t="s">
        <v>28</v>
      </c>
      <c r="L550" s="4" t="s">
        <v>29</v>
      </c>
      <c r="M550" s="4" t="s">
        <v>98</v>
      </c>
      <c r="N550" s="4" t="s">
        <v>151</v>
      </c>
      <c r="O550">
        <v>55000</v>
      </c>
      <c r="P550">
        <v>1</v>
      </c>
      <c r="Q550">
        <v>5</v>
      </c>
      <c r="R550">
        <v>55000</v>
      </c>
      <c r="S550">
        <v>2750</v>
      </c>
      <c r="T550">
        <v>52250</v>
      </c>
    </row>
    <row r="551" spans="1:20" x14ac:dyDescent="0.25">
      <c r="A551">
        <v>550</v>
      </c>
      <c r="B551" s="5">
        <v>45477</v>
      </c>
      <c r="C551">
        <v>19</v>
      </c>
      <c r="D551">
        <v>5</v>
      </c>
      <c r="E551">
        <v>161</v>
      </c>
      <c r="F551" s="4" t="s">
        <v>549</v>
      </c>
      <c r="G551" s="4" t="s">
        <v>550</v>
      </c>
      <c r="H551" s="4" t="s">
        <v>19</v>
      </c>
      <c r="I551" s="4" t="s">
        <v>608</v>
      </c>
      <c r="J551" s="4" t="s">
        <v>20</v>
      </c>
      <c r="K551" s="4" t="s">
        <v>21</v>
      </c>
      <c r="L551" s="4" t="s">
        <v>22</v>
      </c>
      <c r="M551" s="4" t="s">
        <v>98</v>
      </c>
      <c r="N551" s="4" t="s">
        <v>151</v>
      </c>
      <c r="O551">
        <v>55000</v>
      </c>
      <c r="P551">
        <v>2</v>
      </c>
      <c r="Q551">
        <v>0</v>
      </c>
      <c r="R551">
        <v>110000</v>
      </c>
      <c r="S551">
        <v>0</v>
      </c>
      <c r="T551">
        <v>110000</v>
      </c>
    </row>
    <row r="552" spans="1:20" x14ac:dyDescent="0.25">
      <c r="A552">
        <v>551</v>
      </c>
      <c r="B552" s="5">
        <v>45478</v>
      </c>
      <c r="C552">
        <v>56</v>
      </c>
      <c r="D552">
        <v>2</v>
      </c>
      <c r="E552">
        <v>166</v>
      </c>
      <c r="F552" s="4" t="s">
        <v>345</v>
      </c>
      <c r="G552" s="4" t="s">
        <v>346</v>
      </c>
      <c r="H552" s="4" t="s">
        <v>42</v>
      </c>
      <c r="I552" s="4" t="s">
        <v>627</v>
      </c>
      <c r="J552" s="4" t="s">
        <v>27</v>
      </c>
      <c r="K552" s="4" t="s">
        <v>28</v>
      </c>
      <c r="L552" s="4" t="s">
        <v>38</v>
      </c>
      <c r="M552" s="4" t="s">
        <v>98</v>
      </c>
      <c r="N552" s="4" t="s">
        <v>151</v>
      </c>
      <c r="O552">
        <v>55000</v>
      </c>
      <c r="P552">
        <v>1</v>
      </c>
      <c r="Q552">
        <v>0</v>
      </c>
      <c r="R552">
        <v>55000</v>
      </c>
      <c r="S552">
        <v>0</v>
      </c>
      <c r="T552">
        <v>55000</v>
      </c>
    </row>
    <row r="553" spans="1:20" x14ac:dyDescent="0.25">
      <c r="A553">
        <v>552</v>
      </c>
      <c r="B553" s="5">
        <v>45479</v>
      </c>
      <c r="C553">
        <v>39</v>
      </c>
      <c r="D553">
        <v>6</v>
      </c>
      <c r="E553">
        <v>228</v>
      </c>
      <c r="F553" s="4" t="s">
        <v>236</v>
      </c>
      <c r="G553" s="4" t="s">
        <v>237</v>
      </c>
      <c r="H553" s="4" t="s">
        <v>42</v>
      </c>
      <c r="I553" s="4" t="s">
        <v>615</v>
      </c>
      <c r="J553" s="4" t="s">
        <v>43</v>
      </c>
      <c r="K553" s="4" t="s">
        <v>43</v>
      </c>
      <c r="L553" s="4" t="s">
        <v>38</v>
      </c>
      <c r="M553" s="4" t="s">
        <v>46</v>
      </c>
      <c r="N553" s="4" t="s">
        <v>53</v>
      </c>
      <c r="O553">
        <v>750000</v>
      </c>
      <c r="P553">
        <v>1</v>
      </c>
      <c r="Q553">
        <v>0</v>
      </c>
      <c r="R553">
        <v>750000</v>
      </c>
      <c r="S553">
        <v>0</v>
      </c>
      <c r="T553">
        <v>750000</v>
      </c>
    </row>
    <row r="554" spans="1:20" x14ac:dyDescent="0.25">
      <c r="A554">
        <v>553</v>
      </c>
      <c r="B554" s="5">
        <v>45480</v>
      </c>
      <c r="C554">
        <v>14</v>
      </c>
      <c r="D554">
        <v>0</v>
      </c>
      <c r="E554">
        <v>67</v>
      </c>
      <c r="F554" s="4" t="s">
        <v>70</v>
      </c>
      <c r="G554" s="4" t="s">
        <v>71</v>
      </c>
      <c r="H554" s="4" t="s">
        <v>19</v>
      </c>
      <c r="I554" s="4" t="s">
        <v>641</v>
      </c>
      <c r="J554" s="4" t="s">
        <v>34</v>
      </c>
      <c r="K554" s="4" t="s">
        <v>272</v>
      </c>
      <c r="L554" s="4" t="s">
        <v>38</v>
      </c>
      <c r="M554" s="4" t="s">
        <v>30</v>
      </c>
      <c r="N554" s="4" t="s">
        <v>31</v>
      </c>
      <c r="O554">
        <v>700000</v>
      </c>
      <c r="P554">
        <v>3</v>
      </c>
      <c r="Q554">
        <v>0</v>
      </c>
      <c r="R554">
        <v>2100000</v>
      </c>
      <c r="S554">
        <v>0</v>
      </c>
      <c r="T554">
        <v>2100000</v>
      </c>
    </row>
    <row r="555" spans="1:20" x14ac:dyDescent="0.25">
      <c r="A555">
        <v>554</v>
      </c>
      <c r="B555" s="5">
        <v>45481</v>
      </c>
      <c r="C555">
        <v>29</v>
      </c>
      <c r="D555">
        <v>1</v>
      </c>
      <c r="E555">
        <v>138</v>
      </c>
      <c r="F555" s="4" t="s">
        <v>421</v>
      </c>
      <c r="G555" s="4" t="s">
        <v>422</v>
      </c>
      <c r="H555" s="4" t="s">
        <v>42</v>
      </c>
      <c r="I555" s="4" t="s">
        <v>611</v>
      </c>
      <c r="J555" s="4" t="s">
        <v>116</v>
      </c>
      <c r="K555" s="4" t="s">
        <v>37</v>
      </c>
      <c r="L555" s="4" t="s">
        <v>38</v>
      </c>
      <c r="M555" s="4" t="s">
        <v>39</v>
      </c>
      <c r="N555" s="4" t="s">
        <v>24</v>
      </c>
      <c r="O555">
        <v>35000</v>
      </c>
      <c r="P555">
        <v>2</v>
      </c>
      <c r="Q555">
        <v>1</v>
      </c>
      <c r="R555">
        <v>70000</v>
      </c>
      <c r="S555">
        <v>700</v>
      </c>
      <c r="T555">
        <v>69300</v>
      </c>
    </row>
    <row r="556" spans="1:20" x14ac:dyDescent="0.25">
      <c r="A556">
        <v>555</v>
      </c>
      <c r="B556" s="5">
        <v>45482</v>
      </c>
      <c r="C556">
        <v>59</v>
      </c>
      <c r="D556">
        <v>1</v>
      </c>
      <c r="E556">
        <v>19</v>
      </c>
      <c r="F556" s="4" t="s">
        <v>503</v>
      </c>
      <c r="G556" s="4" t="s">
        <v>504</v>
      </c>
      <c r="H556" s="4" t="s">
        <v>19</v>
      </c>
      <c r="I556" s="4" t="s">
        <v>616</v>
      </c>
      <c r="J556" s="4" t="s">
        <v>43</v>
      </c>
      <c r="K556" s="4" t="s">
        <v>43</v>
      </c>
      <c r="L556" s="4" t="s">
        <v>22</v>
      </c>
      <c r="M556" s="4" t="s">
        <v>98</v>
      </c>
      <c r="N556" s="4" t="s">
        <v>151</v>
      </c>
      <c r="O556">
        <v>55000</v>
      </c>
      <c r="P556">
        <v>1</v>
      </c>
      <c r="Q556">
        <v>0</v>
      </c>
      <c r="R556">
        <v>55000</v>
      </c>
      <c r="S556">
        <v>0</v>
      </c>
      <c r="T556">
        <v>55000</v>
      </c>
    </row>
    <row r="557" spans="1:20" x14ac:dyDescent="0.25">
      <c r="A557">
        <v>556</v>
      </c>
      <c r="B557" s="5">
        <v>45483</v>
      </c>
      <c r="C557">
        <v>69</v>
      </c>
      <c r="D557">
        <v>1</v>
      </c>
      <c r="E557">
        <v>269</v>
      </c>
      <c r="F557" s="4" t="s">
        <v>72</v>
      </c>
      <c r="G557" s="4" t="s">
        <v>73</v>
      </c>
      <c r="H557" s="4" t="s">
        <v>42</v>
      </c>
      <c r="I557" s="4" t="s">
        <v>639</v>
      </c>
      <c r="J557" s="4" t="s">
        <v>76</v>
      </c>
      <c r="K557" s="4" t="s">
        <v>77</v>
      </c>
      <c r="L557" s="4" t="s">
        <v>38</v>
      </c>
      <c r="M557" s="4" t="s">
        <v>98</v>
      </c>
      <c r="N557" s="4" t="s">
        <v>151</v>
      </c>
      <c r="O557">
        <v>55000</v>
      </c>
      <c r="P557">
        <v>2</v>
      </c>
      <c r="Q557">
        <v>0</v>
      </c>
      <c r="R557">
        <v>110000</v>
      </c>
      <c r="S557">
        <v>0</v>
      </c>
      <c r="T557">
        <v>110000</v>
      </c>
    </row>
    <row r="558" spans="1:20" x14ac:dyDescent="0.25">
      <c r="A558">
        <v>557</v>
      </c>
      <c r="B558" s="5">
        <v>45484</v>
      </c>
      <c r="C558">
        <v>32</v>
      </c>
      <c r="D558">
        <v>5</v>
      </c>
      <c r="E558">
        <v>274</v>
      </c>
      <c r="F558" s="4" t="s">
        <v>226</v>
      </c>
      <c r="G558" s="4" t="s">
        <v>227</v>
      </c>
      <c r="H558" s="4" t="s">
        <v>42</v>
      </c>
      <c r="I558" s="4" t="s">
        <v>610</v>
      </c>
      <c r="J558" s="4" t="s">
        <v>76</v>
      </c>
      <c r="K558" s="4" t="s">
        <v>77</v>
      </c>
      <c r="L558" s="4" t="s">
        <v>22</v>
      </c>
      <c r="M558" s="4" t="s">
        <v>39</v>
      </c>
      <c r="N558" s="4" t="s">
        <v>24</v>
      </c>
      <c r="O558">
        <v>35000</v>
      </c>
      <c r="P558">
        <v>1</v>
      </c>
      <c r="Q558">
        <v>5</v>
      </c>
      <c r="R558">
        <v>35000</v>
      </c>
      <c r="S558">
        <v>1750</v>
      </c>
      <c r="T558">
        <v>33250</v>
      </c>
    </row>
    <row r="559" spans="1:20" x14ac:dyDescent="0.25">
      <c r="A559">
        <v>558</v>
      </c>
      <c r="B559" s="5">
        <v>45485</v>
      </c>
      <c r="C559">
        <v>32</v>
      </c>
      <c r="D559">
        <v>5</v>
      </c>
      <c r="E559">
        <v>27</v>
      </c>
      <c r="F559" s="4" t="s">
        <v>515</v>
      </c>
      <c r="G559" s="4" t="s">
        <v>516</v>
      </c>
      <c r="H559" s="4" t="s">
        <v>42</v>
      </c>
      <c r="I559" s="4" t="s">
        <v>638</v>
      </c>
      <c r="J559" s="4" t="s">
        <v>76</v>
      </c>
      <c r="K559" s="4" t="s">
        <v>77</v>
      </c>
      <c r="L559" s="4" t="s">
        <v>22</v>
      </c>
      <c r="M559" s="4" t="s">
        <v>102</v>
      </c>
      <c r="N559" s="4" t="s">
        <v>57</v>
      </c>
      <c r="O559">
        <v>12000</v>
      </c>
      <c r="P559">
        <v>3</v>
      </c>
      <c r="Q559">
        <v>1</v>
      </c>
      <c r="R559">
        <v>36000</v>
      </c>
      <c r="S559">
        <v>360</v>
      </c>
      <c r="T559">
        <v>35640</v>
      </c>
    </row>
    <row r="560" spans="1:20" x14ac:dyDescent="0.25">
      <c r="A560">
        <v>559</v>
      </c>
      <c r="B560" s="5">
        <v>45486</v>
      </c>
      <c r="C560">
        <v>10</v>
      </c>
      <c r="D560">
        <v>7</v>
      </c>
      <c r="E560">
        <v>148</v>
      </c>
      <c r="F560" s="4" t="s">
        <v>176</v>
      </c>
      <c r="G560" s="4" t="s">
        <v>177</v>
      </c>
      <c r="H560" s="4" t="s">
        <v>19</v>
      </c>
      <c r="I560" s="4" t="s">
        <v>624</v>
      </c>
      <c r="J560" s="4" t="s">
        <v>37</v>
      </c>
      <c r="K560" s="4" t="s">
        <v>37</v>
      </c>
      <c r="L560" s="4" t="s">
        <v>22</v>
      </c>
      <c r="M560" s="4" t="s">
        <v>39</v>
      </c>
      <c r="N560" s="4" t="s">
        <v>24</v>
      </c>
      <c r="O560">
        <v>35000</v>
      </c>
      <c r="P560">
        <v>1</v>
      </c>
      <c r="Q560">
        <v>0</v>
      </c>
      <c r="R560">
        <v>35000</v>
      </c>
      <c r="S560">
        <v>0</v>
      </c>
      <c r="T560">
        <v>35000</v>
      </c>
    </row>
    <row r="561" spans="1:20" x14ac:dyDescent="0.25">
      <c r="A561">
        <v>560</v>
      </c>
      <c r="B561" s="5">
        <v>45487</v>
      </c>
      <c r="C561">
        <v>50</v>
      </c>
      <c r="D561">
        <v>0</v>
      </c>
      <c r="E561">
        <v>102</v>
      </c>
      <c r="F561" s="4" t="s">
        <v>25</v>
      </c>
      <c r="G561" s="4" t="s">
        <v>26</v>
      </c>
      <c r="H561" s="4" t="s">
        <v>19</v>
      </c>
      <c r="I561" s="4" t="s">
        <v>639</v>
      </c>
      <c r="J561" s="4" t="s">
        <v>20</v>
      </c>
      <c r="K561" s="4" t="s">
        <v>21</v>
      </c>
      <c r="L561" s="4" t="s">
        <v>38</v>
      </c>
      <c r="M561" s="4" t="s">
        <v>69</v>
      </c>
      <c r="N561" s="4" t="s">
        <v>53</v>
      </c>
      <c r="O561">
        <v>450000</v>
      </c>
      <c r="P561">
        <v>2</v>
      </c>
      <c r="Q561">
        <v>0</v>
      </c>
      <c r="R561">
        <v>900000</v>
      </c>
      <c r="S561">
        <v>0</v>
      </c>
      <c r="T561">
        <v>900000</v>
      </c>
    </row>
    <row r="562" spans="1:20" x14ac:dyDescent="0.25">
      <c r="A562">
        <v>561</v>
      </c>
      <c r="B562" s="5">
        <v>45488</v>
      </c>
      <c r="C562">
        <v>6</v>
      </c>
      <c r="D562">
        <v>2</v>
      </c>
      <c r="E562">
        <v>221</v>
      </c>
      <c r="F562" s="4" t="s">
        <v>145</v>
      </c>
      <c r="G562" s="4" t="s">
        <v>146</v>
      </c>
      <c r="H562" s="4" t="s">
        <v>42</v>
      </c>
      <c r="I562" s="4" t="s">
        <v>647</v>
      </c>
      <c r="J562" s="4" t="s">
        <v>52</v>
      </c>
      <c r="K562" s="4" t="s">
        <v>28</v>
      </c>
      <c r="L562" s="4" t="s">
        <v>29</v>
      </c>
      <c r="M562" s="4" t="s">
        <v>69</v>
      </c>
      <c r="N562" s="4" t="s">
        <v>53</v>
      </c>
      <c r="O562">
        <v>450000</v>
      </c>
      <c r="P562">
        <v>1</v>
      </c>
      <c r="Q562">
        <v>5</v>
      </c>
      <c r="R562">
        <v>450000</v>
      </c>
      <c r="S562">
        <v>22500</v>
      </c>
      <c r="T562">
        <v>427500</v>
      </c>
    </row>
    <row r="563" spans="1:20" x14ac:dyDescent="0.25">
      <c r="A563">
        <v>562</v>
      </c>
      <c r="B563" s="5">
        <v>45489</v>
      </c>
      <c r="C563">
        <v>70</v>
      </c>
      <c r="D563">
        <v>6</v>
      </c>
      <c r="E563">
        <v>203</v>
      </c>
      <c r="F563" s="4" t="s">
        <v>507</v>
      </c>
      <c r="G563" s="4" t="s">
        <v>508</v>
      </c>
      <c r="H563" s="4" t="s">
        <v>42</v>
      </c>
      <c r="I563" s="4" t="s">
        <v>619</v>
      </c>
      <c r="J563" s="4" t="s">
        <v>27</v>
      </c>
      <c r="K563" s="4" t="s">
        <v>28</v>
      </c>
      <c r="L563" s="4" t="s">
        <v>29</v>
      </c>
      <c r="M563" s="4" t="s">
        <v>23</v>
      </c>
      <c r="N563" s="4" t="s">
        <v>24</v>
      </c>
      <c r="O563">
        <v>15000</v>
      </c>
      <c r="P563">
        <v>1</v>
      </c>
      <c r="Q563">
        <v>0</v>
      </c>
      <c r="R563">
        <v>15000</v>
      </c>
      <c r="S563">
        <v>0</v>
      </c>
      <c r="T563">
        <v>15000</v>
      </c>
    </row>
    <row r="564" spans="1:20" x14ac:dyDescent="0.25">
      <c r="A564">
        <v>563</v>
      </c>
      <c r="B564" s="5">
        <v>45490</v>
      </c>
      <c r="C564">
        <v>60</v>
      </c>
      <c r="D564">
        <v>1</v>
      </c>
      <c r="E564">
        <v>240</v>
      </c>
      <c r="F564" s="4" t="s">
        <v>485</v>
      </c>
      <c r="G564" s="4" t="s">
        <v>486</v>
      </c>
      <c r="H564" s="4" t="s">
        <v>19</v>
      </c>
      <c r="I564" s="4" t="s">
        <v>648</v>
      </c>
      <c r="J564" s="4" t="s">
        <v>37</v>
      </c>
      <c r="K564" s="4" t="s">
        <v>37</v>
      </c>
      <c r="L564" s="4" t="s">
        <v>38</v>
      </c>
      <c r="M564" s="4" t="s">
        <v>30</v>
      </c>
      <c r="N564" s="4" t="s">
        <v>31</v>
      </c>
      <c r="O564">
        <v>700000</v>
      </c>
      <c r="P564">
        <v>2</v>
      </c>
      <c r="Q564">
        <v>5</v>
      </c>
      <c r="R564">
        <v>1400000</v>
      </c>
      <c r="S564">
        <v>70000</v>
      </c>
      <c r="T564">
        <v>1330000</v>
      </c>
    </row>
    <row r="565" spans="1:20" x14ac:dyDescent="0.25">
      <c r="A565">
        <v>564</v>
      </c>
      <c r="B565" s="5">
        <v>45491</v>
      </c>
      <c r="C565">
        <v>65</v>
      </c>
      <c r="D565">
        <v>0</v>
      </c>
      <c r="E565">
        <v>236</v>
      </c>
      <c r="F565" s="4" t="s">
        <v>551</v>
      </c>
      <c r="G565" s="4" t="s">
        <v>552</v>
      </c>
      <c r="H565" s="4" t="s">
        <v>42</v>
      </c>
      <c r="I565" s="4" t="s">
        <v>617</v>
      </c>
      <c r="J565" s="4" t="s">
        <v>101</v>
      </c>
      <c r="K565" s="4" t="s">
        <v>109</v>
      </c>
      <c r="L565" s="4" t="s">
        <v>38</v>
      </c>
      <c r="M565" s="4" t="s">
        <v>30</v>
      </c>
      <c r="N565" s="4" t="s">
        <v>31</v>
      </c>
      <c r="O565">
        <v>700000</v>
      </c>
      <c r="P565">
        <v>1</v>
      </c>
      <c r="Q565">
        <v>5</v>
      </c>
      <c r="R565">
        <v>700000</v>
      </c>
      <c r="S565">
        <v>35000</v>
      </c>
      <c r="T565">
        <v>665000</v>
      </c>
    </row>
    <row r="566" spans="1:20" x14ac:dyDescent="0.25">
      <c r="A566">
        <v>565</v>
      </c>
      <c r="B566" s="5">
        <v>45492</v>
      </c>
      <c r="C566">
        <v>44</v>
      </c>
      <c r="D566">
        <v>7</v>
      </c>
      <c r="E566">
        <v>209</v>
      </c>
      <c r="F566" s="4" t="s">
        <v>387</v>
      </c>
      <c r="G566" s="4" t="s">
        <v>388</v>
      </c>
      <c r="H566" s="4" t="s">
        <v>19</v>
      </c>
      <c r="I566" s="4" t="s">
        <v>620</v>
      </c>
      <c r="J566" s="4" t="s">
        <v>43</v>
      </c>
      <c r="K566" s="4" t="s">
        <v>43</v>
      </c>
      <c r="L566" s="4" t="s">
        <v>38</v>
      </c>
      <c r="M566" s="4" t="s">
        <v>62</v>
      </c>
      <c r="N566" s="4" t="s">
        <v>31</v>
      </c>
      <c r="O566">
        <v>650000</v>
      </c>
      <c r="P566">
        <v>2</v>
      </c>
      <c r="Q566">
        <v>0</v>
      </c>
      <c r="R566">
        <v>1300000</v>
      </c>
      <c r="S566">
        <v>0</v>
      </c>
      <c r="T566">
        <v>1300000</v>
      </c>
    </row>
    <row r="567" spans="1:20" x14ac:dyDescent="0.25">
      <c r="A567">
        <v>566</v>
      </c>
      <c r="B567" s="5">
        <v>45493</v>
      </c>
      <c r="C567">
        <v>3</v>
      </c>
      <c r="D567">
        <v>1</v>
      </c>
      <c r="E567">
        <v>99</v>
      </c>
      <c r="F567" s="4" t="s">
        <v>147</v>
      </c>
      <c r="G567" s="4" t="s">
        <v>148</v>
      </c>
      <c r="H567" s="4" t="s">
        <v>19</v>
      </c>
      <c r="I567" s="4" t="s">
        <v>610</v>
      </c>
      <c r="J567" s="4" t="s">
        <v>37</v>
      </c>
      <c r="K567" s="4" t="s">
        <v>37</v>
      </c>
      <c r="L567" s="4" t="s">
        <v>22</v>
      </c>
      <c r="M567" s="4" t="s">
        <v>23</v>
      </c>
      <c r="N567" s="4" t="s">
        <v>24</v>
      </c>
      <c r="O567">
        <v>15000</v>
      </c>
      <c r="P567">
        <v>1</v>
      </c>
      <c r="Q567">
        <v>5</v>
      </c>
      <c r="R567">
        <v>15000</v>
      </c>
      <c r="S567">
        <v>750</v>
      </c>
      <c r="T567">
        <v>14250</v>
      </c>
    </row>
    <row r="568" spans="1:20" x14ac:dyDescent="0.25">
      <c r="A568">
        <v>567</v>
      </c>
      <c r="B568" s="5">
        <v>45494</v>
      </c>
      <c r="C568">
        <v>56</v>
      </c>
      <c r="D568">
        <v>2</v>
      </c>
      <c r="E568">
        <v>95</v>
      </c>
      <c r="F568" s="4" t="s">
        <v>216</v>
      </c>
      <c r="G568" s="4" t="s">
        <v>217</v>
      </c>
      <c r="H568" s="4" t="s">
        <v>42</v>
      </c>
      <c r="I568" s="4" t="s">
        <v>626</v>
      </c>
      <c r="J568" s="4" t="s">
        <v>27</v>
      </c>
      <c r="K568" s="4" t="s">
        <v>28</v>
      </c>
      <c r="L568" s="4" t="s">
        <v>38</v>
      </c>
      <c r="M568" s="4" t="s">
        <v>46</v>
      </c>
      <c r="N568" s="4" t="s">
        <v>53</v>
      </c>
      <c r="O568">
        <v>750000</v>
      </c>
      <c r="P568">
        <v>3</v>
      </c>
      <c r="Q568">
        <v>0</v>
      </c>
      <c r="R568">
        <v>2250000</v>
      </c>
      <c r="S568">
        <v>0</v>
      </c>
      <c r="T568">
        <v>2250000</v>
      </c>
    </row>
    <row r="569" spans="1:20" x14ac:dyDescent="0.25">
      <c r="A569">
        <v>568</v>
      </c>
      <c r="B569" s="5">
        <v>45495</v>
      </c>
      <c r="C569">
        <v>69</v>
      </c>
      <c r="D569">
        <v>1</v>
      </c>
      <c r="E569">
        <v>220</v>
      </c>
      <c r="F569" s="4" t="s">
        <v>103</v>
      </c>
      <c r="G569" s="4" t="s">
        <v>104</v>
      </c>
      <c r="H569" s="4" t="s">
        <v>19</v>
      </c>
      <c r="I569" s="4" t="s">
        <v>610</v>
      </c>
      <c r="J569" s="4" t="s">
        <v>76</v>
      </c>
      <c r="K569" s="4" t="s">
        <v>77</v>
      </c>
      <c r="L569" s="4" t="s">
        <v>29</v>
      </c>
      <c r="M569" s="4" t="s">
        <v>69</v>
      </c>
      <c r="N569" s="4" t="s">
        <v>53</v>
      </c>
      <c r="O569">
        <v>450000</v>
      </c>
      <c r="P569">
        <v>2</v>
      </c>
      <c r="Q569">
        <v>0</v>
      </c>
      <c r="R569">
        <v>900000</v>
      </c>
      <c r="S569">
        <v>0</v>
      </c>
      <c r="T569">
        <v>900000</v>
      </c>
    </row>
    <row r="570" spans="1:20" x14ac:dyDescent="0.25">
      <c r="A570">
        <v>569</v>
      </c>
      <c r="B570" s="5">
        <v>45496</v>
      </c>
      <c r="C570">
        <v>9</v>
      </c>
      <c r="D570">
        <v>9</v>
      </c>
      <c r="E570">
        <v>231</v>
      </c>
      <c r="F570" s="4" t="s">
        <v>347</v>
      </c>
      <c r="G570" s="4" t="s">
        <v>348</v>
      </c>
      <c r="H570" s="4" t="s">
        <v>19</v>
      </c>
      <c r="I570" s="4" t="s">
        <v>614</v>
      </c>
      <c r="J570" s="4" t="s">
        <v>37</v>
      </c>
      <c r="K570" s="4" t="s">
        <v>37</v>
      </c>
      <c r="L570" s="4" t="s">
        <v>38</v>
      </c>
      <c r="M570" s="4" t="s">
        <v>102</v>
      </c>
      <c r="N570" s="4" t="s">
        <v>57</v>
      </c>
      <c r="O570">
        <v>12000</v>
      </c>
      <c r="P570">
        <v>3</v>
      </c>
      <c r="Q570">
        <v>0</v>
      </c>
      <c r="R570">
        <v>36000</v>
      </c>
      <c r="S570">
        <v>0</v>
      </c>
      <c r="T570">
        <v>36000</v>
      </c>
    </row>
    <row r="571" spans="1:20" x14ac:dyDescent="0.25">
      <c r="A571">
        <v>570</v>
      </c>
      <c r="B571" s="5">
        <v>45497</v>
      </c>
      <c r="C571">
        <v>40</v>
      </c>
      <c r="D571">
        <v>1</v>
      </c>
      <c r="E571">
        <v>177</v>
      </c>
      <c r="F571" s="4" t="s">
        <v>335</v>
      </c>
      <c r="G571" s="4" t="s">
        <v>336</v>
      </c>
      <c r="H571" s="4" t="s">
        <v>42</v>
      </c>
      <c r="I571" s="4" t="s">
        <v>610</v>
      </c>
      <c r="J571" s="4" t="s">
        <v>27</v>
      </c>
      <c r="K571" s="4" t="s">
        <v>28</v>
      </c>
      <c r="L571" s="4" t="s">
        <v>38</v>
      </c>
      <c r="M571" s="4" t="s">
        <v>23</v>
      </c>
      <c r="N571" s="4" t="s">
        <v>24</v>
      </c>
      <c r="O571">
        <v>15000</v>
      </c>
      <c r="P571">
        <v>2</v>
      </c>
      <c r="Q571">
        <v>0</v>
      </c>
      <c r="R571">
        <v>30000</v>
      </c>
      <c r="S571">
        <v>0</v>
      </c>
      <c r="T571">
        <v>30000</v>
      </c>
    </row>
    <row r="572" spans="1:20" x14ac:dyDescent="0.25">
      <c r="A572">
        <v>571</v>
      </c>
      <c r="B572" s="5">
        <v>45498</v>
      </c>
      <c r="C572">
        <v>42</v>
      </c>
      <c r="D572">
        <v>4</v>
      </c>
      <c r="E572">
        <v>136</v>
      </c>
      <c r="F572" s="4" t="s">
        <v>60</v>
      </c>
      <c r="G572" s="4" t="s">
        <v>61</v>
      </c>
      <c r="H572" s="4" t="s">
        <v>42</v>
      </c>
      <c r="I572" s="4" t="s">
        <v>646</v>
      </c>
      <c r="J572" s="4" t="s">
        <v>27</v>
      </c>
      <c r="K572" s="4" t="s">
        <v>28</v>
      </c>
      <c r="L572" s="4" t="s">
        <v>22</v>
      </c>
      <c r="M572" s="4" t="s">
        <v>102</v>
      </c>
      <c r="N572" s="4" t="s">
        <v>57</v>
      </c>
      <c r="O572">
        <v>12000</v>
      </c>
      <c r="P572">
        <v>1</v>
      </c>
      <c r="Q572">
        <v>1</v>
      </c>
      <c r="R572">
        <v>12000</v>
      </c>
      <c r="S572">
        <v>120</v>
      </c>
      <c r="T572">
        <v>11880</v>
      </c>
    </row>
    <row r="573" spans="1:20" x14ac:dyDescent="0.25">
      <c r="A573">
        <v>572</v>
      </c>
      <c r="B573" s="5">
        <v>45499</v>
      </c>
      <c r="C573">
        <v>31</v>
      </c>
      <c r="D573">
        <v>4</v>
      </c>
      <c r="E573">
        <v>94</v>
      </c>
      <c r="F573" s="4" t="s">
        <v>477</v>
      </c>
      <c r="G573" s="4" t="s">
        <v>478</v>
      </c>
      <c r="H573" s="4" t="s">
        <v>19</v>
      </c>
      <c r="I573" s="4" t="s">
        <v>611</v>
      </c>
      <c r="J573" s="4" t="s">
        <v>101</v>
      </c>
      <c r="K573" s="4" t="s">
        <v>109</v>
      </c>
      <c r="L573" s="4" t="s">
        <v>29</v>
      </c>
      <c r="M573" s="4" t="s">
        <v>98</v>
      </c>
      <c r="N573" s="4" t="s">
        <v>151</v>
      </c>
      <c r="O573">
        <v>55000</v>
      </c>
      <c r="P573">
        <v>3</v>
      </c>
      <c r="Q573">
        <v>0</v>
      </c>
      <c r="R573">
        <v>165000</v>
      </c>
      <c r="S573">
        <v>0</v>
      </c>
      <c r="T573">
        <v>165000</v>
      </c>
    </row>
    <row r="574" spans="1:20" x14ac:dyDescent="0.25">
      <c r="A574">
        <v>573</v>
      </c>
      <c r="B574" s="5">
        <v>45500</v>
      </c>
      <c r="C574">
        <v>60</v>
      </c>
      <c r="D574">
        <v>1</v>
      </c>
      <c r="E574">
        <v>151</v>
      </c>
      <c r="F574" s="4" t="s">
        <v>375</v>
      </c>
      <c r="G574" s="4" t="s">
        <v>376</v>
      </c>
      <c r="H574" s="4" t="s">
        <v>19</v>
      </c>
      <c r="I574" s="4" t="s">
        <v>623</v>
      </c>
      <c r="J574" s="4" t="s">
        <v>37</v>
      </c>
      <c r="K574" s="4" t="s">
        <v>37</v>
      </c>
      <c r="L574" s="4" t="s">
        <v>29</v>
      </c>
      <c r="M574" s="4" t="s">
        <v>69</v>
      </c>
      <c r="N574" s="4" t="s">
        <v>53</v>
      </c>
      <c r="O574">
        <v>450000</v>
      </c>
      <c r="P574">
        <v>2</v>
      </c>
      <c r="Q574">
        <v>0</v>
      </c>
      <c r="R574">
        <v>900000</v>
      </c>
      <c r="S574">
        <v>0</v>
      </c>
      <c r="T574">
        <v>900000</v>
      </c>
    </row>
    <row r="575" spans="1:20" x14ac:dyDescent="0.25">
      <c r="A575">
        <v>574</v>
      </c>
      <c r="B575" s="5">
        <v>45501</v>
      </c>
      <c r="C575">
        <v>5</v>
      </c>
      <c r="D575">
        <v>1</v>
      </c>
      <c r="E575">
        <v>194</v>
      </c>
      <c r="F575" s="4" t="s">
        <v>553</v>
      </c>
      <c r="G575" s="4" t="s">
        <v>554</v>
      </c>
      <c r="H575" s="4" t="s">
        <v>42</v>
      </c>
      <c r="I575" s="4" t="s">
        <v>618</v>
      </c>
      <c r="J575" s="4" t="s">
        <v>27</v>
      </c>
      <c r="K575" s="4" t="s">
        <v>28</v>
      </c>
      <c r="L575" s="4" t="s">
        <v>22</v>
      </c>
      <c r="M575" s="4" t="s">
        <v>39</v>
      </c>
      <c r="N575" s="4" t="s">
        <v>24</v>
      </c>
      <c r="O575">
        <v>35000</v>
      </c>
      <c r="P575">
        <v>1</v>
      </c>
      <c r="Q575">
        <v>0</v>
      </c>
      <c r="R575">
        <v>35000</v>
      </c>
      <c r="S575">
        <v>0</v>
      </c>
      <c r="T575">
        <v>35000</v>
      </c>
    </row>
    <row r="576" spans="1:20" x14ac:dyDescent="0.25">
      <c r="A576">
        <v>575</v>
      </c>
      <c r="B576" s="5">
        <v>45502</v>
      </c>
      <c r="C576">
        <v>66</v>
      </c>
      <c r="D576">
        <v>2</v>
      </c>
      <c r="E576">
        <v>31</v>
      </c>
      <c r="F576" s="4" t="s">
        <v>511</v>
      </c>
      <c r="G576" s="4" t="s">
        <v>512</v>
      </c>
      <c r="H576" s="4" t="s">
        <v>19</v>
      </c>
      <c r="I576" s="4" t="s">
        <v>643</v>
      </c>
      <c r="J576" s="4" t="s">
        <v>27</v>
      </c>
      <c r="K576" s="4" t="s">
        <v>28</v>
      </c>
      <c r="L576" s="4" t="s">
        <v>22</v>
      </c>
      <c r="M576" s="4" t="s">
        <v>23</v>
      </c>
      <c r="N576" s="4" t="s">
        <v>24</v>
      </c>
      <c r="O576">
        <v>15000</v>
      </c>
      <c r="P576">
        <v>3</v>
      </c>
      <c r="Q576">
        <v>0</v>
      </c>
      <c r="R576">
        <v>45000</v>
      </c>
      <c r="S576">
        <v>0</v>
      </c>
      <c r="T576">
        <v>45000</v>
      </c>
    </row>
    <row r="577" spans="1:20" x14ac:dyDescent="0.25">
      <c r="A577">
        <v>576</v>
      </c>
      <c r="B577" s="5">
        <v>45503</v>
      </c>
      <c r="C577">
        <v>39</v>
      </c>
      <c r="D577">
        <v>6</v>
      </c>
      <c r="E577">
        <v>57</v>
      </c>
      <c r="F577" s="4" t="s">
        <v>541</v>
      </c>
      <c r="G577" s="4" t="s">
        <v>542</v>
      </c>
      <c r="H577" s="4" t="s">
        <v>42</v>
      </c>
      <c r="I577" s="4" t="s">
        <v>616</v>
      </c>
      <c r="J577" s="4" t="s">
        <v>43</v>
      </c>
      <c r="K577" s="4" t="s">
        <v>43</v>
      </c>
      <c r="L577" s="4" t="s">
        <v>22</v>
      </c>
      <c r="M577" s="4" t="s">
        <v>39</v>
      </c>
      <c r="N577" s="4" t="s">
        <v>24</v>
      </c>
      <c r="O577">
        <v>35000</v>
      </c>
      <c r="P577">
        <v>3</v>
      </c>
      <c r="Q577">
        <v>1</v>
      </c>
      <c r="R577">
        <v>105000</v>
      </c>
      <c r="S577">
        <v>1050</v>
      </c>
      <c r="T577">
        <v>103950</v>
      </c>
    </row>
    <row r="578" spans="1:20" x14ac:dyDescent="0.25">
      <c r="A578">
        <v>577</v>
      </c>
      <c r="B578" s="5">
        <v>45504</v>
      </c>
      <c r="C578">
        <v>26</v>
      </c>
      <c r="D578">
        <v>6</v>
      </c>
      <c r="E578">
        <v>262</v>
      </c>
      <c r="F578" s="4" t="s">
        <v>545</v>
      </c>
      <c r="G578" s="4" t="s">
        <v>546</v>
      </c>
      <c r="H578" s="4" t="s">
        <v>42</v>
      </c>
      <c r="I578" s="4" t="s">
        <v>641</v>
      </c>
      <c r="J578" s="4" t="s">
        <v>101</v>
      </c>
      <c r="K578" s="4" t="s">
        <v>109</v>
      </c>
      <c r="L578" s="4" t="s">
        <v>22</v>
      </c>
      <c r="M578" s="4" t="s">
        <v>49</v>
      </c>
      <c r="N578" s="4" t="s">
        <v>31</v>
      </c>
      <c r="O578">
        <v>800000</v>
      </c>
      <c r="P578">
        <v>2</v>
      </c>
      <c r="Q578">
        <v>1</v>
      </c>
      <c r="R578">
        <v>1600000</v>
      </c>
      <c r="S578">
        <v>16000</v>
      </c>
      <c r="T578">
        <v>1584000</v>
      </c>
    </row>
    <row r="579" spans="1:20" x14ac:dyDescent="0.25">
      <c r="A579">
        <v>578</v>
      </c>
      <c r="B579" s="5">
        <v>45505</v>
      </c>
      <c r="C579">
        <v>4</v>
      </c>
      <c r="D579">
        <v>3</v>
      </c>
      <c r="E579">
        <v>67</v>
      </c>
      <c r="F579" s="4" t="s">
        <v>70</v>
      </c>
      <c r="G579" s="4" t="s">
        <v>71</v>
      </c>
      <c r="H579" s="4" t="s">
        <v>19</v>
      </c>
      <c r="I579" s="4" t="s">
        <v>641</v>
      </c>
      <c r="J579" s="4" t="s">
        <v>52</v>
      </c>
      <c r="K579" s="4" t="s">
        <v>28</v>
      </c>
      <c r="L579" s="4" t="s">
        <v>22</v>
      </c>
      <c r="M579" s="4" t="s">
        <v>46</v>
      </c>
      <c r="N579" s="4" t="s">
        <v>53</v>
      </c>
      <c r="O579">
        <v>750000</v>
      </c>
      <c r="P579">
        <v>2</v>
      </c>
      <c r="Q579">
        <v>1</v>
      </c>
      <c r="R579">
        <v>1500000</v>
      </c>
      <c r="S579">
        <v>15000</v>
      </c>
      <c r="T579">
        <v>1485000</v>
      </c>
    </row>
    <row r="580" spans="1:20" x14ac:dyDescent="0.25">
      <c r="A580">
        <v>579</v>
      </c>
      <c r="B580" s="5">
        <v>45506</v>
      </c>
      <c r="C580">
        <v>7</v>
      </c>
      <c r="D580">
        <v>8</v>
      </c>
      <c r="E580">
        <v>245</v>
      </c>
      <c r="F580" s="4" t="s">
        <v>555</v>
      </c>
      <c r="G580" s="4" t="s">
        <v>556</v>
      </c>
      <c r="H580" s="4" t="s">
        <v>42</v>
      </c>
      <c r="I580" s="4" t="s">
        <v>618</v>
      </c>
      <c r="J580" s="4" t="s">
        <v>37</v>
      </c>
      <c r="K580" s="4" t="s">
        <v>37</v>
      </c>
      <c r="L580" s="4" t="s">
        <v>22</v>
      </c>
      <c r="M580" s="4" t="s">
        <v>49</v>
      </c>
      <c r="N580" s="4" t="s">
        <v>31</v>
      </c>
      <c r="O580">
        <v>800000</v>
      </c>
      <c r="P580">
        <v>3</v>
      </c>
      <c r="Q580">
        <v>1</v>
      </c>
      <c r="R580">
        <v>2400000</v>
      </c>
      <c r="S580">
        <v>24000</v>
      </c>
      <c r="T580">
        <v>2376000</v>
      </c>
    </row>
    <row r="581" spans="1:20" x14ac:dyDescent="0.25">
      <c r="A581">
        <v>580</v>
      </c>
      <c r="B581" s="5">
        <v>45507</v>
      </c>
      <c r="C581">
        <v>30</v>
      </c>
      <c r="D581">
        <v>0</v>
      </c>
      <c r="E581">
        <v>158</v>
      </c>
      <c r="F581" s="4" t="s">
        <v>469</v>
      </c>
      <c r="G581" s="4" t="s">
        <v>470</v>
      </c>
      <c r="H581" s="4" t="s">
        <v>19</v>
      </c>
      <c r="I581" s="4" t="s">
        <v>609</v>
      </c>
      <c r="J581" s="4" t="s">
        <v>37</v>
      </c>
      <c r="K581" s="4" t="s">
        <v>37</v>
      </c>
      <c r="L581" s="4" t="s">
        <v>38</v>
      </c>
      <c r="M581" s="4" t="s">
        <v>62</v>
      </c>
      <c r="N581" s="4" t="s">
        <v>31</v>
      </c>
      <c r="O581">
        <v>650000</v>
      </c>
      <c r="P581">
        <v>1</v>
      </c>
      <c r="Q581">
        <v>0</v>
      </c>
      <c r="R581">
        <v>650000</v>
      </c>
      <c r="S581">
        <v>0</v>
      </c>
      <c r="T581">
        <v>650000</v>
      </c>
    </row>
    <row r="582" spans="1:20" x14ac:dyDescent="0.25">
      <c r="A582">
        <v>581</v>
      </c>
      <c r="B582" s="5">
        <v>45508</v>
      </c>
      <c r="C582">
        <v>47</v>
      </c>
      <c r="D582">
        <v>1</v>
      </c>
      <c r="E582">
        <v>178</v>
      </c>
      <c r="F582" s="4" t="s">
        <v>125</v>
      </c>
      <c r="G582" s="4" t="s">
        <v>126</v>
      </c>
      <c r="H582" s="4" t="s">
        <v>42</v>
      </c>
      <c r="I582" s="4" t="s">
        <v>628</v>
      </c>
      <c r="J582" s="4" t="s">
        <v>116</v>
      </c>
      <c r="K582" s="4" t="s">
        <v>37</v>
      </c>
      <c r="L582" s="4" t="s">
        <v>38</v>
      </c>
      <c r="M582" s="4" t="s">
        <v>46</v>
      </c>
      <c r="N582" s="4" t="s">
        <v>53</v>
      </c>
      <c r="O582">
        <v>750000</v>
      </c>
      <c r="P582">
        <v>2</v>
      </c>
      <c r="Q582">
        <v>1</v>
      </c>
      <c r="R582">
        <v>1500000</v>
      </c>
      <c r="S582">
        <v>15000</v>
      </c>
      <c r="T582">
        <v>1485000</v>
      </c>
    </row>
    <row r="583" spans="1:20" x14ac:dyDescent="0.25">
      <c r="A583">
        <v>582</v>
      </c>
      <c r="B583" s="5">
        <v>45509</v>
      </c>
      <c r="C583">
        <v>15</v>
      </c>
      <c r="D583">
        <v>0</v>
      </c>
      <c r="E583">
        <v>7</v>
      </c>
      <c r="F583" s="4" t="s">
        <v>397</v>
      </c>
      <c r="G583" s="4" t="s">
        <v>398</v>
      </c>
      <c r="H583" s="4" t="s">
        <v>19</v>
      </c>
      <c r="I583" s="4" t="s">
        <v>646</v>
      </c>
      <c r="J583" s="4" t="s">
        <v>34</v>
      </c>
      <c r="K583" s="4" t="s">
        <v>272</v>
      </c>
      <c r="L583" s="4" t="s">
        <v>22</v>
      </c>
      <c r="M583" s="4" t="s">
        <v>39</v>
      </c>
      <c r="N583" s="4" t="s">
        <v>24</v>
      </c>
      <c r="O583">
        <v>35000</v>
      </c>
      <c r="P583">
        <v>3</v>
      </c>
      <c r="Q583">
        <v>0</v>
      </c>
      <c r="R583">
        <v>105000</v>
      </c>
      <c r="S583">
        <v>0</v>
      </c>
      <c r="T583">
        <v>105000</v>
      </c>
    </row>
    <row r="584" spans="1:20" x14ac:dyDescent="0.25">
      <c r="A584">
        <v>583</v>
      </c>
      <c r="B584" s="5">
        <v>45510</v>
      </c>
      <c r="C584">
        <v>3</v>
      </c>
      <c r="D584">
        <v>1</v>
      </c>
      <c r="E584">
        <v>77</v>
      </c>
      <c r="F584" s="4" t="s">
        <v>557</v>
      </c>
      <c r="G584" s="4" t="s">
        <v>558</v>
      </c>
      <c r="H584" s="4" t="s">
        <v>19</v>
      </c>
      <c r="I584" s="4" t="s">
        <v>622</v>
      </c>
      <c r="J584" s="4" t="s">
        <v>37</v>
      </c>
      <c r="K584" s="4" t="s">
        <v>37</v>
      </c>
      <c r="L584" s="4" t="s">
        <v>29</v>
      </c>
      <c r="M584" s="4" t="s">
        <v>39</v>
      </c>
      <c r="N584" s="4" t="s">
        <v>24</v>
      </c>
      <c r="O584">
        <v>35000</v>
      </c>
      <c r="P584">
        <v>1</v>
      </c>
      <c r="Q584">
        <v>0</v>
      </c>
      <c r="R584">
        <v>35000</v>
      </c>
      <c r="S584">
        <v>0</v>
      </c>
      <c r="T584">
        <v>35000</v>
      </c>
    </row>
    <row r="585" spans="1:20" x14ac:dyDescent="0.25">
      <c r="A585">
        <v>584</v>
      </c>
      <c r="B585" s="5">
        <v>45511</v>
      </c>
      <c r="C585">
        <v>33</v>
      </c>
      <c r="D585">
        <v>13</v>
      </c>
      <c r="E585">
        <v>38</v>
      </c>
      <c r="F585" s="4" t="s">
        <v>200</v>
      </c>
      <c r="G585" s="4" t="s">
        <v>201</v>
      </c>
      <c r="H585" s="4" t="s">
        <v>19</v>
      </c>
      <c r="I585" s="4" t="s">
        <v>612</v>
      </c>
      <c r="J585" s="4" t="s">
        <v>101</v>
      </c>
      <c r="K585" s="4" t="s">
        <v>109</v>
      </c>
      <c r="L585" s="4" t="s">
        <v>38</v>
      </c>
      <c r="M585" s="4" t="s">
        <v>56</v>
      </c>
      <c r="N585" s="4" t="s">
        <v>57</v>
      </c>
      <c r="O585">
        <v>25000</v>
      </c>
      <c r="P585">
        <v>3</v>
      </c>
      <c r="Q585">
        <v>1</v>
      </c>
      <c r="R585">
        <v>75000</v>
      </c>
      <c r="S585">
        <v>750</v>
      </c>
      <c r="T585">
        <v>74250</v>
      </c>
    </row>
    <row r="586" spans="1:20" x14ac:dyDescent="0.25">
      <c r="A586">
        <v>585</v>
      </c>
      <c r="B586" s="5">
        <v>45512</v>
      </c>
      <c r="C586">
        <v>58</v>
      </c>
      <c r="D586">
        <v>1</v>
      </c>
      <c r="E586">
        <v>230</v>
      </c>
      <c r="F586" s="4" t="s">
        <v>495</v>
      </c>
      <c r="G586" s="4" t="s">
        <v>496</v>
      </c>
      <c r="H586" s="4" t="s">
        <v>19</v>
      </c>
      <c r="I586" s="4" t="s">
        <v>636</v>
      </c>
      <c r="J586" s="4" t="s">
        <v>76</v>
      </c>
      <c r="K586" s="4" t="s">
        <v>77</v>
      </c>
      <c r="L586" s="4" t="s">
        <v>29</v>
      </c>
      <c r="M586" s="4" t="s">
        <v>39</v>
      </c>
      <c r="N586" s="4" t="s">
        <v>24</v>
      </c>
      <c r="O586">
        <v>35000</v>
      </c>
      <c r="P586">
        <v>3</v>
      </c>
      <c r="Q586">
        <v>0</v>
      </c>
      <c r="R586">
        <v>105000</v>
      </c>
      <c r="S586">
        <v>0</v>
      </c>
      <c r="T586">
        <v>105000</v>
      </c>
    </row>
    <row r="587" spans="1:20" x14ac:dyDescent="0.25">
      <c r="A587">
        <v>586</v>
      </c>
      <c r="B587" s="5">
        <v>45513</v>
      </c>
      <c r="C587">
        <v>10</v>
      </c>
      <c r="D587">
        <v>7</v>
      </c>
      <c r="E587">
        <v>37</v>
      </c>
      <c r="F587" s="4" t="s">
        <v>250</v>
      </c>
      <c r="G587" s="4" t="s">
        <v>251</v>
      </c>
      <c r="H587" s="4" t="s">
        <v>19</v>
      </c>
      <c r="I587" s="4" t="s">
        <v>625</v>
      </c>
      <c r="J587" s="4" t="s">
        <v>37</v>
      </c>
      <c r="K587" s="4" t="s">
        <v>37</v>
      </c>
      <c r="L587" s="4" t="s">
        <v>29</v>
      </c>
      <c r="M587" s="4" t="s">
        <v>62</v>
      </c>
      <c r="N587" s="4" t="s">
        <v>31</v>
      </c>
      <c r="O587">
        <v>650000</v>
      </c>
      <c r="P587">
        <v>3</v>
      </c>
      <c r="Q587">
        <v>5</v>
      </c>
      <c r="R587">
        <v>1950000</v>
      </c>
      <c r="S587">
        <v>97500</v>
      </c>
      <c r="T587">
        <v>1852500</v>
      </c>
    </row>
    <row r="588" spans="1:20" x14ac:dyDescent="0.25">
      <c r="A588">
        <v>587</v>
      </c>
      <c r="B588" s="5">
        <v>45514</v>
      </c>
      <c r="C588">
        <v>52</v>
      </c>
      <c r="D588">
        <v>0</v>
      </c>
      <c r="E588">
        <v>253</v>
      </c>
      <c r="F588" s="4" t="s">
        <v>351</v>
      </c>
      <c r="G588" s="4" t="s">
        <v>352</v>
      </c>
      <c r="H588" s="4" t="s">
        <v>19</v>
      </c>
      <c r="I588" s="4"/>
      <c r="J588" s="4" t="s">
        <v>27</v>
      </c>
      <c r="K588" s="4" t="s">
        <v>28</v>
      </c>
      <c r="L588" s="4" t="s">
        <v>29</v>
      </c>
      <c r="M588" s="4" t="s">
        <v>62</v>
      </c>
      <c r="N588" s="4" t="s">
        <v>31</v>
      </c>
      <c r="O588">
        <v>650000</v>
      </c>
      <c r="P588">
        <v>3</v>
      </c>
      <c r="Q588">
        <v>0</v>
      </c>
      <c r="R588">
        <v>1950000</v>
      </c>
      <c r="S588">
        <v>0</v>
      </c>
      <c r="T588">
        <v>1950000</v>
      </c>
    </row>
    <row r="589" spans="1:20" x14ac:dyDescent="0.25">
      <c r="A589">
        <v>588</v>
      </c>
      <c r="B589" s="5">
        <v>45515</v>
      </c>
      <c r="C589">
        <v>54</v>
      </c>
      <c r="D589">
        <v>9</v>
      </c>
      <c r="E589">
        <v>50</v>
      </c>
      <c r="F589" s="4" t="s">
        <v>63</v>
      </c>
      <c r="G589" s="4" t="s">
        <v>64</v>
      </c>
      <c r="H589" s="4" t="s">
        <v>19</v>
      </c>
      <c r="I589" s="4" t="s">
        <v>612</v>
      </c>
      <c r="J589" s="4" t="s">
        <v>27</v>
      </c>
      <c r="K589" s="4" t="s">
        <v>28</v>
      </c>
      <c r="L589" s="4" t="s">
        <v>38</v>
      </c>
      <c r="M589" s="4" t="s">
        <v>30</v>
      </c>
      <c r="N589" s="4" t="s">
        <v>31</v>
      </c>
      <c r="O589">
        <v>700000</v>
      </c>
      <c r="P589">
        <v>1</v>
      </c>
      <c r="Q589">
        <v>5</v>
      </c>
      <c r="R589">
        <v>700000</v>
      </c>
      <c r="S589">
        <v>35000</v>
      </c>
      <c r="T589">
        <v>665000</v>
      </c>
    </row>
    <row r="590" spans="1:20" x14ac:dyDescent="0.25">
      <c r="A590">
        <v>589</v>
      </c>
      <c r="B590" s="5">
        <v>45516</v>
      </c>
      <c r="C590">
        <v>66</v>
      </c>
      <c r="D590">
        <v>2</v>
      </c>
      <c r="E590">
        <v>114</v>
      </c>
      <c r="F590" s="4" t="s">
        <v>96</v>
      </c>
      <c r="G590" s="4" t="s">
        <v>97</v>
      </c>
      <c r="H590" s="4" t="s">
        <v>42</v>
      </c>
      <c r="I590" s="4" t="s">
        <v>640</v>
      </c>
      <c r="J590" s="4" t="s">
        <v>27</v>
      </c>
      <c r="K590" s="4" t="s">
        <v>28</v>
      </c>
      <c r="L590" s="4" t="s">
        <v>22</v>
      </c>
      <c r="M590" s="4" t="s">
        <v>102</v>
      </c>
      <c r="N590" s="4" t="s">
        <v>57</v>
      </c>
      <c r="O590">
        <v>12000</v>
      </c>
      <c r="P590">
        <v>3</v>
      </c>
      <c r="Q590">
        <v>1</v>
      </c>
      <c r="R590">
        <v>36000</v>
      </c>
      <c r="S590">
        <v>360</v>
      </c>
      <c r="T590">
        <v>35640</v>
      </c>
    </row>
    <row r="591" spans="1:20" x14ac:dyDescent="0.25">
      <c r="A591">
        <v>590</v>
      </c>
      <c r="B591" s="5">
        <v>45517</v>
      </c>
      <c r="C591">
        <v>67</v>
      </c>
      <c r="D591">
        <v>0</v>
      </c>
      <c r="E591">
        <v>42</v>
      </c>
      <c r="F591" s="4" t="s">
        <v>559</v>
      </c>
      <c r="G591" s="4" t="s">
        <v>560</v>
      </c>
      <c r="H591" s="4" t="s">
        <v>19</v>
      </c>
      <c r="I591" s="4" t="s">
        <v>625</v>
      </c>
      <c r="J591" s="4" t="s">
        <v>27</v>
      </c>
      <c r="K591" s="4" t="s">
        <v>28</v>
      </c>
      <c r="L591" s="4" t="s">
        <v>38</v>
      </c>
      <c r="M591" s="4" t="s">
        <v>49</v>
      </c>
      <c r="N591" s="4" t="s">
        <v>31</v>
      </c>
      <c r="O591">
        <v>800000</v>
      </c>
      <c r="P591">
        <v>3</v>
      </c>
      <c r="Q591">
        <v>5</v>
      </c>
      <c r="R591">
        <v>2400000</v>
      </c>
      <c r="S591">
        <v>120000</v>
      </c>
      <c r="T591">
        <v>2280000</v>
      </c>
    </row>
    <row r="592" spans="1:20" x14ac:dyDescent="0.25">
      <c r="A592">
        <v>591</v>
      </c>
      <c r="B592" s="5">
        <v>45518</v>
      </c>
      <c r="C592">
        <v>29</v>
      </c>
      <c r="D592">
        <v>1</v>
      </c>
      <c r="E592">
        <v>123</v>
      </c>
      <c r="F592" s="4" t="s">
        <v>158</v>
      </c>
      <c r="G592" s="4" t="s">
        <v>159</v>
      </c>
      <c r="H592" s="4" t="s">
        <v>19</v>
      </c>
      <c r="I592" s="4" t="s">
        <v>633</v>
      </c>
      <c r="J592" s="4" t="s">
        <v>116</v>
      </c>
      <c r="K592" s="4" t="s">
        <v>37</v>
      </c>
      <c r="L592" s="4" t="s">
        <v>22</v>
      </c>
      <c r="M592" s="4" t="s">
        <v>98</v>
      </c>
      <c r="N592" s="4" t="s">
        <v>151</v>
      </c>
      <c r="O592">
        <v>55000</v>
      </c>
      <c r="P592">
        <v>2</v>
      </c>
      <c r="Q592">
        <v>0</v>
      </c>
      <c r="R592">
        <v>110000</v>
      </c>
      <c r="S592">
        <v>0</v>
      </c>
      <c r="T592">
        <v>110000</v>
      </c>
    </row>
    <row r="593" spans="1:20" x14ac:dyDescent="0.25">
      <c r="A593">
        <v>592</v>
      </c>
      <c r="B593" s="5">
        <v>45519</v>
      </c>
      <c r="C593">
        <v>16</v>
      </c>
      <c r="D593">
        <v>3</v>
      </c>
      <c r="E593">
        <v>91</v>
      </c>
      <c r="F593" s="4" t="s">
        <v>407</v>
      </c>
      <c r="G593" s="4" t="s">
        <v>408</v>
      </c>
      <c r="H593" s="4" t="s">
        <v>19</v>
      </c>
      <c r="I593" s="4" t="s">
        <v>622</v>
      </c>
      <c r="J593" s="4" t="s">
        <v>20</v>
      </c>
      <c r="K593" s="4" t="s">
        <v>21</v>
      </c>
      <c r="L593" s="4" t="s">
        <v>29</v>
      </c>
      <c r="M593" s="4" t="s">
        <v>102</v>
      </c>
      <c r="N593" s="4" t="s">
        <v>57</v>
      </c>
      <c r="O593">
        <v>12000</v>
      </c>
      <c r="P593">
        <v>3</v>
      </c>
      <c r="Q593">
        <v>1</v>
      </c>
      <c r="R593">
        <v>36000</v>
      </c>
      <c r="S593">
        <v>360</v>
      </c>
      <c r="T593">
        <v>35640</v>
      </c>
    </row>
    <row r="594" spans="1:20" x14ac:dyDescent="0.25">
      <c r="A594">
        <v>593</v>
      </c>
      <c r="B594" s="5">
        <v>45520</v>
      </c>
      <c r="C594">
        <v>54</v>
      </c>
      <c r="D594">
        <v>9</v>
      </c>
      <c r="E594">
        <v>138</v>
      </c>
      <c r="F594" s="4" t="s">
        <v>421</v>
      </c>
      <c r="G594" s="4" t="s">
        <v>422</v>
      </c>
      <c r="H594" s="4" t="s">
        <v>42</v>
      </c>
      <c r="I594" s="4" t="s">
        <v>611</v>
      </c>
      <c r="J594" s="4" t="s">
        <v>27</v>
      </c>
      <c r="K594" s="4" t="s">
        <v>28</v>
      </c>
      <c r="L594" s="4" t="s">
        <v>38</v>
      </c>
      <c r="M594" s="4" t="s">
        <v>49</v>
      </c>
      <c r="N594" s="4" t="s">
        <v>31</v>
      </c>
      <c r="O594">
        <v>800000</v>
      </c>
      <c r="P594">
        <v>3</v>
      </c>
      <c r="Q594">
        <v>5</v>
      </c>
      <c r="R594">
        <v>2400000</v>
      </c>
      <c r="S594">
        <v>120000</v>
      </c>
      <c r="T594">
        <v>2280000</v>
      </c>
    </row>
    <row r="595" spans="1:20" x14ac:dyDescent="0.25">
      <c r="A595">
        <v>594</v>
      </c>
      <c r="B595" s="5">
        <v>45521</v>
      </c>
      <c r="C595">
        <v>48</v>
      </c>
      <c r="D595">
        <v>6</v>
      </c>
      <c r="E595">
        <v>272</v>
      </c>
      <c r="F595" s="4" t="s">
        <v>403</v>
      </c>
      <c r="G595" s="4" t="s">
        <v>404</v>
      </c>
      <c r="H595" s="4" t="s">
        <v>19</v>
      </c>
      <c r="I595" s="4" t="s">
        <v>642</v>
      </c>
      <c r="J595" s="4" t="s">
        <v>37</v>
      </c>
      <c r="K595" s="4" t="s">
        <v>37</v>
      </c>
      <c r="L595" s="4" t="s">
        <v>38</v>
      </c>
      <c r="M595" s="4" t="s">
        <v>56</v>
      </c>
      <c r="N595" s="4" t="s">
        <v>57</v>
      </c>
      <c r="O595">
        <v>25000</v>
      </c>
      <c r="P595">
        <v>3</v>
      </c>
      <c r="Q595">
        <v>1</v>
      </c>
      <c r="R595">
        <v>75000</v>
      </c>
      <c r="S595">
        <v>750</v>
      </c>
      <c r="T595">
        <v>74250</v>
      </c>
    </row>
    <row r="596" spans="1:20" x14ac:dyDescent="0.25">
      <c r="A596">
        <v>595</v>
      </c>
      <c r="B596" s="5">
        <v>45522</v>
      </c>
      <c r="C596">
        <v>39</v>
      </c>
      <c r="D596">
        <v>6</v>
      </c>
      <c r="E596">
        <v>238</v>
      </c>
      <c r="F596" s="4" t="s">
        <v>129</v>
      </c>
      <c r="G596" s="4" t="s">
        <v>130</v>
      </c>
      <c r="H596" s="4" t="s">
        <v>19</v>
      </c>
      <c r="I596" s="4" t="s">
        <v>625</v>
      </c>
      <c r="J596" s="4" t="s">
        <v>43</v>
      </c>
      <c r="K596" s="4" t="s">
        <v>43</v>
      </c>
      <c r="L596" s="4" t="s">
        <v>38</v>
      </c>
      <c r="M596" s="4" t="s">
        <v>102</v>
      </c>
      <c r="N596" s="4" t="s">
        <v>57</v>
      </c>
      <c r="O596">
        <v>12000</v>
      </c>
      <c r="P596">
        <v>1</v>
      </c>
      <c r="Q596">
        <v>1</v>
      </c>
      <c r="R596">
        <v>12000</v>
      </c>
      <c r="S596">
        <v>120</v>
      </c>
      <c r="T596">
        <v>11880</v>
      </c>
    </row>
    <row r="597" spans="1:20" x14ac:dyDescent="0.25">
      <c r="A597">
        <v>596</v>
      </c>
      <c r="B597" s="5">
        <v>45523</v>
      </c>
      <c r="C597">
        <v>69</v>
      </c>
      <c r="D597">
        <v>1</v>
      </c>
      <c r="E597">
        <v>254</v>
      </c>
      <c r="F597" s="4" t="s">
        <v>17</v>
      </c>
      <c r="G597" s="4" t="s">
        <v>18</v>
      </c>
      <c r="H597" s="4" t="s">
        <v>19</v>
      </c>
      <c r="I597" s="4" t="s">
        <v>619</v>
      </c>
      <c r="J597" s="4" t="s">
        <v>76</v>
      </c>
      <c r="K597" s="4" t="s">
        <v>77</v>
      </c>
      <c r="L597" s="4" t="s">
        <v>29</v>
      </c>
      <c r="M597" s="4" t="s">
        <v>39</v>
      </c>
      <c r="N597" s="4" t="s">
        <v>24</v>
      </c>
      <c r="O597">
        <v>35000</v>
      </c>
      <c r="P597">
        <v>3</v>
      </c>
      <c r="Q597">
        <v>0</v>
      </c>
      <c r="R597">
        <v>105000</v>
      </c>
      <c r="S597">
        <v>0</v>
      </c>
      <c r="T597">
        <v>105000</v>
      </c>
    </row>
    <row r="598" spans="1:20" x14ac:dyDescent="0.25">
      <c r="A598">
        <v>597</v>
      </c>
      <c r="B598" s="5">
        <v>45524</v>
      </c>
      <c r="C598">
        <v>43</v>
      </c>
      <c r="D598">
        <v>0</v>
      </c>
      <c r="E598">
        <v>138</v>
      </c>
      <c r="F598" s="4" t="s">
        <v>421</v>
      </c>
      <c r="G598" s="4" t="s">
        <v>422</v>
      </c>
      <c r="H598" s="4" t="s">
        <v>42</v>
      </c>
      <c r="I598" s="4" t="s">
        <v>611</v>
      </c>
      <c r="J598" s="4" t="s">
        <v>34</v>
      </c>
      <c r="K598" s="4" t="s">
        <v>272</v>
      </c>
      <c r="L598" s="4" t="s">
        <v>38</v>
      </c>
      <c r="M598" s="4" t="s">
        <v>49</v>
      </c>
      <c r="N598" s="4" t="s">
        <v>31</v>
      </c>
      <c r="O598">
        <v>800000</v>
      </c>
      <c r="P598">
        <v>1</v>
      </c>
      <c r="Q598">
        <v>0</v>
      </c>
      <c r="R598">
        <v>800000</v>
      </c>
      <c r="S598">
        <v>0</v>
      </c>
      <c r="T598">
        <v>800000</v>
      </c>
    </row>
    <row r="599" spans="1:20" x14ac:dyDescent="0.25">
      <c r="A599">
        <v>598</v>
      </c>
      <c r="B599" s="5">
        <v>45525</v>
      </c>
      <c r="C599">
        <v>19</v>
      </c>
      <c r="D599">
        <v>5</v>
      </c>
      <c r="E599">
        <v>207</v>
      </c>
      <c r="F599" s="4" t="s">
        <v>74</v>
      </c>
      <c r="G599" s="4" t="s">
        <v>75</v>
      </c>
      <c r="H599" s="4" t="s">
        <v>42</v>
      </c>
      <c r="I599" s="4" t="s">
        <v>620</v>
      </c>
      <c r="J599" s="4" t="s">
        <v>20</v>
      </c>
      <c r="K599" s="4" t="s">
        <v>21</v>
      </c>
      <c r="L599" s="4" t="s">
        <v>22</v>
      </c>
      <c r="M599" s="4" t="s">
        <v>102</v>
      </c>
      <c r="N599" s="4" t="s">
        <v>57</v>
      </c>
      <c r="O599">
        <v>12000</v>
      </c>
      <c r="P599">
        <v>2</v>
      </c>
      <c r="Q599">
        <v>5</v>
      </c>
      <c r="R599">
        <v>24000</v>
      </c>
      <c r="S599">
        <v>1200</v>
      </c>
      <c r="T599">
        <v>22800</v>
      </c>
    </row>
    <row r="600" spans="1:20" x14ac:dyDescent="0.25">
      <c r="A600">
        <v>599</v>
      </c>
      <c r="B600" s="5">
        <v>45526</v>
      </c>
      <c r="C600">
        <v>16</v>
      </c>
      <c r="D600">
        <v>3</v>
      </c>
      <c r="E600">
        <v>262</v>
      </c>
      <c r="F600" s="4" t="s">
        <v>545</v>
      </c>
      <c r="G600" s="4" t="s">
        <v>546</v>
      </c>
      <c r="H600" s="4" t="s">
        <v>42</v>
      </c>
      <c r="I600" s="4" t="s">
        <v>641</v>
      </c>
      <c r="J600" s="4" t="s">
        <v>20</v>
      </c>
      <c r="K600" s="4" t="s">
        <v>21</v>
      </c>
      <c r="L600" s="4" t="s">
        <v>29</v>
      </c>
      <c r="M600" s="4" t="s">
        <v>98</v>
      </c>
      <c r="N600" s="4" t="s">
        <v>151</v>
      </c>
      <c r="O600">
        <v>55000</v>
      </c>
      <c r="P600">
        <v>1</v>
      </c>
      <c r="Q600">
        <v>1</v>
      </c>
      <c r="R600">
        <v>55000</v>
      </c>
      <c r="S600">
        <v>550</v>
      </c>
      <c r="T600">
        <v>54450</v>
      </c>
    </row>
    <row r="601" spans="1:20" x14ac:dyDescent="0.25">
      <c r="A601">
        <v>600</v>
      </c>
      <c r="B601" s="5">
        <v>45527</v>
      </c>
      <c r="C601">
        <v>8</v>
      </c>
      <c r="D601">
        <v>1</v>
      </c>
      <c r="E601">
        <v>122</v>
      </c>
      <c r="F601" s="4" t="s">
        <v>107</v>
      </c>
      <c r="G601" s="4" t="s">
        <v>108</v>
      </c>
      <c r="H601" s="4" t="s">
        <v>42</v>
      </c>
      <c r="I601" s="4" t="s">
        <v>616</v>
      </c>
      <c r="J601" s="4" t="s">
        <v>76</v>
      </c>
      <c r="K601" s="4" t="s">
        <v>77</v>
      </c>
      <c r="L601" s="4" t="s">
        <v>22</v>
      </c>
      <c r="M601" s="4" t="s">
        <v>56</v>
      </c>
      <c r="N601" s="4" t="s">
        <v>57</v>
      </c>
      <c r="O601">
        <v>25000</v>
      </c>
      <c r="P601">
        <v>2</v>
      </c>
      <c r="Q601">
        <v>0</v>
      </c>
      <c r="R601">
        <v>50000</v>
      </c>
      <c r="S601">
        <v>0</v>
      </c>
      <c r="T601">
        <v>50000</v>
      </c>
    </row>
    <row r="602" spans="1:20" x14ac:dyDescent="0.25">
      <c r="A602">
        <v>601</v>
      </c>
      <c r="B602" s="5">
        <v>45528</v>
      </c>
      <c r="C602">
        <v>59</v>
      </c>
      <c r="D602">
        <v>1</v>
      </c>
      <c r="E602">
        <v>148</v>
      </c>
      <c r="F602" s="4" t="s">
        <v>176</v>
      </c>
      <c r="G602" s="4" t="s">
        <v>177</v>
      </c>
      <c r="H602" s="4" t="s">
        <v>19</v>
      </c>
      <c r="I602" s="4" t="s">
        <v>624</v>
      </c>
      <c r="J602" s="4" t="s">
        <v>43</v>
      </c>
      <c r="K602" s="4" t="s">
        <v>43</v>
      </c>
      <c r="L602" s="4" t="s">
        <v>29</v>
      </c>
      <c r="M602" s="4" t="s">
        <v>30</v>
      </c>
      <c r="N602" s="4" t="s">
        <v>31</v>
      </c>
      <c r="O602">
        <v>700000</v>
      </c>
      <c r="P602">
        <v>1</v>
      </c>
      <c r="Q602">
        <v>0</v>
      </c>
      <c r="R602">
        <v>700000</v>
      </c>
      <c r="S602">
        <v>0</v>
      </c>
      <c r="T602">
        <v>700000</v>
      </c>
    </row>
    <row r="603" spans="1:20" x14ac:dyDescent="0.25">
      <c r="A603">
        <v>602</v>
      </c>
      <c r="B603" s="5">
        <v>45529</v>
      </c>
      <c r="C603">
        <v>60</v>
      </c>
      <c r="D603">
        <v>1</v>
      </c>
      <c r="E603">
        <v>80</v>
      </c>
      <c r="F603" s="4" t="s">
        <v>198</v>
      </c>
      <c r="G603" s="4" t="s">
        <v>199</v>
      </c>
      <c r="H603" s="4" t="s">
        <v>42</v>
      </c>
      <c r="I603" s="4" t="s">
        <v>612</v>
      </c>
      <c r="J603" s="4" t="s">
        <v>37</v>
      </c>
      <c r="K603" s="4" t="s">
        <v>37</v>
      </c>
      <c r="L603" s="4" t="s">
        <v>38</v>
      </c>
      <c r="M603" s="4" t="s">
        <v>56</v>
      </c>
      <c r="N603" s="4" t="s">
        <v>57</v>
      </c>
      <c r="O603">
        <v>25000</v>
      </c>
      <c r="P603">
        <v>3</v>
      </c>
      <c r="Q603">
        <v>1</v>
      </c>
      <c r="R603">
        <v>75000</v>
      </c>
      <c r="S603">
        <v>750</v>
      </c>
      <c r="T603">
        <v>74250</v>
      </c>
    </row>
    <row r="604" spans="1:20" x14ac:dyDescent="0.25">
      <c r="A604">
        <v>603</v>
      </c>
      <c r="B604" s="5">
        <v>45530</v>
      </c>
      <c r="C604">
        <v>57</v>
      </c>
      <c r="D604">
        <v>3</v>
      </c>
      <c r="E604">
        <v>64</v>
      </c>
      <c r="F604" s="4" t="s">
        <v>232</v>
      </c>
      <c r="G604" s="4" t="s">
        <v>233</v>
      </c>
      <c r="H604" s="4" t="s">
        <v>19</v>
      </c>
      <c r="I604" s="4" t="s">
        <v>618</v>
      </c>
      <c r="J604" s="4" t="s">
        <v>52</v>
      </c>
      <c r="K604" s="4" t="s">
        <v>28</v>
      </c>
      <c r="L604" s="4" t="s">
        <v>38</v>
      </c>
      <c r="M604" s="4" t="s">
        <v>23</v>
      </c>
      <c r="N604" s="4" t="s">
        <v>24</v>
      </c>
      <c r="O604">
        <v>15000</v>
      </c>
      <c r="P604">
        <v>3</v>
      </c>
      <c r="Q604">
        <v>1</v>
      </c>
      <c r="R604">
        <v>45000</v>
      </c>
      <c r="S604">
        <v>450</v>
      </c>
      <c r="T604">
        <v>44550</v>
      </c>
    </row>
    <row r="605" spans="1:20" x14ac:dyDescent="0.25">
      <c r="A605">
        <v>604</v>
      </c>
      <c r="B605" s="5">
        <v>45531</v>
      </c>
      <c r="C605">
        <v>53</v>
      </c>
      <c r="D605">
        <v>1</v>
      </c>
      <c r="E605">
        <v>81</v>
      </c>
      <c r="F605" s="4" t="s">
        <v>65</v>
      </c>
      <c r="G605" s="4" t="s">
        <v>66</v>
      </c>
      <c r="H605" s="4" t="s">
        <v>42</v>
      </c>
      <c r="I605" s="4" t="s">
        <v>613</v>
      </c>
      <c r="J605" s="4" t="s">
        <v>76</v>
      </c>
      <c r="K605" s="4" t="s">
        <v>77</v>
      </c>
      <c r="L605" s="4" t="s">
        <v>29</v>
      </c>
      <c r="M605" s="4" t="s">
        <v>49</v>
      </c>
      <c r="N605" s="4" t="s">
        <v>31</v>
      </c>
      <c r="O605">
        <v>800000</v>
      </c>
      <c r="P605">
        <v>1</v>
      </c>
      <c r="Q605">
        <v>0</v>
      </c>
      <c r="R605">
        <v>800000</v>
      </c>
      <c r="S605">
        <v>0</v>
      </c>
      <c r="T605">
        <v>800000</v>
      </c>
    </row>
    <row r="606" spans="1:20" x14ac:dyDescent="0.25">
      <c r="A606">
        <v>605</v>
      </c>
      <c r="B606" s="5">
        <v>45532</v>
      </c>
      <c r="C606">
        <v>13</v>
      </c>
      <c r="D606">
        <v>0</v>
      </c>
      <c r="E606">
        <v>115</v>
      </c>
      <c r="F606" s="4" t="s">
        <v>521</v>
      </c>
      <c r="G606" s="4" t="s">
        <v>522</v>
      </c>
      <c r="H606" s="4" t="s">
        <v>42</v>
      </c>
      <c r="I606" s="4" t="s">
        <v>613</v>
      </c>
      <c r="J606" s="4" t="s">
        <v>27</v>
      </c>
      <c r="K606" s="4" t="s">
        <v>28</v>
      </c>
      <c r="L606" s="4" t="s">
        <v>22</v>
      </c>
      <c r="M606" s="4" t="s">
        <v>56</v>
      </c>
      <c r="N606" s="4" t="s">
        <v>57</v>
      </c>
      <c r="O606">
        <v>25000</v>
      </c>
      <c r="P606">
        <v>3</v>
      </c>
      <c r="Q606">
        <v>1</v>
      </c>
      <c r="R606">
        <v>75000</v>
      </c>
      <c r="S606">
        <v>750</v>
      </c>
      <c r="T606">
        <v>74250</v>
      </c>
    </row>
    <row r="607" spans="1:20" x14ac:dyDescent="0.25">
      <c r="A607">
        <v>606</v>
      </c>
      <c r="B607" s="5">
        <v>45533</v>
      </c>
      <c r="C607">
        <v>14</v>
      </c>
      <c r="D607">
        <v>0</v>
      </c>
      <c r="E607">
        <v>191</v>
      </c>
      <c r="F607" s="4" t="s">
        <v>202</v>
      </c>
      <c r="G607" s="4" t="s">
        <v>203</v>
      </c>
      <c r="H607" s="4" t="s">
        <v>42</v>
      </c>
      <c r="I607" s="4" t="s">
        <v>639</v>
      </c>
      <c r="J607" s="4" t="s">
        <v>34</v>
      </c>
      <c r="K607" s="4" t="s">
        <v>272</v>
      </c>
      <c r="L607" s="4" t="s">
        <v>38</v>
      </c>
      <c r="M607" s="4" t="s">
        <v>30</v>
      </c>
      <c r="N607" s="4" t="s">
        <v>31</v>
      </c>
      <c r="O607">
        <v>700000</v>
      </c>
      <c r="P607">
        <v>1</v>
      </c>
      <c r="Q607">
        <v>1</v>
      </c>
      <c r="R607">
        <v>700000</v>
      </c>
      <c r="S607">
        <v>7000</v>
      </c>
      <c r="T607">
        <v>693000</v>
      </c>
    </row>
    <row r="608" spans="1:20" x14ac:dyDescent="0.25">
      <c r="A608">
        <v>607</v>
      </c>
      <c r="B608" s="5">
        <v>45534</v>
      </c>
      <c r="C608">
        <v>51</v>
      </c>
      <c r="D608">
        <v>7</v>
      </c>
      <c r="E608">
        <v>93</v>
      </c>
      <c r="F608" s="4" t="s">
        <v>321</v>
      </c>
      <c r="G608" s="4" t="s">
        <v>322</v>
      </c>
      <c r="H608" s="4" t="s">
        <v>42</v>
      </c>
      <c r="I608" s="4" t="s">
        <v>614</v>
      </c>
      <c r="J608" s="4" t="s">
        <v>101</v>
      </c>
      <c r="K608" s="4" t="s">
        <v>109</v>
      </c>
      <c r="L608" s="4" t="s">
        <v>29</v>
      </c>
      <c r="M608" s="4" t="s">
        <v>62</v>
      </c>
      <c r="N608" s="4" t="s">
        <v>31</v>
      </c>
      <c r="O608">
        <v>650000</v>
      </c>
      <c r="P608">
        <v>1</v>
      </c>
      <c r="Q608">
        <v>5</v>
      </c>
      <c r="R608">
        <v>650000</v>
      </c>
      <c r="S608">
        <v>32500</v>
      </c>
      <c r="T608">
        <v>617500</v>
      </c>
    </row>
    <row r="609" spans="1:20" x14ac:dyDescent="0.25">
      <c r="A609">
        <v>608</v>
      </c>
      <c r="B609" s="5">
        <v>45535</v>
      </c>
      <c r="C609">
        <v>35</v>
      </c>
      <c r="D609">
        <v>1</v>
      </c>
      <c r="E609">
        <v>180</v>
      </c>
      <c r="F609" s="4" t="s">
        <v>449</v>
      </c>
      <c r="G609" s="4" t="s">
        <v>450</v>
      </c>
      <c r="H609" s="4" t="s">
        <v>19</v>
      </c>
      <c r="I609" s="4" t="s">
        <v>632</v>
      </c>
      <c r="J609" s="4" t="s">
        <v>43</v>
      </c>
      <c r="K609" s="4" t="s">
        <v>43</v>
      </c>
      <c r="L609" s="4" t="s">
        <v>29</v>
      </c>
      <c r="M609" s="4" t="s">
        <v>49</v>
      </c>
      <c r="N609" s="4" t="s">
        <v>31</v>
      </c>
      <c r="O609">
        <v>800000</v>
      </c>
      <c r="P609">
        <v>2</v>
      </c>
      <c r="Q609">
        <v>1</v>
      </c>
      <c r="R609">
        <v>1600000</v>
      </c>
      <c r="S609">
        <v>16000</v>
      </c>
      <c r="T609">
        <v>1584000</v>
      </c>
    </row>
    <row r="610" spans="1:20" x14ac:dyDescent="0.25">
      <c r="A610">
        <v>609</v>
      </c>
      <c r="B610" s="5">
        <v>45536</v>
      </c>
      <c r="C610">
        <v>10</v>
      </c>
      <c r="D610">
        <v>7</v>
      </c>
      <c r="E610">
        <v>2</v>
      </c>
      <c r="F610" s="4" t="s">
        <v>114</v>
      </c>
      <c r="G610" s="4" t="s">
        <v>115</v>
      </c>
      <c r="H610" s="4" t="s">
        <v>19</v>
      </c>
      <c r="I610" s="4" t="s">
        <v>635</v>
      </c>
      <c r="J610" s="4" t="s">
        <v>37</v>
      </c>
      <c r="K610" s="4" t="s">
        <v>37</v>
      </c>
      <c r="L610" s="4" t="s">
        <v>22</v>
      </c>
      <c r="M610" s="4" t="s">
        <v>102</v>
      </c>
      <c r="N610" s="4" t="s">
        <v>57</v>
      </c>
      <c r="O610">
        <v>12000</v>
      </c>
      <c r="P610">
        <v>1</v>
      </c>
      <c r="Q610">
        <v>1</v>
      </c>
      <c r="R610">
        <v>12000</v>
      </c>
      <c r="S610">
        <v>120</v>
      </c>
      <c r="T610">
        <v>11880</v>
      </c>
    </row>
    <row r="611" spans="1:20" x14ac:dyDescent="0.25">
      <c r="A611">
        <v>610</v>
      </c>
      <c r="B611" s="5">
        <v>45537</v>
      </c>
      <c r="C611">
        <v>57</v>
      </c>
      <c r="D611">
        <v>3</v>
      </c>
      <c r="E611">
        <v>232</v>
      </c>
      <c r="F611" s="4" t="s">
        <v>90</v>
      </c>
      <c r="G611" s="4" t="s">
        <v>91</v>
      </c>
      <c r="H611" s="4" t="s">
        <v>19</v>
      </c>
      <c r="I611" s="4" t="s">
        <v>625</v>
      </c>
      <c r="J611" s="4" t="s">
        <v>52</v>
      </c>
      <c r="K611" s="4" t="s">
        <v>28</v>
      </c>
      <c r="L611" s="4" t="s">
        <v>22</v>
      </c>
      <c r="M611" s="4" t="s">
        <v>62</v>
      </c>
      <c r="N611" s="4" t="s">
        <v>31</v>
      </c>
      <c r="O611">
        <v>650000</v>
      </c>
      <c r="P611">
        <v>1</v>
      </c>
      <c r="Q611">
        <v>1</v>
      </c>
      <c r="R611">
        <v>650000</v>
      </c>
      <c r="S611">
        <v>6500</v>
      </c>
      <c r="T611">
        <v>643500</v>
      </c>
    </row>
    <row r="612" spans="1:20" x14ac:dyDescent="0.25">
      <c r="A612">
        <v>611</v>
      </c>
      <c r="B612" s="5">
        <v>45538</v>
      </c>
      <c r="C612">
        <v>37</v>
      </c>
      <c r="D612">
        <v>1</v>
      </c>
      <c r="E612">
        <v>129</v>
      </c>
      <c r="F612" s="4" t="s">
        <v>359</v>
      </c>
      <c r="G612" s="4" t="s">
        <v>360</v>
      </c>
      <c r="H612" s="4" t="s">
        <v>42</v>
      </c>
      <c r="I612" s="4" t="s">
        <v>622</v>
      </c>
      <c r="J612" s="4" t="s">
        <v>116</v>
      </c>
      <c r="K612" s="4" t="s">
        <v>37</v>
      </c>
      <c r="L612" s="4" t="s">
        <v>38</v>
      </c>
      <c r="M612" s="4" t="s">
        <v>30</v>
      </c>
      <c r="N612" s="4" t="s">
        <v>31</v>
      </c>
      <c r="O612">
        <v>700000</v>
      </c>
      <c r="P612">
        <v>3</v>
      </c>
      <c r="Q612">
        <v>1</v>
      </c>
      <c r="R612">
        <v>2100000</v>
      </c>
      <c r="S612">
        <v>21000</v>
      </c>
      <c r="T612">
        <v>2079000</v>
      </c>
    </row>
    <row r="613" spans="1:20" x14ac:dyDescent="0.25">
      <c r="A613">
        <v>612</v>
      </c>
      <c r="B613" s="5">
        <v>45539</v>
      </c>
      <c r="C613">
        <v>54</v>
      </c>
      <c r="D613">
        <v>9</v>
      </c>
      <c r="E613">
        <v>164</v>
      </c>
      <c r="F613" s="4" t="s">
        <v>369</v>
      </c>
      <c r="G613" s="4" t="s">
        <v>370</v>
      </c>
      <c r="H613" s="4" t="s">
        <v>42</v>
      </c>
      <c r="I613" s="4" t="s">
        <v>631</v>
      </c>
      <c r="J613" s="4" t="s">
        <v>27</v>
      </c>
      <c r="K613" s="4" t="s">
        <v>28</v>
      </c>
      <c r="L613" s="4" t="s">
        <v>22</v>
      </c>
      <c r="M613" s="4" t="s">
        <v>62</v>
      </c>
      <c r="N613" s="4" t="s">
        <v>31</v>
      </c>
      <c r="O613">
        <v>650000</v>
      </c>
      <c r="P613">
        <v>1</v>
      </c>
      <c r="Q613">
        <v>1</v>
      </c>
      <c r="R613">
        <v>650000</v>
      </c>
      <c r="S613">
        <v>6500</v>
      </c>
      <c r="T613">
        <v>643500</v>
      </c>
    </row>
    <row r="614" spans="1:20" x14ac:dyDescent="0.25">
      <c r="A614">
        <v>613</v>
      </c>
      <c r="B614" s="5">
        <v>45540</v>
      </c>
      <c r="C614">
        <v>34</v>
      </c>
      <c r="D614">
        <v>1</v>
      </c>
      <c r="E614">
        <v>143</v>
      </c>
      <c r="F614" s="4" t="s">
        <v>509</v>
      </c>
      <c r="G614" s="4" t="s">
        <v>510</v>
      </c>
      <c r="H614" s="4" t="s">
        <v>42</v>
      </c>
      <c r="I614" s="4" t="s">
        <v>612</v>
      </c>
      <c r="J614" s="4" t="s">
        <v>52</v>
      </c>
      <c r="K614" s="4" t="s">
        <v>28</v>
      </c>
      <c r="L614" s="4" t="s">
        <v>29</v>
      </c>
      <c r="M614" s="4" t="s">
        <v>49</v>
      </c>
      <c r="N614" s="4" t="s">
        <v>31</v>
      </c>
      <c r="O614">
        <v>800000</v>
      </c>
      <c r="P614">
        <v>1</v>
      </c>
      <c r="Q614">
        <v>5</v>
      </c>
      <c r="R614">
        <v>800000</v>
      </c>
      <c r="S614">
        <v>40000</v>
      </c>
      <c r="T614">
        <v>760000</v>
      </c>
    </row>
    <row r="615" spans="1:20" x14ac:dyDescent="0.25">
      <c r="A615">
        <v>614</v>
      </c>
      <c r="B615" s="5">
        <v>45541</v>
      </c>
      <c r="C615">
        <v>9</v>
      </c>
      <c r="D615">
        <v>9</v>
      </c>
      <c r="E615">
        <v>135</v>
      </c>
      <c r="F615" s="4" t="s">
        <v>423</v>
      </c>
      <c r="G615" s="4" t="s">
        <v>424</v>
      </c>
      <c r="H615" s="4" t="s">
        <v>42</v>
      </c>
      <c r="I615" s="4" t="s">
        <v>608</v>
      </c>
      <c r="J615" s="4" t="s">
        <v>37</v>
      </c>
      <c r="K615" s="4" t="s">
        <v>37</v>
      </c>
      <c r="L615" s="4" t="s">
        <v>22</v>
      </c>
      <c r="M615" s="4" t="s">
        <v>69</v>
      </c>
      <c r="N615" s="4" t="s">
        <v>53</v>
      </c>
      <c r="O615">
        <v>450000</v>
      </c>
      <c r="P615">
        <v>2</v>
      </c>
      <c r="Q615">
        <v>5</v>
      </c>
      <c r="R615">
        <v>900000</v>
      </c>
      <c r="S615">
        <v>45000</v>
      </c>
      <c r="T615">
        <v>855000</v>
      </c>
    </row>
    <row r="616" spans="1:20" x14ac:dyDescent="0.25">
      <c r="A616">
        <v>615</v>
      </c>
      <c r="B616" s="5">
        <v>45542</v>
      </c>
      <c r="C616">
        <v>60</v>
      </c>
      <c r="D616">
        <v>1</v>
      </c>
      <c r="E616">
        <v>136</v>
      </c>
      <c r="F616" s="4" t="s">
        <v>60</v>
      </c>
      <c r="G616" s="4" t="s">
        <v>61</v>
      </c>
      <c r="H616" s="4" t="s">
        <v>42</v>
      </c>
      <c r="I616" s="4" t="s">
        <v>646</v>
      </c>
      <c r="J616" s="4" t="s">
        <v>37</v>
      </c>
      <c r="K616" s="4" t="s">
        <v>37</v>
      </c>
      <c r="L616" s="4" t="s">
        <v>38</v>
      </c>
      <c r="M616" s="4" t="s">
        <v>56</v>
      </c>
      <c r="N616" s="4" t="s">
        <v>57</v>
      </c>
      <c r="O616">
        <v>25000</v>
      </c>
      <c r="P616">
        <v>2</v>
      </c>
      <c r="Q616">
        <v>5</v>
      </c>
      <c r="R616">
        <v>50000</v>
      </c>
      <c r="S616">
        <v>2500</v>
      </c>
      <c r="T616">
        <v>47500</v>
      </c>
    </row>
    <row r="617" spans="1:20" x14ac:dyDescent="0.25">
      <c r="A617">
        <v>616</v>
      </c>
      <c r="B617" s="5">
        <v>45543</v>
      </c>
      <c r="C617">
        <v>63</v>
      </c>
      <c r="D617">
        <v>5</v>
      </c>
      <c r="E617">
        <v>186</v>
      </c>
      <c r="F617" s="4" t="s">
        <v>152</v>
      </c>
      <c r="G617" s="4" t="s">
        <v>153</v>
      </c>
      <c r="H617" s="4" t="s">
        <v>42</v>
      </c>
      <c r="I617" s="4" t="s">
        <v>636</v>
      </c>
      <c r="J617" s="4" t="s">
        <v>101</v>
      </c>
      <c r="K617" s="4" t="s">
        <v>109</v>
      </c>
      <c r="L617" s="4" t="s">
        <v>29</v>
      </c>
      <c r="M617" s="4" t="s">
        <v>30</v>
      </c>
      <c r="N617" s="4" t="s">
        <v>31</v>
      </c>
      <c r="O617">
        <v>700000</v>
      </c>
      <c r="P617">
        <v>3</v>
      </c>
      <c r="Q617">
        <v>0</v>
      </c>
      <c r="R617">
        <v>2100000</v>
      </c>
      <c r="S617">
        <v>0</v>
      </c>
      <c r="T617">
        <v>2100000</v>
      </c>
    </row>
    <row r="618" spans="1:20" x14ac:dyDescent="0.25">
      <c r="A618">
        <v>617</v>
      </c>
      <c r="B618" s="5">
        <v>45544</v>
      </c>
      <c r="C618">
        <v>51</v>
      </c>
      <c r="D618">
        <v>7</v>
      </c>
      <c r="E618">
        <v>25</v>
      </c>
      <c r="F618" s="4" t="s">
        <v>367</v>
      </c>
      <c r="G618" s="4" t="s">
        <v>368</v>
      </c>
      <c r="H618" s="4" t="s">
        <v>42</v>
      </c>
      <c r="I618" s="4" t="s">
        <v>630</v>
      </c>
      <c r="J618" s="4" t="s">
        <v>101</v>
      </c>
      <c r="K618" s="4" t="s">
        <v>109</v>
      </c>
      <c r="L618" s="4" t="s">
        <v>22</v>
      </c>
      <c r="M618" s="4" t="s">
        <v>39</v>
      </c>
      <c r="N618" s="4" t="s">
        <v>24</v>
      </c>
      <c r="O618">
        <v>35000</v>
      </c>
      <c r="P618">
        <v>3</v>
      </c>
      <c r="Q618">
        <v>5</v>
      </c>
      <c r="R618">
        <v>105000</v>
      </c>
      <c r="S618">
        <v>5250</v>
      </c>
      <c r="T618">
        <v>99750</v>
      </c>
    </row>
    <row r="619" spans="1:20" x14ac:dyDescent="0.25">
      <c r="A619">
        <v>618</v>
      </c>
      <c r="B619" s="5">
        <v>45545</v>
      </c>
      <c r="C619">
        <v>63</v>
      </c>
      <c r="D619">
        <v>5</v>
      </c>
      <c r="E619">
        <v>231</v>
      </c>
      <c r="F619" s="4" t="s">
        <v>347</v>
      </c>
      <c r="G619" s="4" t="s">
        <v>348</v>
      </c>
      <c r="H619" s="4" t="s">
        <v>19</v>
      </c>
      <c r="I619" s="4" t="s">
        <v>614</v>
      </c>
      <c r="J619" s="4" t="s">
        <v>101</v>
      </c>
      <c r="K619" s="4" t="s">
        <v>109</v>
      </c>
      <c r="L619" s="4" t="s">
        <v>22</v>
      </c>
      <c r="M619" s="4" t="s">
        <v>23</v>
      </c>
      <c r="N619" s="4" t="s">
        <v>24</v>
      </c>
      <c r="O619">
        <v>15000</v>
      </c>
      <c r="P619">
        <v>1</v>
      </c>
      <c r="Q619">
        <v>0</v>
      </c>
      <c r="R619">
        <v>15000</v>
      </c>
      <c r="S619">
        <v>0</v>
      </c>
      <c r="T619">
        <v>15000</v>
      </c>
    </row>
    <row r="620" spans="1:20" x14ac:dyDescent="0.25">
      <c r="A620">
        <v>619</v>
      </c>
      <c r="B620" s="5">
        <v>45546</v>
      </c>
      <c r="C620">
        <v>53</v>
      </c>
      <c r="D620">
        <v>1</v>
      </c>
      <c r="E620">
        <v>166</v>
      </c>
      <c r="F620" s="4" t="s">
        <v>345</v>
      </c>
      <c r="G620" s="4" t="s">
        <v>346</v>
      </c>
      <c r="H620" s="4" t="s">
        <v>42</v>
      </c>
      <c r="I620" s="4" t="s">
        <v>627</v>
      </c>
      <c r="J620" s="4" t="s">
        <v>76</v>
      </c>
      <c r="K620" s="4" t="s">
        <v>77</v>
      </c>
      <c r="L620" s="4" t="s">
        <v>22</v>
      </c>
      <c r="M620" s="4" t="s">
        <v>98</v>
      </c>
      <c r="N620" s="4" t="s">
        <v>151</v>
      </c>
      <c r="O620">
        <v>55000</v>
      </c>
      <c r="P620">
        <v>3</v>
      </c>
      <c r="Q620">
        <v>1</v>
      </c>
      <c r="R620">
        <v>165000</v>
      </c>
      <c r="S620">
        <v>1650</v>
      </c>
      <c r="T620">
        <v>163350</v>
      </c>
    </row>
    <row r="621" spans="1:20" x14ac:dyDescent="0.25">
      <c r="A621">
        <v>620</v>
      </c>
      <c r="B621" s="5">
        <v>45547</v>
      </c>
      <c r="C621">
        <v>63</v>
      </c>
      <c r="D621">
        <v>5</v>
      </c>
      <c r="E621">
        <v>20</v>
      </c>
      <c r="F621" s="4" t="s">
        <v>489</v>
      </c>
      <c r="G621" s="4" t="s">
        <v>490</v>
      </c>
      <c r="H621" s="4" t="s">
        <v>19</v>
      </c>
      <c r="I621" s="4" t="s">
        <v>629</v>
      </c>
      <c r="J621" s="4" t="s">
        <v>101</v>
      </c>
      <c r="K621" s="4" t="s">
        <v>109</v>
      </c>
      <c r="L621" s="4" t="s">
        <v>29</v>
      </c>
      <c r="M621" s="4" t="s">
        <v>49</v>
      </c>
      <c r="N621" s="4" t="s">
        <v>31</v>
      </c>
      <c r="O621">
        <v>800000</v>
      </c>
      <c r="P621">
        <v>1</v>
      </c>
      <c r="Q621">
        <v>1</v>
      </c>
      <c r="R621">
        <v>800000</v>
      </c>
      <c r="S621">
        <v>8000</v>
      </c>
      <c r="T621">
        <v>792000</v>
      </c>
    </row>
    <row r="622" spans="1:20" x14ac:dyDescent="0.25">
      <c r="A622">
        <v>621</v>
      </c>
      <c r="B622" s="5">
        <v>45548</v>
      </c>
      <c r="C622">
        <v>47</v>
      </c>
      <c r="D622">
        <v>1</v>
      </c>
      <c r="E622">
        <v>172</v>
      </c>
      <c r="F622" s="4" t="s">
        <v>86</v>
      </c>
      <c r="G622" s="4" t="s">
        <v>87</v>
      </c>
      <c r="H622" s="4" t="s">
        <v>19</v>
      </c>
      <c r="I622" s="4" t="s">
        <v>631</v>
      </c>
      <c r="J622" s="4" t="s">
        <v>116</v>
      </c>
      <c r="K622" s="4" t="s">
        <v>37</v>
      </c>
      <c r="L622" s="4" t="s">
        <v>29</v>
      </c>
      <c r="M622" s="4" t="s">
        <v>56</v>
      </c>
      <c r="N622" s="4" t="s">
        <v>57</v>
      </c>
      <c r="O622">
        <v>25000</v>
      </c>
      <c r="P622">
        <v>1</v>
      </c>
      <c r="Q622">
        <v>5</v>
      </c>
      <c r="R622">
        <v>25000</v>
      </c>
      <c r="S622">
        <v>1250</v>
      </c>
      <c r="T622">
        <v>23750</v>
      </c>
    </row>
    <row r="623" spans="1:20" x14ac:dyDescent="0.25">
      <c r="A623">
        <v>622</v>
      </c>
      <c r="B623" s="5">
        <v>45549</v>
      </c>
      <c r="C623">
        <v>4</v>
      </c>
      <c r="D623">
        <v>3</v>
      </c>
      <c r="E623">
        <v>115</v>
      </c>
      <c r="F623" s="4" t="s">
        <v>521</v>
      </c>
      <c r="G623" s="4" t="s">
        <v>522</v>
      </c>
      <c r="H623" s="4" t="s">
        <v>42</v>
      </c>
      <c r="I623" s="4" t="s">
        <v>613</v>
      </c>
      <c r="J623" s="4" t="s">
        <v>52</v>
      </c>
      <c r="K623" s="4" t="s">
        <v>28</v>
      </c>
      <c r="L623" s="4" t="s">
        <v>38</v>
      </c>
      <c r="M623" s="4" t="s">
        <v>49</v>
      </c>
      <c r="N623" s="4" t="s">
        <v>31</v>
      </c>
      <c r="O623">
        <v>800000</v>
      </c>
      <c r="P623">
        <v>1</v>
      </c>
      <c r="Q623">
        <v>5</v>
      </c>
      <c r="R623">
        <v>800000</v>
      </c>
      <c r="S623">
        <v>40000</v>
      </c>
      <c r="T623">
        <v>760000</v>
      </c>
    </row>
    <row r="624" spans="1:20" x14ac:dyDescent="0.25">
      <c r="A624">
        <v>623</v>
      </c>
      <c r="B624" s="5">
        <v>45550</v>
      </c>
      <c r="C624">
        <v>21</v>
      </c>
      <c r="D624">
        <v>5</v>
      </c>
      <c r="E624">
        <v>110</v>
      </c>
      <c r="F624" s="4" t="s">
        <v>105</v>
      </c>
      <c r="G624" s="4" t="s">
        <v>106</v>
      </c>
      <c r="H624" s="4" t="s">
        <v>42</v>
      </c>
      <c r="I624" s="4" t="s">
        <v>641</v>
      </c>
      <c r="J624" s="4" t="s">
        <v>76</v>
      </c>
      <c r="K624" s="4" t="s">
        <v>77</v>
      </c>
      <c r="L624" s="4" t="s">
        <v>38</v>
      </c>
      <c r="M624" s="4" t="s">
        <v>69</v>
      </c>
      <c r="N624" s="4" t="s">
        <v>53</v>
      </c>
      <c r="O624">
        <v>450000</v>
      </c>
      <c r="P624">
        <v>3</v>
      </c>
      <c r="Q624">
        <v>0</v>
      </c>
      <c r="R624">
        <v>1350000</v>
      </c>
      <c r="S624">
        <v>0</v>
      </c>
      <c r="T624">
        <v>1350000</v>
      </c>
    </row>
    <row r="625" spans="1:20" x14ac:dyDescent="0.25">
      <c r="A625">
        <v>624</v>
      </c>
      <c r="B625" s="5">
        <v>45551</v>
      </c>
      <c r="C625">
        <v>43</v>
      </c>
      <c r="D625">
        <v>0</v>
      </c>
      <c r="E625">
        <v>25</v>
      </c>
      <c r="F625" s="4" t="s">
        <v>367</v>
      </c>
      <c r="G625" s="4" t="s">
        <v>368</v>
      </c>
      <c r="H625" s="4" t="s">
        <v>42</v>
      </c>
      <c r="I625" s="4" t="s">
        <v>630</v>
      </c>
      <c r="J625" s="4" t="s">
        <v>34</v>
      </c>
      <c r="K625" s="4" t="s">
        <v>272</v>
      </c>
      <c r="L625" s="4" t="s">
        <v>38</v>
      </c>
      <c r="M625" s="4" t="s">
        <v>39</v>
      </c>
      <c r="N625" s="4" t="s">
        <v>24</v>
      </c>
      <c r="O625">
        <v>35000</v>
      </c>
      <c r="P625">
        <v>2</v>
      </c>
      <c r="Q625">
        <v>0</v>
      </c>
      <c r="R625">
        <v>70000</v>
      </c>
      <c r="S625">
        <v>0</v>
      </c>
      <c r="T625">
        <v>70000</v>
      </c>
    </row>
    <row r="626" spans="1:20" x14ac:dyDescent="0.25">
      <c r="A626">
        <v>625</v>
      </c>
      <c r="B626" s="5">
        <v>45552</v>
      </c>
      <c r="C626">
        <v>49</v>
      </c>
      <c r="D626">
        <v>1</v>
      </c>
      <c r="E626">
        <v>122</v>
      </c>
      <c r="F626" s="4" t="s">
        <v>107</v>
      </c>
      <c r="G626" s="4" t="s">
        <v>108</v>
      </c>
      <c r="H626" s="4" t="s">
        <v>42</v>
      </c>
      <c r="I626" s="4" t="s">
        <v>616</v>
      </c>
      <c r="J626" s="4" t="s">
        <v>43</v>
      </c>
      <c r="K626" s="4" t="s">
        <v>43</v>
      </c>
      <c r="L626" s="4" t="s">
        <v>38</v>
      </c>
      <c r="M626" s="4" t="s">
        <v>39</v>
      </c>
      <c r="N626" s="4" t="s">
        <v>24</v>
      </c>
      <c r="O626">
        <v>35000</v>
      </c>
      <c r="P626">
        <v>2</v>
      </c>
      <c r="Q626">
        <v>0</v>
      </c>
      <c r="R626">
        <v>70000</v>
      </c>
      <c r="S626">
        <v>0</v>
      </c>
      <c r="T626">
        <v>70000</v>
      </c>
    </row>
    <row r="627" spans="1:20" x14ac:dyDescent="0.25">
      <c r="A627">
        <v>626</v>
      </c>
      <c r="B627" s="5">
        <v>45553</v>
      </c>
      <c r="C627">
        <v>45</v>
      </c>
      <c r="D627">
        <v>2</v>
      </c>
      <c r="E627">
        <v>152</v>
      </c>
      <c r="F627" s="4" t="s">
        <v>543</v>
      </c>
      <c r="G627" s="4" t="s">
        <v>544</v>
      </c>
      <c r="H627" s="4" t="s">
        <v>42</v>
      </c>
      <c r="I627" s="4" t="s">
        <v>627</v>
      </c>
      <c r="J627" s="4" t="s">
        <v>27</v>
      </c>
      <c r="K627" s="4" t="s">
        <v>28</v>
      </c>
      <c r="L627" s="4" t="s">
        <v>22</v>
      </c>
      <c r="M627" s="4" t="s">
        <v>30</v>
      </c>
      <c r="N627" s="4" t="s">
        <v>31</v>
      </c>
      <c r="O627">
        <v>700000</v>
      </c>
      <c r="P627">
        <v>2</v>
      </c>
      <c r="Q627">
        <v>0</v>
      </c>
      <c r="R627">
        <v>1400000</v>
      </c>
      <c r="S627">
        <v>0</v>
      </c>
      <c r="T627">
        <v>1400000</v>
      </c>
    </row>
    <row r="628" spans="1:20" x14ac:dyDescent="0.25">
      <c r="A628">
        <v>627</v>
      </c>
      <c r="B628" s="5">
        <v>45554</v>
      </c>
      <c r="C628">
        <v>65</v>
      </c>
      <c r="D628">
        <v>0</v>
      </c>
      <c r="E628">
        <v>71</v>
      </c>
      <c r="F628" s="4" t="s">
        <v>313</v>
      </c>
      <c r="G628" s="4" t="s">
        <v>314</v>
      </c>
      <c r="H628" s="4" t="s">
        <v>42</v>
      </c>
      <c r="I628" s="4" t="s">
        <v>627</v>
      </c>
      <c r="J628" s="4" t="s">
        <v>101</v>
      </c>
      <c r="K628" s="4" t="s">
        <v>109</v>
      </c>
      <c r="L628" s="4" t="s">
        <v>29</v>
      </c>
      <c r="M628" s="4" t="s">
        <v>62</v>
      </c>
      <c r="N628" s="4" t="s">
        <v>31</v>
      </c>
      <c r="O628">
        <v>650000</v>
      </c>
      <c r="P628">
        <v>1</v>
      </c>
      <c r="Q628">
        <v>0</v>
      </c>
      <c r="R628">
        <v>650000</v>
      </c>
      <c r="S628">
        <v>0</v>
      </c>
      <c r="T628">
        <v>650000</v>
      </c>
    </row>
    <row r="629" spans="1:20" x14ac:dyDescent="0.25">
      <c r="A629">
        <v>628</v>
      </c>
      <c r="B629" s="5">
        <v>45555</v>
      </c>
      <c r="C629">
        <v>14</v>
      </c>
      <c r="D629">
        <v>0</v>
      </c>
      <c r="E629">
        <v>134</v>
      </c>
      <c r="F629" s="4" t="s">
        <v>561</v>
      </c>
      <c r="G629" s="4" t="s">
        <v>562</v>
      </c>
      <c r="H629" s="4" t="s">
        <v>19</v>
      </c>
      <c r="I629" s="4" t="s">
        <v>609</v>
      </c>
      <c r="J629" s="4" t="s">
        <v>34</v>
      </c>
      <c r="K629" s="4" t="s">
        <v>272</v>
      </c>
      <c r="L629" s="4" t="s">
        <v>22</v>
      </c>
      <c r="M629" s="4" t="s">
        <v>39</v>
      </c>
      <c r="N629" s="4" t="s">
        <v>24</v>
      </c>
      <c r="O629">
        <v>35000</v>
      </c>
      <c r="P629">
        <v>3</v>
      </c>
      <c r="Q629">
        <v>0</v>
      </c>
      <c r="R629">
        <v>105000</v>
      </c>
      <c r="S629">
        <v>0</v>
      </c>
      <c r="T629">
        <v>105000</v>
      </c>
    </row>
    <row r="630" spans="1:20" x14ac:dyDescent="0.25">
      <c r="A630">
        <v>629</v>
      </c>
      <c r="B630" s="5">
        <v>45556</v>
      </c>
      <c r="C630">
        <v>53</v>
      </c>
      <c r="D630">
        <v>1</v>
      </c>
      <c r="E630">
        <v>125</v>
      </c>
      <c r="F630" s="4" t="s">
        <v>206</v>
      </c>
      <c r="G630" s="4" t="s">
        <v>207</v>
      </c>
      <c r="H630" s="4" t="s">
        <v>42</v>
      </c>
      <c r="I630" s="4" t="s">
        <v>617</v>
      </c>
      <c r="J630" s="4" t="s">
        <v>76</v>
      </c>
      <c r="K630" s="4" t="s">
        <v>77</v>
      </c>
      <c r="L630" s="4" t="s">
        <v>29</v>
      </c>
      <c r="M630" s="4" t="s">
        <v>39</v>
      </c>
      <c r="N630" s="4" t="s">
        <v>24</v>
      </c>
      <c r="O630">
        <v>35000</v>
      </c>
      <c r="P630">
        <v>2</v>
      </c>
      <c r="Q630">
        <v>1</v>
      </c>
      <c r="R630">
        <v>70000</v>
      </c>
      <c r="S630">
        <v>700</v>
      </c>
      <c r="T630">
        <v>69300</v>
      </c>
    </row>
    <row r="631" spans="1:20" x14ac:dyDescent="0.25">
      <c r="A631">
        <v>630</v>
      </c>
      <c r="B631" s="5">
        <v>45557</v>
      </c>
      <c r="C631">
        <v>41</v>
      </c>
      <c r="D631">
        <v>4</v>
      </c>
      <c r="E631">
        <v>207</v>
      </c>
      <c r="F631" s="4" t="s">
        <v>74</v>
      </c>
      <c r="G631" s="4" t="s">
        <v>75</v>
      </c>
      <c r="H631" s="4" t="s">
        <v>42</v>
      </c>
      <c r="I631" s="4" t="s">
        <v>620</v>
      </c>
      <c r="J631" s="4" t="s">
        <v>43</v>
      </c>
      <c r="K631" s="4" t="s">
        <v>43</v>
      </c>
      <c r="L631" s="4" t="s">
        <v>22</v>
      </c>
      <c r="M631" s="4" t="s">
        <v>30</v>
      </c>
      <c r="N631" s="4" t="s">
        <v>31</v>
      </c>
      <c r="O631">
        <v>700000</v>
      </c>
      <c r="P631">
        <v>2</v>
      </c>
      <c r="Q631">
        <v>0</v>
      </c>
      <c r="R631">
        <v>1400000</v>
      </c>
      <c r="S631">
        <v>0</v>
      </c>
      <c r="T631">
        <v>1400000</v>
      </c>
    </row>
    <row r="632" spans="1:20" x14ac:dyDescent="0.25">
      <c r="A632">
        <v>631</v>
      </c>
      <c r="B632" s="5">
        <v>45558</v>
      </c>
      <c r="C632">
        <v>4</v>
      </c>
      <c r="D632">
        <v>3</v>
      </c>
      <c r="E632">
        <v>226</v>
      </c>
      <c r="F632" s="4" t="s">
        <v>192</v>
      </c>
      <c r="G632" s="4" t="s">
        <v>193</v>
      </c>
      <c r="H632" s="4" t="s">
        <v>19</v>
      </c>
      <c r="I632" s="4" t="s">
        <v>644</v>
      </c>
      <c r="J632" s="4" t="s">
        <v>52</v>
      </c>
      <c r="K632" s="4" t="s">
        <v>28</v>
      </c>
      <c r="L632" s="4" t="s">
        <v>38</v>
      </c>
      <c r="M632" s="4" t="s">
        <v>69</v>
      </c>
      <c r="N632" s="4" t="s">
        <v>53</v>
      </c>
      <c r="O632">
        <v>450000</v>
      </c>
      <c r="P632">
        <v>1</v>
      </c>
      <c r="Q632">
        <v>5</v>
      </c>
      <c r="R632">
        <v>450000</v>
      </c>
      <c r="S632">
        <v>22500</v>
      </c>
      <c r="T632">
        <v>427500</v>
      </c>
    </row>
    <row r="633" spans="1:20" x14ac:dyDescent="0.25">
      <c r="A633">
        <v>632</v>
      </c>
      <c r="B633" s="5">
        <v>45559</v>
      </c>
      <c r="C633">
        <v>58</v>
      </c>
      <c r="D633">
        <v>1</v>
      </c>
      <c r="E633">
        <v>216</v>
      </c>
      <c r="F633" s="4" t="s">
        <v>244</v>
      </c>
      <c r="G633" s="4" t="s">
        <v>245</v>
      </c>
      <c r="H633" s="4" t="s">
        <v>19</v>
      </c>
      <c r="I633" s="4" t="s">
        <v>621</v>
      </c>
      <c r="J633" s="4" t="s">
        <v>76</v>
      </c>
      <c r="K633" s="4" t="s">
        <v>77</v>
      </c>
      <c r="L633" s="4" t="s">
        <v>22</v>
      </c>
      <c r="M633" s="4" t="s">
        <v>102</v>
      </c>
      <c r="N633" s="4" t="s">
        <v>57</v>
      </c>
      <c r="O633">
        <v>12000</v>
      </c>
      <c r="P633">
        <v>3</v>
      </c>
      <c r="Q633">
        <v>1</v>
      </c>
      <c r="R633">
        <v>36000</v>
      </c>
      <c r="S633">
        <v>360</v>
      </c>
      <c r="T633">
        <v>35640</v>
      </c>
    </row>
    <row r="634" spans="1:20" x14ac:dyDescent="0.25">
      <c r="A634">
        <v>633</v>
      </c>
      <c r="B634" s="5">
        <v>45560</v>
      </c>
      <c r="C634">
        <v>36</v>
      </c>
      <c r="D634">
        <v>4</v>
      </c>
      <c r="E634">
        <v>71</v>
      </c>
      <c r="F634" s="4" t="s">
        <v>313</v>
      </c>
      <c r="G634" s="4" t="s">
        <v>314</v>
      </c>
      <c r="H634" s="4" t="s">
        <v>42</v>
      </c>
      <c r="I634" s="4" t="s">
        <v>627</v>
      </c>
      <c r="J634" s="4" t="s">
        <v>101</v>
      </c>
      <c r="K634" s="4" t="s">
        <v>109</v>
      </c>
      <c r="L634" s="4" t="s">
        <v>22</v>
      </c>
      <c r="M634" s="4" t="s">
        <v>102</v>
      </c>
      <c r="N634" s="4" t="s">
        <v>57</v>
      </c>
      <c r="O634">
        <v>12000</v>
      </c>
      <c r="P634">
        <v>3</v>
      </c>
      <c r="Q634">
        <v>1</v>
      </c>
      <c r="R634">
        <v>36000</v>
      </c>
      <c r="S634">
        <v>360</v>
      </c>
      <c r="T634">
        <v>35640</v>
      </c>
    </row>
    <row r="635" spans="1:20" x14ac:dyDescent="0.25">
      <c r="A635">
        <v>634</v>
      </c>
      <c r="B635" s="5">
        <v>45561</v>
      </c>
      <c r="C635">
        <v>21</v>
      </c>
      <c r="D635">
        <v>5</v>
      </c>
      <c r="E635">
        <v>116</v>
      </c>
      <c r="F635" s="4" t="s">
        <v>256</v>
      </c>
      <c r="G635" s="4" t="s">
        <v>257</v>
      </c>
      <c r="H635" s="4" t="s">
        <v>42</v>
      </c>
      <c r="I635" s="4" t="s">
        <v>623</v>
      </c>
      <c r="J635" s="4" t="s">
        <v>76</v>
      </c>
      <c r="K635" s="4" t="s">
        <v>77</v>
      </c>
      <c r="L635" s="4" t="s">
        <v>22</v>
      </c>
      <c r="M635" s="4" t="s">
        <v>23</v>
      </c>
      <c r="N635" s="4" t="s">
        <v>24</v>
      </c>
      <c r="O635">
        <v>15000</v>
      </c>
      <c r="P635">
        <v>1</v>
      </c>
      <c r="Q635">
        <v>0</v>
      </c>
      <c r="R635">
        <v>15000</v>
      </c>
      <c r="S635">
        <v>0</v>
      </c>
      <c r="T635">
        <v>15000</v>
      </c>
    </row>
    <row r="636" spans="1:20" x14ac:dyDescent="0.25">
      <c r="A636">
        <v>635</v>
      </c>
      <c r="B636" s="5">
        <v>45562</v>
      </c>
      <c r="C636">
        <v>9</v>
      </c>
      <c r="D636">
        <v>9</v>
      </c>
      <c r="E636">
        <v>18</v>
      </c>
      <c r="F636" s="4" t="s">
        <v>260</v>
      </c>
      <c r="G636" s="4" t="s">
        <v>261</v>
      </c>
      <c r="H636" s="4" t="s">
        <v>42</v>
      </c>
      <c r="I636" s="4" t="s">
        <v>623</v>
      </c>
      <c r="J636" s="4" t="s">
        <v>37</v>
      </c>
      <c r="K636" s="4" t="s">
        <v>37</v>
      </c>
      <c r="L636" s="4" t="s">
        <v>38</v>
      </c>
      <c r="M636" s="4" t="s">
        <v>23</v>
      </c>
      <c r="N636" s="4" t="s">
        <v>24</v>
      </c>
      <c r="O636">
        <v>15000</v>
      </c>
      <c r="P636">
        <v>3</v>
      </c>
      <c r="Q636">
        <v>0</v>
      </c>
      <c r="R636">
        <v>45000</v>
      </c>
      <c r="S636">
        <v>0</v>
      </c>
      <c r="T636">
        <v>45000</v>
      </c>
    </row>
    <row r="637" spans="1:20" x14ac:dyDescent="0.25">
      <c r="A637">
        <v>636</v>
      </c>
      <c r="B637" s="5">
        <v>45563</v>
      </c>
      <c r="C637">
        <v>5</v>
      </c>
      <c r="D637">
        <v>1</v>
      </c>
      <c r="E637">
        <v>181</v>
      </c>
      <c r="F637" s="4" t="s">
        <v>535</v>
      </c>
      <c r="G637" s="4" t="s">
        <v>536</v>
      </c>
      <c r="H637" s="4" t="s">
        <v>19</v>
      </c>
      <c r="I637" s="4" t="s">
        <v>617</v>
      </c>
      <c r="J637" s="4" t="s">
        <v>27</v>
      </c>
      <c r="K637" s="4" t="s">
        <v>28</v>
      </c>
      <c r="L637" s="4" t="s">
        <v>29</v>
      </c>
      <c r="M637" s="4" t="s">
        <v>98</v>
      </c>
      <c r="N637" s="4" t="s">
        <v>151</v>
      </c>
      <c r="O637">
        <v>55000</v>
      </c>
      <c r="P637">
        <v>3</v>
      </c>
      <c r="Q637">
        <v>1</v>
      </c>
      <c r="R637">
        <v>165000</v>
      </c>
      <c r="S637">
        <v>1650</v>
      </c>
      <c r="T637">
        <v>163350</v>
      </c>
    </row>
    <row r="638" spans="1:20" x14ac:dyDescent="0.25">
      <c r="A638">
        <v>637</v>
      </c>
      <c r="B638" s="5">
        <v>45564</v>
      </c>
      <c r="C638">
        <v>54</v>
      </c>
      <c r="D638">
        <v>9</v>
      </c>
      <c r="E638">
        <v>175</v>
      </c>
      <c r="F638" s="4" t="s">
        <v>519</v>
      </c>
      <c r="G638" s="4" t="s">
        <v>520</v>
      </c>
      <c r="H638" s="4" t="s">
        <v>19</v>
      </c>
      <c r="I638" s="4" t="s">
        <v>623</v>
      </c>
      <c r="J638" s="4" t="s">
        <v>27</v>
      </c>
      <c r="K638" s="4" t="s">
        <v>28</v>
      </c>
      <c r="L638" s="4" t="s">
        <v>29</v>
      </c>
      <c r="M638" s="4" t="s">
        <v>56</v>
      </c>
      <c r="N638" s="4" t="s">
        <v>57</v>
      </c>
      <c r="O638">
        <v>25000</v>
      </c>
      <c r="P638">
        <v>3</v>
      </c>
      <c r="Q638">
        <v>5</v>
      </c>
      <c r="R638">
        <v>75000</v>
      </c>
      <c r="S638">
        <v>3750</v>
      </c>
      <c r="T638">
        <v>71250</v>
      </c>
    </row>
    <row r="639" spans="1:20" x14ac:dyDescent="0.25">
      <c r="A639">
        <v>638</v>
      </c>
      <c r="B639" s="5">
        <v>45565</v>
      </c>
      <c r="C639">
        <v>47</v>
      </c>
      <c r="D639">
        <v>1</v>
      </c>
      <c r="E639">
        <v>37</v>
      </c>
      <c r="F639" s="4" t="s">
        <v>250</v>
      </c>
      <c r="G639" s="4" t="s">
        <v>251</v>
      </c>
      <c r="H639" s="4" t="s">
        <v>19</v>
      </c>
      <c r="I639" s="4" t="s">
        <v>625</v>
      </c>
      <c r="J639" s="4" t="s">
        <v>116</v>
      </c>
      <c r="K639" s="4" t="s">
        <v>37</v>
      </c>
      <c r="L639" s="4" t="s">
        <v>22</v>
      </c>
      <c r="M639" s="4" t="s">
        <v>102</v>
      </c>
      <c r="N639" s="4" t="s">
        <v>57</v>
      </c>
      <c r="O639">
        <v>12000</v>
      </c>
      <c r="P639">
        <v>2</v>
      </c>
      <c r="Q639">
        <v>5</v>
      </c>
      <c r="R639">
        <v>24000</v>
      </c>
      <c r="S639">
        <v>1200</v>
      </c>
      <c r="T639">
        <v>22800</v>
      </c>
    </row>
    <row r="640" spans="1:20" x14ac:dyDescent="0.25">
      <c r="A640">
        <v>639</v>
      </c>
      <c r="B640" s="5">
        <v>45566</v>
      </c>
      <c r="C640">
        <v>31</v>
      </c>
      <c r="D640">
        <v>4</v>
      </c>
      <c r="E640">
        <v>214</v>
      </c>
      <c r="F640" s="4" t="s">
        <v>433</v>
      </c>
      <c r="G640" s="4" t="s">
        <v>434</v>
      </c>
      <c r="H640" s="4" t="s">
        <v>19</v>
      </c>
      <c r="I640" s="4" t="s">
        <v>617</v>
      </c>
      <c r="J640" s="4" t="s">
        <v>101</v>
      </c>
      <c r="K640" s="4" t="s">
        <v>109</v>
      </c>
      <c r="L640" s="4" t="s">
        <v>38</v>
      </c>
      <c r="M640" s="4" t="s">
        <v>39</v>
      </c>
      <c r="N640" s="4" t="s">
        <v>24</v>
      </c>
      <c r="O640">
        <v>35000</v>
      </c>
      <c r="P640">
        <v>1</v>
      </c>
      <c r="Q640">
        <v>0</v>
      </c>
      <c r="R640">
        <v>35000</v>
      </c>
      <c r="S640">
        <v>0</v>
      </c>
      <c r="T640">
        <v>35000</v>
      </c>
    </row>
    <row r="641" spans="1:20" x14ac:dyDescent="0.25">
      <c r="A641">
        <v>640</v>
      </c>
      <c r="B641" s="5">
        <v>45567</v>
      </c>
      <c r="C641">
        <v>54</v>
      </c>
      <c r="D641">
        <v>9</v>
      </c>
      <c r="E641">
        <v>166</v>
      </c>
      <c r="F641" s="4" t="s">
        <v>345</v>
      </c>
      <c r="G641" s="4" t="s">
        <v>346</v>
      </c>
      <c r="H641" s="4" t="s">
        <v>42</v>
      </c>
      <c r="I641" s="4" t="s">
        <v>627</v>
      </c>
      <c r="J641" s="4" t="s">
        <v>27</v>
      </c>
      <c r="K641" s="4" t="s">
        <v>28</v>
      </c>
      <c r="L641" s="4" t="s">
        <v>22</v>
      </c>
      <c r="M641" s="4" t="s">
        <v>49</v>
      </c>
      <c r="N641" s="4" t="s">
        <v>31</v>
      </c>
      <c r="O641">
        <v>800000</v>
      </c>
      <c r="P641">
        <v>2</v>
      </c>
      <c r="Q641">
        <v>0</v>
      </c>
      <c r="R641">
        <v>1600000</v>
      </c>
      <c r="S641">
        <v>0</v>
      </c>
      <c r="T641">
        <v>1600000</v>
      </c>
    </row>
    <row r="642" spans="1:20" x14ac:dyDescent="0.25">
      <c r="A642">
        <v>641</v>
      </c>
      <c r="B642" s="5">
        <v>45568</v>
      </c>
      <c r="C642">
        <v>14</v>
      </c>
      <c r="D642">
        <v>0</v>
      </c>
      <c r="E642">
        <v>190</v>
      </c>
      <c r="F642" s="4" t="s">
        <v>563</v>
      </c>
      <c r="G642" s="4" t="s">
        <v>564</v>
      </c>
      <c r="H642" s="4" t="s">
        <v>19</v>
      </c>
      <c r="I642" s="4" t="s">
        <v>652</v>
      </c>
      <c r="J642" s="4" t="s">
        <v>34</v>
      </c>
      <c r="K642" s="4" t="s">
        <v>272</v>
      </c>
      <c r="L642" s="4" t="s">
        <v>38</v>
      </c>
      <c r="M642" s="4" t="s">
        <v>56</v>
      </c>
      <c r="N642" s="4" t="s">
        <v>57</v>
      </c>
      <c r="O642">
        <v>25000</v>
      </c>
      <c r="P642">
        <v>1</v>
      </c>
      <c r="Q642">
        <v>5</v>
      </c>
      <c r="R642">
        <v>25000</v>
      </c>
      <c r="S642">
        <v>1250</v>
      </c>
      <c r="T642">
        <v>23750</v>
      </c>
    </row>
    <row r="643" spans="1:20" x14ac:dyDescent="0.25">
      <c r="A643">
        <v>642</v>
      </c>
      <c r="B643" s="5">
        <v>45569</v>
      </c>
      <c r="C643">
        <v>59</v>
      </c>
      <c r="D643">
        <v>1</v>
      </c>
      <c r="E643">
        <v>214</v>
      </c>
      <c r="F643" s="4" t="s">
        <v>433</v>
      </c>
      <c r="G643" s="4" t="s">
        <v>434</v>
      </c>
      <c r="H643" s="4" t="s">
        <v>19</v>
      </c>
      <c r="I643" s="4" t="s">
        <v>617</v>
      </c>
      <c r="J643" s="4" t="s">
        <v>43</v>
      </c>
      <c r="K643" s="4" t="s">
        <v>43</v>
      </c>
      <c r="L643" s="4" t="s">
        <v>22</v>
      </c>
      <c r="M643" s="4" t="s">
        <v>39</v>
      </c>
      <c r="N643" s="4" t="s">
        <v>24</v>
      </c>
      <c r="O643">
        <v>35000</v>
      </c>
      <c r="P643">
        <v>1</v>
      </c>
      <c r="Q643">
        <v>1</v>
      </c>
      <c r="R643">
        <v>35000</v>
      </c>
      <c r="S643">
        <v>350</v>
      </c>
      <c r="T643">
        <v>34650</v>
      </c>
    </row>
    <row r="644" spans="1:20" x14ac:dyDescent="0.25">
      <c r="A644">
        <v>643</v>
      </c>
      <c r="B644" s="5">
        <v>45570</v>
      </c>
      <c r="C644">
        <v>10</v>
      </c>
      <c r="D644">
        <v>7</v>
      </c>
      <c r="E644">
        <v>227</v>
      </c>
      <c r="F644" s="4" t="s">
        <v>309</v>
      </c>
      <c r="G644" s="4" t="s">
        <v>310</v>
      </c>
      <c r="H644" s="4" t="s">
        <v>42</v>
      </c>
      <c r="I644" s="4" t="s">
        <v>610</v>
      </c>
      <c r="J644" s="4" t="s">
        <v>37</v>
      </c>
      <c r="K644" s="4" t="s">
        <v>37</v>
      </c>
      <c r="L644" s="4" t="s">
        <v>38</v>
      </c>
      <c r="M644" s="4" t="s">
        <v>62</v>
      </c>
      <c r="N644" s="4" t="s">
        <v>31</v>
      </c>
      <c r="O644">
        <v>650000</v>
      </c>
      <c r="P644">
        <v>2</v>
      </c>
      <c r="Q644">
        <v>5</v>
      </c>
      <c r="R644">
        <v>1300000</v>
      </c>
      <c r="S644">
        <v>65000</v>
      </c>
      <c r="T644">
        <v>1235000</v>
      </c>
    </row>
    <row r="645" spans="1:20" x14ac:dyDescent="0.25">
      <c r="A645">
        <v>644</v>
      </c>
      <c r="B645" s="5">
        <v>45571</v>
      </c>
      <c r="C645">
        <v>68</v>
      </c>
      <c r="D645">
        <v>2</v>
      </c>
      <c r="E645">
        <v>18</v>
      </c>
      <c r="F645" s="4" t="s">
        <v>260</v>
      </c>
      <c r="G645" s="4" t="s">
        <v>261</v>
      </c>
      <c r="H645" s="4" t="s">
        <v>42</v>
      </c>
      <c r="I645" s="4" t="s">
        <v>623</v>
      </c>
      <c r="J645" s="4" t="s">
        <v>34</v>
      </c>
      <c r="K645" s="4" t="s">
        <v>272</v>
      </c>
      <c r="L645" s="4" t="s">
        <v>29</v>
      </c>
      <c r="M645" s="4" t="s">
        <v>30</v>
      </c>
      <c r="N645" s="4" t="s">
        <v>31</v>
      </c>
      <c r="O645">
        <v>700000</v>
      </c>
      <c r="P645">
        <v>1</v>
      </c>
      <c r="Q645">
        <v>0</v>
      </c>
      <c r="R645">
        <v>700000</v>
      </c>
      <c r="S645">
        <v>0</v>
      </c>
      <c r="T645">
        <v>700000</v>
      </c>
    </row>
    <row r="646" spans="1:20" x14ac:dyDescent="0.25">
      <c r="A646">
        <v>645</v>
      </c>
      <c r="B646" s="5">
        <v>45572</v>
      </c>
      <c r="C646">
        <v>13</v>
      </c>
      <c r="D646">
        <v>0</v>
      </c>
      <c r="E646">
        <v>96</v>
      </c>
      <c r="F646" s="4" t="s">
        <v>493</v>
      </c>
      <c r="G646" s="4" t="s">
        <v>494</v>
      </c>
      <c r="H646" s="4" t="s">
        <v>19</v>
      </c>
      <c r="I646" s="4" t="s">
        <v>642</v>
      </c>
      <c r="J646" s="4" t="s">
        <v>27</v>
      </c>
      <c r="K646" s="4" t="s">
        <v>28</v>
      </c>
      <c r="L646" s="4" t="s">
        <v>22</v>
      </c>
      <c r="M646" s="4" t="s">
        <v>46</v>
      </c>
      <c r="N646" s="4" t="s">
        <v>53</v>
      </c>
      <c r="O646">
        <v>750000</v>
      </c>
      <c r="P646">
        <v>3</v>
      </c>
      <c r="Q646">
        <v>0</v>
      </c>
      <c r="R646">
        <v>2250000</v>
      </c>
      <c r="S646">
        <v>0</v>
      </c>
      <c r="T646">
        <v>2250000</v>
      </c>
    </row>
    <row r="647" spans="1:20" x14ac:dyDescent="0.25">
      <c r="A647">
        <v>646</v>
      </c>
      <c r="B647" s="5">
        <v>45573</v>
      </c>
      <c r="C647">
        <v>50</v>
      </c>
      <c r="D647">
        <v>0</v>
      </c>
      <c r="E647">
        <v>276</v>
      </c>
      <c r="F647" s="4" t="s">
        <v>533</v>
      </c>
      <c r="G647" s="4" t="s">
        <v>534</v>
      </c>
      <c r="H647" s="4" t="s">
        <v>19</v>
      </c>
      <c r="I647" s="4" t="s">
        <v>609</v>
      </c>
      <c r="J647" s="4" t="s">
        <v>20</v>
      </c>
      <c r="K647" s="4" t="s">
        <v>21</v>
      </c>
      <c r="L647" s="4" t="s">
        <v>29</v>
      </c>
      <c r="M647" s="4" t="s">
        <v>98</v>
      </c>
      <c r="N647" s="4" t="s">
        <v>151</v>
      </c>
      <c r="O647">
        <v>55000</v>
      </c>
      <c r="P647">
        <v>3</v>
      </c>
      <c r="Q647">
        <v>1</v>
      </c>
      <c r="R647">
        <v>165000</v>
      </c>
      <c r="S647">
        <v>1650</v>
      </c>
      <c r="T647">
        <v>163350</v>
      </c>
    </row>
    <row r="648" spans="1:20" x14ac:dyDescent="0.25">
      <c r="A648">
        <v>647</v>
      </c>
      <c r="B648" s="5">
        <v>45574</v>
      </c>
      <c r="C648">
        <v>70</v>
      </c>
      <c r="D648">
        <v>6</v>
      </c>
      <c r="E648">
        <v>69</v>
      </c>
      <c r="F648" s="4" t="s">
        <v>188</v>
      </c>
      <c r="G648" s="4" t="s">
        <v>189</v>
      </c>
      <c r="H648" s="4" t="s">
        <v>42</v>
      </c>
      <c r="I648" s="4" t="s">
        <v>627</v>
      </c>
      <c r="J648" s="4" t="s">
        <v>27</v>
      </c>
      <c r="K648" s="4" t="s">
        <v>28</v>
      </c>
      <c r="L648" s="4" t="s">
        <v>22</v>
      </c>
      <c r="M648" s="4" t="s">
        <v>62</v>
      </c>
      <c r="N648" s="4" t="s">
        <v>31</v>
      </c>
      <c r="O648">
        <v>650000</v>
      </c>
      <c r="P648">
        <v>2</v>
      </c>
      <c r="Q648">
        <v>0</v>
      </c>
      <c r="R648">
        <v>1300000</v>
      </c>
      <c r="S648">
        <v>0</v>
      </c>
      <c r="T648">
        <v>1300000</v>
      </c>
    </row>
    <row r="649" spans="1:20" x14ac:dyDescent="0.25">
      <c r="A649">
        <v>648</v>
      </c>
      <c r="B649" s="5">
        <v>45575</v>
      </c>
      <c r="C649">
        <v>30</v>
      </c>
      <c r="D649">
        <v>0</v>
      </c>
      <c r="E649">
        <v>133</v>
      </c>
      <c r="F649" s="4" t="s">
        <v>565</v>
      </c>
      <c r="G649" s="4" t="s">
        <v>566</v>
      </c>
      <c r="H649" s="4" t="s">
        <v>19</v>
      </c>
      <c r="I649" s="4" t="s">
        <v>615</v>
      </c>
      <c r="J649" s="4" t="s">
        <v>37</v>
      </c>
      <c r="K649" s="4" t="s">
        <v>37</v>
      </c>
      <c r="L649" s="4" t="s">
        <v>22</v>
      </c>
      <c r="M649" s="4" t="s">
        <v>49</v>
      </c>
      <c r="N649" s="4" t="s">
        <v>31</v>
      </c>
      <c r="O649">
        <v>800000</v>
      </c>
      <c r="P649">
        <v>1</v>
      </c>
      <c r="Q649">
        <v>1</v>
      </c>
      <c r="R649">
        <v>800000</v>
      </c>
      <c r="S649">
        <v>8000</v>
      </c>
      <c r="T649">
        <v>792000</v>
      </c>
    </row>
    <row r="650" spans="1:20" x14ac:dyDescent="0.25">
      <c r="A650">
        <v>649</v>
      </c>
      <c r="B650" s="5">
        <v>45576</v>
      </c>
      <c r="C650">
        <v>24</v>
      </c>
      <c r="D650">
        <v>3</v>
      </c>
      <c r="E650">
        <v>249</v>
      </c>
      <c r="F650" s="4" t="s">
        <v>162</v>
      </c>
      <c r="G650" s="4" t="s">
        <v>163</v>
      </c>
      <c r="H650" s="4" t="s">
        <v>42</v>
      </c>
      <c r="I650" s="4" t="s">
        <v>634</v>
      </c>
      <c r="J650" s="4" t="s">
        <v>84</v>
      </c>
      <c r="K650" s="4" t="s">
        <v>85</v>
      </c>
      <c r="L650" s="4" t="s">
        <v>22</v>
      </c>
      <c r="M650" s="4" t="s">
        <v>102</v>
      </c>
      <c r="N650" s="4" t="s">
        <v>57</v>
      </c>
      <c r="O650">
        <v>12000</v>
      </c>
      <c r="P650">
        <v>3</v>
      </c>
      <c r="Q650">
        <v>0</v>
      </c>
      <c r="R650">
        <v>36000</v>
      </c>
      <c r="S650">
        <v>0</v>
      </c>
      <c r="T650">
        <v>36000</v>
      </c>
    </row>
    <row r="651" spans="1:20" x14ac:dyDescent="0.25">
      <c r="A651">
        <v>650</v>
      </c>
      <c r="B651" s="5">
        <v>45577</v>
      </c>
      <c r="C651">
        <v>58</v>
      </c>
      <c r="D651">
        <v>1</v>
      </c>
      <c r="E651">
        <v>29</v>
      </c>
      <c r="F651" s="4" t="s">
        <v>547</v>
      </c>
      <c r="G651" s="4" t="s">
        <v>548</v>
      </c>
      <c r="H651" s="4" t="s">
        <v>19</v>
      </c>
      <c r="I651" s="4" t="s">
        <v>643</v>
      </c>
      <c r="J651" s="4" t="s">
        <v>76</v>
      </c>
      <c r="K651" s="4" t="s">
        <v>77</v>
      </c>
      <c r="L651" s="4" t="s">
        <v>29</v>
      </c>
      <c r="M651" s="4" t="s">
        <v>39</v>
      </c>
      <c r="N651" s="4" t="s">
        <v>24</v>
      </c>
      <c r="O651">
        <v>35000</v>
      </c>
      <c r="P651">
        <v>3</v>
      </c>
      <c r="Q651">
        <v>0</v>
      </c>
      <c r="R651">
        <v>105000</v>
      </c>
      <c r="S651">
        <v>0</v>
      </c>
      <c r="T651">
        <v>105000</v>
      </c>
    </row>
    <row r="652" spans="1:20" x14ac:dyDescent="0.25">
      <c r="A652">
        <v>651</v>
      </c>
      <c r="B652" s="5">
        <v>45578</v>
      </c>
      <c r="C652">
        <v>46</v>
      </c>
      <c r="D652">
        <v>5</v>
      </c>
      <c r="E652">
        <v>251</v>
      </c>
      <c r="F652" s="4" t="s">
        <v>431</v>
      </c>
      <c r="G652" s="4" t="s">
        <v>432</v>
      </c>
      <c r="H652" s="4" t="s">
        <v>19</v>
      </c>
      <c r="I652" s="4" t="s">
        <v>624</v>
      </c>
      <c r="J652" s="4" t="s">
        <v>84</v>
      </c>
      <c r="K652" s="4" t="s">
        <v>85</v>
      </c>
      <c r="L652" s="4" t="s">
        <v>38</v>
      </c>
      <c r="M652" s="4" t="s">
        <v>30</v>
      </c>
      <c r="N652" s="4" t="s">
        <v>31</v>
      </c>
      <c r="O652">
        <v>700000</v>
      </c>
      <c r="P652">
        <v>1</v>
      </c>
      <c r="Q652">
        <v>0</v>
      </c>
      <c r="R652">
        <v>700000</v>
      </c>
      <c r="S652">
        <v>0</v>
      </c>
      <c r="T652">
        <v>700000</v>
      </c>
    </row>
    <row r="653" spans="1:20" x14ac:dyDescent="0.25">
      <c r="A653">
        <v>652</v>
      </c>
      <c r="B653" s="5">
        <v>45579</v>
      </c>
      <c r="C653">
        <v>48</v>
      </c>
      <c r="D653">
        <v>6</v>
      </c>
      <c r="E653">
        <v>141</v>
      </c>
      <c r="F653" s="4" t="s">
        <v>499</v>
      </c>
      <c r="G653" s="4" t="s">
        <v>500</v>
      </c>
      <c r="H653" s="4" t="s">
        <v>42</v>
      </c>
      <c r="I653" s="4" t="s">
        <v>625</v>
      </c>
      <c r="J653" s="4" t="s">
        <v>37</v>
      </c>
      <c r="K653" s="4" t="s">
        <v>37</v>
      </c>
      <c r="L653" s="4" t="s">
        <v>29</v>
      </c>
      <c r="M653" s="4" t="s">
        <v>49</v>
      </c>
      <c r="N653" s="4" t="s">
        <v>31</v>
      </c>
      <c r="O653">
        <v>800000</v>
      </c>
      <c r="P653">
        <v>3</v>
      </c>
      <c r="Q653">
        <v>0</v>
      </c>
      <c r="R653">
        <v>2400000</v>
      </c>
      <c r="S653">
        <v>0</v>
      </c>
      <c r="T653">
        <v>2400000</v>
      </c>
    </row>
    <row r="654" spans="1:20" x14ac:dyDescent="0.25">
      <c r="A654">
        <v>653</v>
      </c>
      <c r="B654" s="5">
        <v>45580</v>
      </c>
      <c r="C654">
        <v>23</v>
      </c>
      <c r="D654">
        <v>0</v>
      </c>
      <c r="E654">
        <v>62</v>
      </c>
      <c r="F654" s="4" t="s">
        <v>329</v>
      </c>
      <c r="G654" s="4" t="s">
        <v>330</v>
      </c>
      <c r="H654" s="4" t="s">
        <v>42</v>
      </c>
      <c r="I654" s="4" t="s">
        <v>613</v>
      </c>
      <c r="J654" s="4" t="s">
        <v>52</v>
      </c>
      <c r="K654" s="4" t="s">
        <v>28</v>
      </c>
      <c r="L654" s="4" t="s">
        <v>22</v>
      </c>
      <c r="M654" s="4" t="s">
        <v>102</v>
      </c>
      <c r="N654" s="4" t="s">
        <v>57</v>
      </c>
      <c r="O654">
        <v>12000</v>
      </c>
      <c r="P654">
        <v>3</v>
      </c>
      <c r="Q654">
        <v>1</v>
      </c>
      <c r="R654">
        <v>36000</v>
      </c>
      <c r="S654">
        <v>360</v>
      </c>
      <c r="T654">
        <v>35640</v>
      </c>
    </row>
    <row r="655" spans="1:20" x14ac:dyDescent="0.25">
      <c r="A655">
        <v>654</v>
      </c>
      <c r="B655" s="5">
        <v>45581</v>
      </c>
      <c r="C655">
        <v>21</v>
      </c>
      <c r="D655">
        <v>5</v>
      </c>
      <c r="E655">
        <v>110</v>
      </c>
      <c r="F655" s="4" t="s">
        <v>105</v>
      </c>
      <c r="G655" s="4" t="s">
        <v>106</v>
      </c>
      <c r="H655" s="4" t="s">
        <v>42</v>
      </c>
      <c r="I655" s="4" t="s">
        <v>641</v>
      </c>
      <c r="J655" s="4" t="s">
        <v>76</v>
      </c>
      <c r="K655" s="4" t="s">
        <v>77</v>
      </c>
      <c r="L655" s="4" t="s">
        <v>22</v>
      </c>
      <c r="M655" s="4" t="s">
        <v>102</v>
      </c>
      <c r="N655" s="4" t="s">
        <v>57</v>
      </c>
      <c r="O655">
        <v>12000</v>
      </c>
      <c r="P655">
        <v>2</v>
      </c>
      <c r="Q655">
        <v>1</v>
      </c>
      <c r="R655">
        <v>24000</v>
      </c>
      <c r="S655">
        <v>240</v>
      </c>
      <c r="T655">
        <v>23760</v>
      </c>
    </row>
    <row r="656" spans="1:20" x14ac:dyDescent="0.25">
      <c r="A656">
        <v>655</v>
      </c>
      <c r="B656" s="5">
        <v>45582</v>
      </c>
      <c r="C656">
        <v>68</v>
      </c>
      <c r="D656">
        <v>2</v>
      </c>
      <c r="E656">
        <v>170</v>
      </c>
      <c r="F656" s="4" t="s">
        <v>531</v>
      </c>
      <c r="G656" s="4" t="s">
        <v>532</v>
      </c>
      <c r="H656" s="4" t="s">
        <v>19</v>
      </c>
      <c r="I656" s="4" t="s">
        <v>631</v>
      </c>
      <c r="J656" s="4" t="s">
        <v>34</v>
      </c>
      <c r="K656" s="4" t="s">
        <v>272</v>
      </c>
      <c r="L656" s="4" t="s">
        <v>22</v>
      </c>
      <c r="M656" s="4" t="s">
        <v>49</v>
      </c>
      <c r="N656" s="4" t="s">
        <v>31</v>
      </c>
      <c r="O656">
        <v>800000</v>
      </c>
      <c r="P656">
        <v>3</v>
      </c>
      <c r="Q656">
        <v>5</v>
      </c>
      <c r="R656">
        <v>2400000</v>
      </c>
      <c r="S656">
        <v>120000</v>
      </c>
      <c r="T656">
        <v>2280000</v>
      </c>
    </row>
    <row r="657" spans="1:20" x14ac:dyDescent="0.25">
      <c r="A657">
        <v>656</v>
      </c>
      <c r="B657" s="5">
        <v>45583</v>
      </c>
      <c r="C657">
        <v>42</v>
      </c>
      <c r="D657">
        <v>4</v>
      </c>
      <c r="E657">
        <v>96</v>
      </c>
      <c r="F657" s="4" t="s">
        <v>493</v>
      </c>
      <c r="G657" s="4" t="s">
        <v>494</v>
      </c>
      <c r="H657" s="4" t="s">
        <v>19</v>
      </c>
      <c r="I657" s="4" t="s">
        <v>642</v>
      </c>
      <c r="J657" s="4" t="s">
        <v>27</v>
      </c>
      <c r="K657" s="4" t="s">
        <v>28</v>
      </c>
      <c r="L657" s="4" t="s">
        <v>38</v>
      </c>
      <c r="M657" s="4" t="s">
        <v>49</v>
      </c>
      <c r="N657" s="4" t="s">
        <v>31</v>
      </c>
      <c r="O657">
        <v>800000</v>
      </c>
      <c r="P657">
        <v>3</v>
      </c>
      <c r="Q657">
        <v>5</v>
      </c>
      <c r="R657">
        <v>2400000</v>
      </c>
      <c r="S657">
        <v>120000</v>
      </c>
      <c r="T657">
        <v>2280000</v>
      </c>
    </row>
    <row r="658" spans="1:20" x14ac:dyDescent="0.25">
      <c r="A658">
        <v>657</v>
      </c>
      <c r="B658" s="5">
        <v>45584</v>
      </c>
      <c r="C658">
        <v>50</v>
      </c>
      <c r="D658">
        <v>0</v>
      </c>
      <c r="E658">
        <v>155</v>
      </c>
      <c r="F658" s="4" t="s">
        <v>379</v>
      </c>
      <c r="G658" s="4" t="s">
        <v>380</v>
      </c>
      <c r="H658" s="4" t="s">
        <v>42</v>
      </c>
      <c r="I658" s="4" t="s">
        <v>623</v>
      </c>
      <c r="J658" s="4" t="s">
        <v>20</v>
      </c>
      <c r="K658" s="4" t="s">
        <v>21</v>
      </c>
      <c r="L658" s="4" t="s">
        <v>22</v>
      </c>
      <c r="M658" s="4" t="s">
        <v>62</v>
      </c>
      <c r="N658" s="4" t="s">
        <v>31</v>
      </c>
      <c r="O658">
        <v>650000</v>
      </c>
      <c r="P658">
        <v>2</v>
      </c>
      <c r="Q658">
        <v>5</v>
      </c>
      <c r="R658">
        <v>1300000</v>
      </c>
      <c r="S658">
        <v>65000</v>
      </c>
      <c r="T658">
        <v>1235000</v>
      </c>
    </row>
    <row r="659" spans="1:20" x14ac:dyDescent="0.25">
      <c r="A659">
        <v>658</v>
      </c>
      <c r="B659" s="5">
        <v>45585</v>
      </c>
      <c r="C659">
        <v>2</v>
      </c>
      <c r="D659">
        <v>2</v>
      </c>
      <c r="E659">
        <v>53</v>
      </c>
      <c r="F659" s="4" t="s">
        <v>234</v>
      </c>
      <c r="G659" s="4" t="s">
        <v>235</v>
      </c>
      <c r="H659" s="4" t="s">
        <v>42</v>
      </c>
      <c r="I659" s="4" t="s">
        <v>614</v>
      </c>
      <c r="J659" s="4" t="s">
        <v>101</v>
      </c>
      <c r="K659" s="4" t="s">
        <v>109</v>
      </c>
      <c r="L659" s="4" t="s">
        <v>38</v>
      </c>
      <c r="M659" s="4" t="s">
        <v>39</v>
      </c>
      <c r="N659" s="4" t="s">
        <v>24</v>
      </c>
      <c r="O659">
        <v>35000</v>
      </c>
      <c r="P659">
        <v>3</v>
      </c>
      <c r="Q659">
        <v>5</v>
      </c>
      <c r="R659">
        <v>105000</v>
      </c>
      <c r="S659">
        <v>5250</v>
      </c>
      <c r="T659">
        <v>99750</v>
      </c>
    </row>
    <row r="660" spans="1:20" x14ac:dyDescent="0.25">
      <c r="A660">
        <v>659</v>
      </c>
      <c r="B660" s="5">
        <v>45586</v>
      </c>
      <c r="C660">
        <v>36</v>
      </c>
      <c r="D660">
        <v>4</v>
      </c>
      <c r="E660">
        <v>83</v>
      </c>
      <c r="F660" s="4" t="s">
        <v>487</v>
      </c>
      <c r="G660" s="4" t="s">
        <v>488</v>
      </c>
      <c r="H660" s="4" t="s">
        <v>19</v>
      </c>
      <c r="I660" s="4" t="s">
        <v>628</v>
      </c>
      <c r="J660" s="4" t="s">
        <v>101</v>
      </c>
      <c r="K660" s="4" t="s">
        <v>109</v>
      </c>
      <c r="L660" s="4" t="s">
        <v>38</v>
      </c>
      <c r="M660" s="4" t="s">
        <v>49</v>
      </c>
      <c r="N660" s="4" t="s">
        <v>31</v>
      </c>
      <c r="O660">
        <v>800000</v>
      </c>
      <c r="P660">
        <v>2</v>
      </c>
      <c r="Q660">
        <v>0</v>
      </c>
      <c r="R660">
        <v>1600000</v>
      </c>
      <c r="S660">
        <v>0</v>
      </c>
      <c r="T660">
        <v>1600000</v>
      </c>
    </row>
    <row r="661" spans="1:20" x14ac:dyDescent="0.25">
      <c r="A661">
        <v>660</v>
      </c>
      <c r="B661" s="5">
        <v>45587</v>
      </c>
      <c r="C661">
        <v>49</v>
      </c>
      <c r="D661">
        <v>1</v>
      </c>
      <c r="E661">
        <v>193</v>
      </c>
      <c r="F661" s="4" t="s">
        <v>168</v>
      </c>
      <c r="G661" s="4" t="s">
        <v>169</v>
      </c>
      <c r="H661" s="4" t="s">
        <v>19</v>
      </c>
      <c r="I661" s="4" t="s">
        <v>625</v>
      </c>
      <c r="J661" s="4" t="s">
        <v>43</v>
      </c>
      <c r="K661" s="4" t="s">
        <v>43</v>
      </c>
      <c r="L661" s="4" t="s">
        <v>29</v>
      </c>
      <c r="M661" s="4" t="s">
        <v>23</v>
      </c>
      <c r="N661" s="4" t="s">
        <v>24</v>
      </c>
      <c r="O661">
        <v>15000</v>
      </c>
      <c r="P661">
        <v>1</v>
      </c>
      <c r="Q661">
        <v>1</v>
      </c>
      <c r="R661">
        <v>15000</v>
      </c>
      <c r="S661">
        <v>150</v>
      </c>
      <c r="T661">
        <v>14850</v>
      </c>
    </row>
    <row r="662" spans="1:20" x14ac:dyDescent="0.25">
      <c r="A662">
        <v>661</v>
      </c>
      <c r="B662" s="5">
        <v>45588</v>
      </c>
      <c r="C662">
        <v>67</v>
      </c>
      <c r="D662">
        <v>0</v>
      </c>
      <c r="E662">
        <v>108</v>
      </c>
      <c r="F662" s="4" t="s">
        <v>409</v>
      </c>
      <c r="G662" s="4" t="s">
        <v>410</v>
      </c>
      <c r="H662" s="4" t="s">
        <v>19</v>
      </c>
      <c r="I662" s="4" t="s">
        <v>625</v>
      </c>
      <c r="J662" s="4" t="s">
        <v>27</v>
      </c>
      <c r="K662" s="4" t="s">
        <v>28</v>
      </c>
      <c r="L662" s="4" t="s">
        <v>22</v>
      </c>
      <c r="M662" s="4" t="s">
        <v>98</v>
      </c>
      <c r="N662" s="4" t="s">
        <v>151</v>
      </c>
      <c r="O662">
        <v>55000</v>
      </c>
      <c r="P662">
        <v>2</v>
      </c>
      <c r="Q662">
        <v>0</v>
      </c>
      <c r="R662">
        <v>110000</v>
      </c>
      <c r="S662">
        <v>0</v>
      </c>
      <c r="T662">
        <v>110000</v>
      </c>
    </row>
    <row r="663" spans="1:20" x14ac:dyDescent="0.25">
      <c r="A663">
        <v>662</v>
      </c>
      <c r="B663" s="5">
        <v>45589</v>
      </c>
      <c r="C663">
        <v>16</v>
      </c>
      <c r="D663">
        <v>3</v>
      </c>
      <c r="E663">
        <v>236</v>
      </c>
      <c r="F663" s="4" t="s">
        <v>551</v>
      </c>
      <c r="G663" s="4" t="s">
        <v>552</v>
      </c>
      <c r="H663" s="4" t="s">
        <v>42</v>
      </c>
      <c r="I663" s="4" t="s">
        <v>617</v>
      </c>
      <c r="J663" s="4" t="s">
        <v>20</v>
      </c>
      <c r="K663" s="4" t="s">
        <v>21</v>
      </c>
      <c r="L663" s="4" t="s">
        <v>22</v>
      </c>
      <c r="M663" s="4" t="s">
        <v>46</v>
      </c>
      <c r="N663" s="4" t="s">
        <v>53</v>
      </c>
      <c r="O663">
        <v>750000</v>
      </c>
      <c r="P663">
        <v>1</v>
      </c>
      <c r="Q663">
        <v>1</v>
      </c>
      <c r="R663">
        <v>750000</v>
      </c>
      <c r="S663">
        <v>7500</v>
      </c>
      <c r="T663">
        <v>742500</v>
      </c>
    </row>
    <row r="664" spans="1:20" x14ac:dyDescent="0.25">
      <c r="A664">
        <v>663</v>
      </c>
      <c r="B664" s="5">
        <v>45590</v>
      </c>
      <c r="C664">
        <v>43</v>
      </c>
      <c r="D664">
        <v>0</v>
      </c>
      <c r="E664">
        <v>23</v>
      </c>
      <c r="F664" s="4" t="s">
        <v>92</v>
      </c>
      <c r="G664" s="4" t="s">
        <v>93</v>
      </c>
      <c r="H664" s="4" t="s">
        <v>42</v>
      </c>
      <c r="I664" s="4" t="s">
        <v>610</v>
      </c>
      <c r="J664" s="4" t="s">
        <v>34</v>
      </c>
      <c r="K664" s="4" t="s">
        <v>272</v>
      </c>
      <c r="L664" s="4" t="s">
        <v>38</v>
      </c>
      <c r="M664" s="4" t="s">
        <v>69</v>
      </c>
      <c r="N664" s="4" t="s">
        <v>53</v>
      </c>
      <c r="O664">
        <v>450000</v>
      </c>
      <c r="P664">
        <v>2</v>
      </c>
      <c r="Q664">
        <v>0</v>
      </c>
      <c r="R664">
        <v>900000</v>
      </c>
      <c r="S664">
        <v>0</v>
      </c>
      <c r="T664">
        <v>900000</v>
      </c>
    </row>
    <row r="665" spans="1:20" x14ac:dyDescent="0.25">
      <c r="A665">
        <v>664</v>
      </c>
      <c r="B665" s="5">
        <v>45591</v>
      </c>
      <c r="C665">
        <v>7</v>
      </c>
      <c r="D665">
        <v>8</v>
      </c>
      <c r="E665">
        <v>65</v>
      </c>
      <c r="F665" s="4" t="s">
        <v>35</v>
      </c>
      <c r="G665" s="4" t="s">
        <v>36</v>
      </c>
      <c r="H665" s="4" t="s">
        <v>19</v>
      </c>
      <c r="I665" s="4" t="s">
        <v>621</v>
      </c>
      <c r="J665" s="4" t="s">
        <v>37</v>
      </c>
      <c r="K665" s="4" t="s">
        <v>37</v>
      </c>
      <c r="L665" s="4" t="s">
        <v>29</v>
      </c>
      <c r="M665" s="4" t="s">
        <v>62</v>
      </c>
      <c r="N665" s="4" t="s">
        <v>31</v>
      </c>
      <c r="O665">
        <v>650000</v>
      </c>
      <c r="P665">
        <v>1</v>
      </c>
      <c r="Q665">
        <v>0</v>
      </c>
      <c r="R665">
        <v>650000</v>
      </c>
      <c r="S665">
        <v>0</v>
      </c>
      <c r="T665">
        <v>650000</v>
      </c>
    </row>
    <row r="666" spans="1:20" x14ac:dyDescent="0.25">
      <c r="A666">
        <v>665</v>
      </c>
      <c r="B666" s="5">
        <v>45592</v>
      </c>
      <c r="C666">
        <v>52</v>
      </c>
      <c r="D666">
        <v>0</v>
      </c>
      <c r="E666">
        <v>183</v>
      </c>
      <c r="F666" s="4" t="s">
        <v>567</v>
      </c>
      <c r="G666" s="4" t="s">
        <v>568</v>
      </c>
      <c r="H666" s="4" t="s">
        <v>42</v>
      </c>
      <c r="I666" s="4" t="s">
        <v>615</v>
      </c>
      <c r="J666" s="4" t="s">
        <v>27</v>
      </c>
      <c r="K666" s="4" t="s">
        <v>28</v>
      </c>
      <c r="L666" s="4" t="s">
        <v>38</v>
      </c>
      <c r="M666" s="4" t="s">
        <v>102</v>
      </c>
      <c r="N666" s="4" t="s">
        <v>57</v>
      </c>
      <c r="O666">
        <v>12000</v>
      </c>
      <c r="P666">
        <v>2</v>
      </c>
      <c r="Q666">
        <v>5</v>
      </c>
      <c r="R666">
        <v>24000</v>
      </c>
      <c r="S666">
        <v>1200</v>
      </c>
      <c r="T666">
        <v>22800</v>
      </c>
    </row>
    <row r="667" spans="1:20" x14ac:dyDescent="0.25">
      <c r="A667">
        <v>666</v>
      </c>
      <c r="B667" s="5">
        <v>45593</v>
      </c>
      <c r="C667">
        <v>32</v>
      </c>
      <c r="D667">
        <v>5</v>
      </c>
      <c r="E667">
        <v>201</v>
      </c>
      <c r="F667" s="4" t="s">
        <v>295</v>
      </c>
      <c r="G667" s="4" t="s">
        <v>296</v>
      </c>
      <c r="H667" s="4" t="s">
        <v>42</v>
      </c>
      <c r="I667" s="4" t="s">
        <v>627</v>
      </c>
      <c r="J667" s="4" t="s">
        <v>76</v>
      </c>
      <c r="K667" s="4" t="s">
        <v>77</v>
      </c>
      <c r="L667" s="4" t="s">
        <v>38</v>
      </c>
      <c r="M667" s="4" t="s">
        <v>102</v>
      </c>
      <c r="N667" s="4" t="s">
        <v>57</v>
      </c>
      <c r="O667">
        <v>12000</v>
      </c>
      <c r="P667">
        <v>3</v>
      </c>
      <c r="Q667">
        <v>0</v>
      </c>
      <c r="R667">
        <v>36000</v>
      </c>
      <c r="S667">
        <v>0</v>
      </c>
      <c r="T667">
        <v>36000</v>
      </c>
    </row>
    <row r="668" spans="1:20" x14ac:dyDescent="0.25">
      <c r="A668">
        <v>667</v>
      </c>
      <c r="B668" s="5">
        <v>45594</v>
      </c>
      <c r="C668">
        <v>51</v>
      </c>
      <c r="D668">
        <v>7</v>
      </c>
      <c r="E668">
        <v>240</v>
      </c>
      <c r="F668" s="4" t="s">
        <v>485</v>
      </c>
      <c r="G668" s="4" t="s">
        <v>486</v>
      </c>
      <c r="H668" s="4" t="s">
        <v>19</v>
      </c>
      <c r="I668" s="4" t="s">
        <v>648</v>
      </c>
      <c r="J668" s="4" t="s">
        <v>101</v>
      </c>
      <c r="K668" s="4" t="s">
        <v>109</v>
      </c>
      <c r="L668" s="4" t="s">
        <v>38</v>
      </c>
      <c r="M668" s="4" t="s">
        <v>56</v>
      </c>
      <c r="N668" s="4" t="s">
        <v>57</v>
      </c>
      <c r="O668">
        <v>25000</v>
      </c>
      <c r="P668">
        <v>1</v>
      </c>
      <c r="Q668">
        <v>0</v>
      </c>
      <c r="R668">
        <v>25000</v>
      </c>
      <c r="S668">
        <v>0</v>
      </c>
      <c r="T668">
        <v>25000</v>
      </c>
    </row>
    <row r="669" spans="1:20" x14ac:dyDescent="0.25">
      <c r="A669">
        <v>668</v>
      </c>
      <c r="B669" s="5">
        <v>45595</v>
      </c>
      <c r="C669">
        <v>53</v>
      </c>
      <c r="D669">
        <v>1</v>
      </c>
      <c r="E669">
        <v>135</v>
      </c>
      <c r="F669" s="4" t="s">
        <v>423</v>
      </c>
      <c r="G669" s="4" t="s">
        <v>424</v>
      </c>
      <c r="H669" s="4" t="s">
        <v>42</v>
      </c>
      <c r="I669" s="4" t="s">
        <v>608</v>
      </c>
      <c r="J669" s="4" t="s">
        <v>76</v>
      </c>
      <c r="K669" s="4" t="s">
        <v>77</v>
      </c>
      <c r="L669" s="4" t="s">
        <v>22</v>
      </c>
      <c r="M669" s="4" t="s">
        <v>62</v>
      </c>
      <c r="N669" s="4" t="s">
        <v>31</v>
      </c>
      <c r="O669">
        <v>650000</v>
      </c>
      <c r="P669">
        <v>3</v>
      </c>
      <c r="Q669">
        <v>0</v>
      </c>
      <c r="R669">
        <v>1950000</v>
      </c>
      <c r="S669">
        <v>0</v>
      </c>
      <c r="T669">
        <v>1950000</v>
      </c>
    </row>
    <row r="670" spans="1:20" x14ac:dyDescent="0.25">
      <c r="A670">
        <v>669</v>
      </c>
      <c r="B670" s="5">
        <v>45596</v>
      </c>
      <c r="C670">
        <v>65</v>
      </c>
      <c r="D670">
        <v>0</v>
      </c>
      <c r="E670">
        <v>260</v>
      </c>
      <c r="F670" s="4" t="s">
        <v>174</v>
      </c>
      <c r="G670" s="4" t="s">
        <v>175</v>
      </c>
      <c r="H670" s="4" t="s">
        <v>42</v>
      </c>
      <c r="I670" s="4" t="s">
        <v>621</v>
      </c>
      <c r="J670" s="4" t="s">
        <v>101</v>
      </c>
      <c r="K670" s="4" t="s">
        <v>109</v>
      </c>
      <c r="L670" s="4" t="s">
        <v>38</v>
      </c>
      <c r="M670" s="4" t="s">
        <v>23</v>
      </c>
      <c r="N670" s="4" t="s">
        <v>24</v>
      </c>
      <c r="O670">
        <v>15000</v>
      </c>
      <c r="P670">
        <v>3</v>
      </c>
      <c r="Q670">
        <v>5</v>
      </c>
      <c r="R670">
        <v>45000</v>
      </c>
      <c r="S670">
        <v>2250</v>
      </c>
      <c r="T670">
        <v>42750</v>
      </c>
    </row>
    <row r="671" spans="1:20" x14ac:dyDescent="0.25">
      <c r="A671">
        <v>670</v>
      </c>
      <c r="B671" s="5">
        <v>45597</v>
      </c>
      <c r="C671">
        <v>23</v>
      </c>
      <c r="D671">
        <v>0</v>
      </c>
      <c r="E671">
        <v>15</v>
      </c>
      <c r="F671" s="4" t="s">
        <v>529</v>
      </c>
      <c r="G671" s="4" t="s">
        <v>530</v>
      </c>
      <c r="H671" s="4" t="s">
        <v>19</v>
      </c>
      <c r="I671" s="4" t="s">
        <v>612</v>
      </c>
      <c r="J671" s="4" t="s">
        <v>52</v>
      </c>
      <c r="K671" s="4" t="s">
        <v>28</v>
      </c>
      <c r="L671" s="4" t="s">
        <v>38</v>
      </c>
      <c r="M671" s="4" t="s">
        <v>102</v>
      </c>
      <c r="N671" s="4" t="s">
        <v>57</v>
      </c>
      <c r="O671">
        <v>12000</v>
      </c>
      <c r="P671">
        <v>3</v>
      </c>
      <c r="Q671">
        <v>5</v>
      </c>
      <c r="R671">
        <v>36000</v>
      </c>
      <c r="S671">
        <v>1800</v>
      </c>
      <c r="T671">
        <v>34200</v>
      </c>
    </row>
    <row r="672" spans="1:20" x14ac:dyDescent="0.25">
      <c r="A672">
        <v>671</v>
      </c>
      <c r="B672" s="5">
        <v>45598</v>
      </c>
      <c r="C672">
        <v>13</v>
      </c>
      <c r="D672">
        <v>0</v>
      </c>
      <c r="E672">
        <v>136</v>
      </c>
      <c r="F672" s="4" t="s">
        <v>60</v>
      </c>
      <c r="G672" s="4" t="s">
        <v>61</v>
      </c>
      <c r="H672" s="4" t="s">
        <v>42</v>
      </c>
      <c r="I672" s="4" t="s">
        <v>646</v>
      </c>
      <c r="J672" s="4" t="s">
        <v>27</v>
      </c>
      <c r="K672" s="4" t="s">
        <v>28</v>
      </c>
      <c r="L672" s="4" t="s">
        <v>38</v>
      </c>
      <c r="M672" s="4" t="s">
        <v>23</v>
      </c>
      <c r="N672" s="4" t="s">
        <v>24</v>
      </c>
      <c r="O672">
        <v>15000</v>
      </c>
      <c r="P672">
        <v>3</v>
      </c>
      <c r="Q672">
        <v>0</v>
      </c>
      <c r="R672">
        <v>45000</v>
      </c>
      <c r="S672">
        <v>0</v>
      </c>
      <c r="T672">
        <v>45000</v>
      </c>
    </row>
    <row r="673" spans="1:20" x14ac:dyDescent="0.25">
      <c r="A673">
        <v>672</v>
      </c>
      <c r="B673" s="5">
        <v>45599</v>
      </c>
      <c r="C673">
        <v>60</v>
      </c>
      <c r="D673">
        <v>1</v>
      </c>
      <c r="E673">
        <v>179</v>
      </c>
      <c r="F673" s="4" t="s">
        <v>459</v>
      </c>
      <c r="G673" s="4" t="s">
        <v>460</v>
      </c>
      <c r="H673" s="4" t="s">
        <v>19</v>
      </c>
      <c r="I673" s="4" t="s">
        <v>611</v>
      </c>
      <c r="J673" s="4" t="s">
        <v>37</v>
      </c>
      <c r="K673" s="4" t="s">
        <v>37</v>
      </c>
      <c r="L673" s="4" t="s">
        <v>38</v>
      </c>
      <c r="M673" s="4" t="s">
        <v>30</v>
      </c>
      <c r="N673" s="4" t="s">
        <v>31</v>
      </c>
      <c r="O673">
        <v>700000</v>
      </c>
      <c r="P673">
        <v>3</v>
      </c>
      <c r="Q673">
        <v>1</v>
      </c>
      <c r="R673">
        <v>2100000</v>
      </c>
      <c r="S673">
        <v>21000</v>
      </c>
      <c r="T673">
        <v>2079000</v>
      </c>
    </row>
    <row r="674" spans="1:20" x14ac:dyDescent="0.25">
      <c r="A674">
        <v>673</v>
      </c>
      <c r="B674" s="5">
        <v>45600</v>
      </c>
      <c r="C674">
        <v>24</v>
      </c>
      <c r="D674">
        <v>3</v>
      </c>
      <c r="E674">
        <v>97</v>
      </c>
      <c r="F674" s="4" t="s">
        <v>246</v>
      </c>
      <c r="G674" s="4" t="s">
        <v>247</v>
      </c>
      <c r="H674" s="4" t="s">
        <v>42</v>
      </c>
      <c r="I674" s="4" t="s">
        <v>623</v>
      </c>
      <c r="J674" s="4" t="s">
        <v>84</v>
      </c>
      <c r="K674" s="4" t="s">
        <v>85</v>
      </c>
      <c r="L674" s="4" t="s">
        <v>38</v>
      </c>
      <c r="M674" s="4" t="s">
        <v>39</v>
      </c>
      <c r="N674" s="4" t="s">
        <v>24</v>
      </c>
      <c r="O674">
        <v>35000</v>
      </c>
      <c r="P674">
        <v>2</v>
      </c>
      <c r="Q674">
        <v>0</v>
      </c>
      <c r="R674">
        <v>70000</v>
      </c>
      <c r="S674">
        <v>0</v>
      </c>
      <c r="T674">
        <v>70000</v>
      </c>
    </row>
    <row r="675" spans="1:20" x14ac:dyDescent="0.25">
      <c r="A675">
        <v>674</v>
      </c>
      <c r="B675" s="5">
        <v>45601</v>
      </c>
      <c r="C675">
        <v>47</v>
      </c>
      <c r="D675">
        <v>1</v>
      </c>
      <c r="E675">
        <v>86</v>
      </c>
      <c r="F675" s="4" t="s">
        <v>214</v>
      </c>
      <c r="G675" s="4" t="s">
        <v>215</v>
      </c>
      <c r="H675" s="4" t="s">
        <v>19</v>
      </c>
      <c r="I675" s="4" t="s">
        <v>630</v>
      </c>
      <c r="J675" s="4" t="s">
        <v>116</v>
      </c>
      <c r="K675" s="4" t="s">
        <v>37</v>
      </c>
      <c r="L675" s="4" t="s">
        <v>22</v>
      </c>
      <c r="M675" s="4" t="s">
        <v>102</v>
      </c>
      <c r="N675" s="4" t="s">
        <v>57</v>
      </c>
      <c r="O675">
        <v>12000</v>
      </c>
      <c r="P675">
        <v>1</v>
      </c>
      <c r="Q675">
        <v>5</v>
      </c>
      <c r="R675">
        <v>12000</v>
      </c>
      <c r="S675">
        <v>600</v>
      </c>
      <c r="T675">
        <v>11400</v>
      </c>
    </row>
    <row r="676" spans="1:20" x14ac:dyDescent="0.25">
      <c r="A676">
        <v>675</v>
      </c>
      <c r="B676" s="5">
        <v>45602</v>
      </c>
      <c r="C676">
        <v>37</v>
      </c>
      <c r="D676">
        <v>1</v>
      </c>
      <c r="E676">
        <v>172</v>
      </c>
      <c r="F676" s="4" t="s">
        <v>86</v>
      </c>
      <c r="G676" s="4" t="s">
        <v>87</v>
      </c>
      <c r="H676" s="4" t="s">
        <v>19</v>
      </c>
      <c r="I676" s="4" t="s">
        <v>631</v>
      </c>
      <c r="J676" s="4" t="s">
        <v>116</v>
      </c>
      <c r="K676" s="4" t="s">
        <v>37</v>
      </c>
      <c r="L676" s="4" t="s">
        <v>38</v>
      </c>
      <c r="M676" s="4" t="s">
        <v>30</v>
      </c>
      <c r="N676" s="4" t="s">
        <v>31</v>
      </c>
      <c r="O676">
        <v>700000</v>
      </c>
      <c r="P676">
        <v>3</v>
      </c>
      <c r="Q676">
        <v>1</v>
      </c>
      <c r="R676">
        <v>2100000</v>
      </c>
      <c r="S676">
        <v>21000</v>
      </c>
      <c r="T676">
        <v>2079000</v>
      </c>
    </row>
    <row r="677" spans="1:20" x14ac:dyDescent="0.25">
      <c r="A677">
        <v>676</v>
      </c>
      <c r="B677" s="5">
        <v>45603</v>
      </c>
      <c r="C677">
        <v>34</v>
      </c>
      <c r="D677">
        <v>1</v>
      </c>
      <c r="E677">
        <v>4</v>
      </c>
      <c r="F677" s="4" t="s">
        <v>220</v>
      </c>
      <c r="G677" s="4" t="s">
        <v>221</v>
      </c>
      <c r="H677" s="4" t="s">
        <v>19</v>
      </c>
      <c r="I677" s="4" t="s">
        <v>646</v>
      </c>
      <c r="J677" s="4" t="s">
        <v>52</v>
      </c>
      <c r="K677" s="4" t="s">
        <v>28</v>
      </c>
      <c r="L677" s="4" t="s">
        <v>29</v>
      </c>
      <c r="M677" s="4" t="s">
        <v>62</v>
      </c>
      <c r="N677" s="4" t="s">
        <v>31</v>
      </c>
      <c r="O677">
        <v>650000</v>
      </c>
      <c r="P677">
        <v>2</v>
      </c>
      <c r="Q677">
        <v>0</v>
      </c>
      <c r="R677">
        <v>1300000</v>
      </c>
      <c r="S677">
        <v>0</v>
      </c>
      <c r="T677">
        <v>1300000</v>
      </c>
    </row>
    <row r="678" spans="1:20" x14ac:dyDescent="0.25">
      <c r="A678">
        <v>677</v>
      </c>
      <c r="B678" s="5">
        <v>45604</v>
      </c>
      <c r="C678">
        <v>16</v>
      </c>
      <c r="D678">
        <v>3</v>
      </c>
      <c r="E678">
        <v>158</v>
      </c>
      <c r="F678" s="4" t="s">
        <v>469</v>
      </c>
      <c r="G678" s="4" t="s">
        <v>470</v>
      </c>
      <c r="H678" s="4" t="s">
        <v>19</v>
      </c>
      <c r="I678" s="4" t="s">
        <v>609</v>
      </c>
      <c r="J678" s="4" t="s">
        <v>20</v>
      </c>
      <c r="K678" s="4" t="s">
        <v>21</v>
      </c>
      <c r="L678" s="4" t="s">
        <v>38</v>
      </c>
      <c r="M678" s="4" t="s">
        <v>102</v>
      </c>
      <c r="N678" s="4" t="s">
        <v>57</v>
      </c>
      <c r="O678">
        <v>12000</v>
      </c>
      <c r="P678">
        <v>3</v>
      </c>
      <c r="Q678">
        <v>0</v>
      </c>
      <c r="R678">
        <v>36000</v>
      </c>
      <c r="S678">
        <v>0</v>
      </c>
      <c r="T678">
        <v>36000</v>
      </c>
    </row>
    <row r="679" spans="1:20" x14ac:dyDescent="0.25">
      <c r="A679">
        <v>678</v>
      </c>
      <c r="B679" s="5">
        <v>45605</v>
      </c>
      <c r="C679">
        <v>1</v>
      </c>
      <c r="D679">
        <v>8</v>
      </c>
      <c r="E679">
        <v>184</v>
      </c>
      <c r="F679" s="4" t="s">
        <v>164</v>
      </c>
      <c r="G679" s="4" t="s">
        <v>165</v>
      </c>
      <c r="H679" s="4" t="s">
        <v>19</v>
      </c>
      <c r="I679" s="4" t="s">
        <v>609</v>
      </c>
      <c r="J679" s="4" t="s">
        <v>34</v>
      </c>
      <c r="K679" s="4" t="s">
        <v>272</v>
      </c>
      <c r="L679" s="4" t="s">
        <v>38</v>
      </c>
      <c r="M679" s="4" t="s">
        <v>102</v>
      </c>
      <c r="N679" s="4" t="s">
        <v>57</v>
      </c>
      <c r="O679">
        <v>12000</v>
      </c>
      <c r="P679">
        <v>3</v>
      </c>
      <c r="Q679">
        <v>0</v>
      </c>
      <c r="R679">
        <v>36000</v>
      </c>
      <c r="S679">
        <v>0</v>
      </c>
      <c r="T679">
        <v>36000</v>
      </c>
    </row>
    <row r="680" spans="1:20" x14ac:dyDescent="0.25">
      <c r="A680">
        <v>679</v>
      </c>
      <c r="B680" s="5">
        <v>45606</v>
      </c>
      <c r="C680">
        <v>7</v>
      </c>
      <c r="D680">
        <v>8</v>
      </c>
      <c r="E680">
        <v>184</v>
      </c>
      <c r="F680" s="4" t="s">
        <v>164</v>
      </c>
      <c r="G680" s="4" t="s">
        <v>165</v>
      </c>
      <c r="H680" s="4" t="s">
        <v>19</v>
      </c>
      <c r="I680" s="4" t="s">
        <v>609</v>
      </c>
      <c r="J680" s="4" t="s">
        <v>37</v>
      </c>
      <c r="K680" s="4" t="s">
        <v>37</v>
      </c>
      <c r="L680" s="4" t="s">
        <v>38</v>
      </c>
      <c r="M680" s="4" t="s">
        <v>49</v>
      </c>
      <c r="N680" s="4" t="s">
        <v>31</v>
      </c>
      <c r="O680">
        <v>800000</v>
      </c>
      <c r="P680">
        <v>2</v>
      </c>
      <c r="Q680">
        <v>5</v>
      </c>
      <c r="R680">
        <v>1600000</v>
      </c>
      <c r="S680">
        <v>80000</v>
      </c>
      <c r="T680">
        <v>1520000</v>
      </c>
    </row>
    <row r="681" spans="1:20" x14ac:dyDescent="0.25">
      <c r="A681">
        <v>680</v>
      </c>
      <c r="B681" s="5">
        <v>45607</v>
      </c>
      <c r="C681">
        <v>4</v>
      </c>
      <c r="D681">
        <v>3</v>
      </c>
      <c r="E681">
        <v>5</v>
      </c>
      <c r="F681" s="4" t="s">
        <v>437</v>
      </c>
      <c r="G681" s="4" t="s">
        <v>438</v>
      </c>
      <c r="H681" s="4" t="s">
        <v>19</v>
      </c>
      <c r="I681" s="4" t="s">
        <v>613</v>
      </c>
      <c r="J681" s="4" t="s">
        <v>52</v>
      </c>
      <c r="K681" s="4" t="s">
        <v>28</v>
      </c>
      <c r="L681" s="4" t="s">
        <v>22</v>
      </c>
      <c r="M681" s="4" t="s">
        <v>30</v>
      </c>
      <c r="N681" s="4" t="s">
        <v>31</v>
      </c>
      <c r="O681">
        <v>700000</v>
      </c>
      <c r="P681">
        <v>3</v>
      </c>
      <c r="Q681">
        <v>0</v>
      </c>
      <c r="R681">
        <v>2100000</v>
      </c>
      <c r="S681">
        <v>0</v>
      </c>
      <c r="T681">
        <v>2100000</v>
      </c>
    </row>
    <row r="682" spans="1:20" x14ac:dyDescent="0.25">
      <c r="A682">
        <v>681</v>
      </c>
      <c r="B682" s="5">
        <v>45608</v>
      </c>
      <c r="C682">
        <v>23</v>
      </c>
      <c r="D682">
        <v>0</v>
      </c>
      <c r="E682">
        <v>258</v>
      </c>
      <c r="F682" s="4" t="s">
        <v>399</v>
      </c>
      <c r="G682" s="4" t="s">
        <v>400</v>
      </c>
      <c r="H682" s="4" t="s">
        <v>42</v>
      </c>
      <c r="I682" s="4" t="s">
        <v>614</v>
      </c>
      <c r="J682" s="4" t="s">
        <v>52</v>
      </c>
      <c r="K682" s="4" t="s">
        <v>28</v>
      </c>
      <c r="L682" s="4" t="s">
        <v>38</v>
      </c>
      <c r="M682" s="4" t="s">
        <v>49</v>
      </c>
      <c r="N682" s="4" t="s">
        <v>31</v>
      </c>
      <c r="O682">
        <v>800000</v>
      </c>
      <c r="P682">
        <v>3</v>
      </c>
      <c r="Q682">
        <v>0</v>
      </c>
      <c r="R682">
        <v>2400000</v>
      </c>
      <c r="S682">
        <v>0</v>
      </c>
      <c r="T682">
        <v>2400000</v>
      </c>
    </row>
    <row r="683" spans="1:20" x14ac:dyDescent="0.25">
      <c r="A683">
        <v>682</v>
      </c>
      <c r="B683" s="5">
        <v>45609</v>
      </c>
      <c r="C683">
        <v>51</v>
      </c>
      <c r="D683">
        <v>7</v>
      </c>
      <c r="E683">
        <v>278</v>
      </c>
      <c r="F683" s="4" t="s">
        <v>254</v>
      </c>
      <c r="G683" s="4" t="s">
        <v>255</v>
      </c>
      <c r="H683" s="4" t="s">
        <v>19</v>
      </c>
      <c r="I683" s="4" t="s">
        <v>643</v>
      </c>
      <c r="J683" s="4" t="s">
        <v>101</v>
      </c>
      <c r="K683" s="4" t="s">
        <v>109</v>
      </c>
      <c r="L683" s="4" t="s">
        <v>22</v>
      </c>
      <c r="M683" s="4" t="s">
        <v>56</v>
      </c>
      <c r="N683" s="4" t="s">
        <v>57</v>
      </c>
      <c r="O683">
        <v>25000</v>
      </c>
      <c r="P683">
        <v>2</v>
      </c>
      <c r="Q683">
        <v>1</v>
      </c>
      <c r="R683">
        <v>50000</v>
      </c>
      <c r="S683">
        <v>500</v>
      </c>
      <c r="T683">
        <v>49500</v>
      </c>
    </row>
    <row r="684" spans="1:20" x14ac:dyDescent="0.25">
      <c r="A684">
        <v>683</v>
      </c>
      <c r="B684" s="5">
        <v>45610</v>
      </c>
      <c r="C684">
        <v>53</v>
      </c>
      <c r="D684">
        <v>1</v>
      </c>
      <c r="E684">
        <v>65</v>
      </c>
      <c r="F684" s="4" t="s">
        <v>35</v>
      </c>
      <c r="G684" s="4" t="s">
        <v>36</v>
      </c>
      <c r="H684" s="4" t="s">
        <v>19</v>
      </c>
      <c r="I684" s="4" t="s">
        <v>621</v>
      </c>
      <c r="J684" s="4" t="s">
        <v>76</v>
      </c>
      <c r="K684" s="4" t="s">
        <v>77</v>
      </c>
      <c r="L684" s="4" t="s">
        <v>22</v>
      </c>
      <c r="M684" s="4" t="s">
        <v>30</v>
      </c>
      <c r="N684" s="4" t="s">
        <v>31</v>
      </c>
      <c r="O684">
        <v>700000</v>
      </c>
      <c r="P684">
        <v>3</v>
      </c>
      <c r="Q684">
        <v>0</v>
      </c>
      <c r="R684">
        <v>2100000</v>
      </c>
      <c r="S684">
        <v>0</v>
      </c>
      <c r="T684">
        <v>2100000</v>
      </c>
    </row>
    <row r="685" spans="1:20" x14ac:dyDescent="0.25">
      <c r="A685">
        <v>684</v>
      </c>
      <c r="B685" s="5">
        <v>45611</v>
      </c>
      <c r="C685">
        <v>17</v>
      </c>
      <c r="D685">
        <v>0</v>
      </c>
      <c r="E685">
        <v>277</v>
      </c>
      <c r="F685" s="4" t="s">
        <v>481</v>
      </c>
      <c r="G685" s="4" t="s">
        <v>482</v>
      </c>
      <c r="H685" s="4" t="s">
        <v>42</v>
      </c>
      <c r="I685" s="4" t="s">
        <v>625</v>
      </c>
      <c r="J685" s="4" t="s">
        <v>34</v>
      </c>
      <c r="K685" s="4" t="s">
        <v>272</v>
      </c>
      <c r="L685" s="4" t="s">
        <v>38</v>
      </c>
      <c r="M685" s="4" t="s">
        <v>69</v>
      </c>
      <c r="N685" s="4" t="s">
        <v>53</v>
      </c>
      <c r="O685">
        <v>450000</v>
      </c>
      <c r="P685">
        <v>1</v>
      </c>
      <c r="Q685">
        <v>1</v>
      </c>
      <c r="R685">
        <v>450000</v>
      </c>
      <c r="S685">
        <v>4500</v>
      </c>
      <c r="T685">
        <v>445500</v>
      </c>
    </row>
    <row r="686" spans="1:20" x14ac:dyDescent="0.25">
      <c r="A686">
        <v>685</v>
      </c>
      <c r="B686" s="5">
        <v>45612</v>
      </c>
      <c r="C686">
        <v>60</v>
      </c>
      <c r="D686">
        <v>1</v>
      </c>
      <c r="E686">
        <v>233</v>
      </c>
      <c r="F686" s="4" t="s">
        <v>569</v>
      </c>
      <c r="G686" s="4" t="s">
        <v>570</v>
      </c>
      <c r="H686" s="4" t="s">
        <v>42</v>
      </c>
      <c r="I686" s="4" t="s">
        <v>610</v>
      </c>
      <c r="J686" s="4" t="s">
        <v>37</v>
      </c>
      <c r="K686" s="4" t="s">
        <v>37</v>
      </c>
      <c r="L686" s="4" t="s">
        <v>29</v>
      </c>
      <c r="M686" s="4" t="s">
        <v>30</v>
      </c>
      <c r="N686" s="4" t="s">
        <v>31</v>
      </c>
      <c r="O686">
        <v>700000</v>
      </c>
      <c r="P686">
        <v>1</v>
      </c>
      <c r="Q686">
        <v>0</v>
      </c>
      <c r="R686">
        <v>700000</v>
      </c>
      <c r="S686">
        <v>0</v>
      </c>
      <c r="T686">
        <v>700000</v>
      </c>
    </row>
    <row r="687" spans="1:20" x14ac:dyDescent="0.25">
      <c r="A687">
        <v>686</v>
      </c>
      <c r="B687" s="5">
        <v>45613</v>
      </c>
      <c r="C687">
        <v>30</v>
      </c>
      <c r="D687">
        <v>0</v>
      </c>
      <c r="E687">
        <v>8</v>
      </c>
      <c r="F687" s="4" t="s">
        <v>395</v>
      </c>
      <c r="G687" s="4" t="s">
        <v>396</v>
      </c>
      <c r="H687" s="4" t="s">
        <v>42</v>
      </c>
      <c r="I687" s="4" t="s">
        <v>621</v>
      </c>
      <c r="J687" s="4" t="s">
        <v>37</v>
      </c>
      <c r="K687" s="4" t="s">
        <v>37</v>
      </c>
      <c r="L687" s="4" t="s">
        <v>22</v>
      </c>
      <c r="M687" s="4" t="s">
        <v>23</v>
      </c>
      <c r="N687" s="4" t="s">
        <v>24</v>
      </c>
      <c r="O687">
        <v>15000</v>
      </c>
      <c r="P687">
        <v>1</v>
      </c>
      <c r="Q687">
        <v>0</v>
      </c>
      <c r="R687">
        <v>15000</v>
      </c>
      <c r="S687">
        <v>0</v>
      </c>
      <c r="T687">
        <v>15000</v>
      </c>
    </row>
    <row r="688" spans="1:20" x14ac:dyDescent="0.25">
      <c r="A688">
        <v>687</v>
      </c>
      <c r="B688" s="5">
        <v>45614</v>
      </c>
      <c r="C688">
        <v>25</v>
      </c>
      <c r="D688">
        <v>3</v>
      </c>
      <c r="E688">
        <v>255</v>
      </c>
      <c r="F688" s="4" t="s">
        <v>54</v>
      </c>
      <c r="G688" s="4" t="s">
        <v>55</v>
      </c>
      <c r="H688" s="4" t="s">
        <v>19</v>
      </c>
      <c r="I688" s="4" t="s">
        <v>652</v>
      </c>
      <c r="J688" s="4" t="s">
        <v>76</v>
      </c>
      <c r="K688" s="4" t="s">
        <v>77</v>
      </c>
      <c r="L688" s="4" t="s">
        <v>38</v>
      </c>
      <c r="M688" s="4" t="s">
        <v>56</v>
      </c>
      <c r="N688" s="4" t="s">
        <v>57</v>
      </c>
      <c r="O688">
        <v>25000</v>
      </c>
      <c r="P688">
        <v>2</v>
      </c>
      <c r="Q688">
        <v>0</v>
      </c>
      <c r="R688">
        <v>50000</v>
      </c>
      <c r="S688">
        <v>0</v>
      </c>
      <c r="T688">
        <v>50000</v>
      </c>
    </row>
    <row r="689" spans="1:20" x14ac:dyDescent="0.25">
      <c r="A689">
        <v>688</v>
      </c>
      <c r="B689" s="5">
        <v>45615</v>
      </c>
      <c r="C689">
        <v>56</v>
      </c>
      <c r="D689">
        <v>2</v>
      </c>
      <c r="E689">
        <v>150</v>
      </c>
      <c r="F689" s="4" t="s">
        <v>571</v>
      </c>
      <c r="G689" s="4" t="s">
        <v>572</v>
      </c>
      <c r="H689" s="4" t="s">
        <v>19</v>
      </c>
      <c r="I689" s="4" t="s">
        <v>623</v>
      </c>
      <c r="J689" s="4" t="s">
        <v>27</v>
      </c>
      <c r="K689" s="4" t="s">
        <v>28</v>
      </c>
      <c r="L689" s="4" t="s">
        <v>22</v>
      </c>
      <c r="M689" s="4" t="s">
        <v>102</v>
      </c>
      <c r="N689" s="4" t="s">
        <v>57</v>
      </c>
      <c r="O689">
        <v>12000</v>
      </c>
      <c r="P689">
        <v>2</v>
      </c>
      <c r="Q689">
        <v>0</v>
      </c>
      <c r="R689">
        <v>24000</v>
      </c>
      <c r="S689">
        <v>0</v>
      </c>
      <c r="T689">
        <v>24000</v>
      </c>
    </row>
    <row r="690" spans="1:20" x14ac:dyDescent="0.25">
      <c r="A690">
        <v>689</v>
      </c>
      <c r="B690" s="5">
        <v>45616</v>
      </c>
      <c r="C690">
        <v>36</v>
      </c>
      <c r="D690">
        <v>4</v>
      </c>
      <c r="E690">
        <v>79</v>
      </c>
      <c r="F690" s="4" t="s">
        <v>523</v>
      </c>
      <c r="G690" s="4" t="s">
        <v>524</v>
      </c>
      <c r="H690" s="4" t="s">
        <v>42</v>
      </c>
      <c r="I690" s="4" t="s">
        <v>622</v>
      </c>
      <c r="J690" s="4" t="s">
        <v>101</v>
      </c>
      <c r="K690" s="4" t="s">
        <v>109</v>
      </c>
      <c r="L690" s="4" t="s">
        <v>29</v>
      </c>
      <c r="M690" s="4" t="s">
        <v>30</v>
      </c>
      <c r="N690" s="4" t="s">
        <v>31</v>
      </c>
      <c r="O690">
        <v>700000</v>
      </c>
      <c r="P690">
        <v>3</v>
      </c>
      <c r="Q690">
        <v>0</v>
      </c>
      <c r="R690">
        <v>2100000</v>
      </c>
      <c r="S690">
        <v>0</v>
      </c>
      <c r="T690">
        <v>2100000</v>
      </c>
    </row>
    <row r="691" spans="1:20" x14ac:dyDescent="0.25">
      <c r="A691">
        <v>690</v>
      </c>
      <c r="B691" s="5">
        <v>45617</v>
      </c>
      <c r="C691">
        <v>32</v>
      </c>
      <c r="D691">
        <v>5</v>
      </c>
      <c r="E691">
        <v>64</v>
      </c>
      <c r="F691" s="4" t="s">
        <v>232</v>
      </c>
      <c r="G691" s="4" t="s">
        <v>233</v>
      </c>
      <c r="H691" s="4" t="s">
        <v>19</v>
      </c>
      <c r="I691" s="4" t="s">
        <v>618</v>
      </c>
      <c r="J691" s="4" t="s">
        <v>76</v>
      </c>
      <c r="K691" s="4" t="s">
        <v>77</v>
      </c>
      <c r="L691" s="4" t="s">
        <v>38</v>
      </c>
      <c r="M691" s="4" t="s">
        <v>56</v>
      </c>
      <c r="N691" s="4" t="s">
        <v>57</v>
      </c>
      <c r="O691">
        <v>25000</v>
      </c>
      <c r="P691">
        <v>2</v>
      </c>
      <c r="Q691">
        <v>5</v>
      </c>
      <c r="R691">
        <v>50000</v>
      </c>
      <c r="S691">
        <v>2500</v>
      </c>
      <c r="T691">
        <v>47500</v>
      </c>
    </row>
    <row r="692" spans="1:20" x14ac:dyDescent="0.25">
      <c r="A692">
        <v>691</v>
      </c>
      <c r="B692" s="5">
        <v>45618</v>
      </c>
      <c r="C692">
        <v>15</v>
      </c>
      <c r="D692">
        <v>0</v>
      </c>
      <c r="E692">
        <v>20</v>
      </c>
      <c r="F692" s="4" t="s">
        <v>489</v>
      </c>
      <c r="G692" s="4" t="s">
        <v>490</v>
      </c>
      <c r="H692" s="4" t="s">
        <v>19</v>
      </c>
      <c r="I692" s="4" t="s">
        <v>629</v>
      </c>
      <c r="J692" s="4" t="s">
        <v>34</v>
      </c>
      <c r="K692" s="4" t="s">
        <v>272</v>
      </c>
      <c r="L692" s="4" t="s">
        <v>29</v>
      </c>
      <c r="M692" s="4" t="s">
        <v>46</v>
      </c>
      <c r="N692" s="4" t="s">
        <v>53</v>
      </c>
      <c r="O692">
        <v>750000</v>
      </c>
      <c r="P692">
        <v>3</v>
      </c>
      <c r="Q692">
        <v>1</v>
      </c>
      <c r="R692">
        <v>2250000</v>
      </c>
      <c r="S692">
        <v>22500</v>
      </c>
      <c r="T692">
        <v>2227500</v>
      </c>
    </row>
    <row r="693" spans="1:20" x14ac:dyDescent="0.25">
      <c r="A693">
        <v>692</v>
      </c>
      <c r="B693" s="5">
        <v>45619</v>
      </c>
      <c r="C693">
        <v>62</v>
      </c>
      <c r="D693">
        <v>4</v>
      </c>
      <c r="E693">
        <v>37</v>
      </c>
      <c r="F693" s="4" t="s">
        <v>250</v>
      </c>
      <c r="G693" s="4" t="s">
        <v>251</v>
      </c>
      <c r="H693" s="4" t="s">
        <v>19</v>
      </c>
      <c r="I693" s="4" t="s">
        <v>625</v>
      </c>
      <c r="J693" s="4" t="s">
        <v>76</v>
      </c>
      <c r="K693" s="4" t="s">
        <v>77</v>
      </c>
      <c r="L693" s="4" t="s">
        <v>38</v>
      </c>
      <c r="M693" s="4" t="s">
        <v>69</v>
      </c>
      <c r="N693" s="4" t="s">
        <v>53</v>
      </c>
      <c r="O693">
        <v>450000</v>
      </c>
      <c r="P693">
        <v>3</v>
      </c>
      <c r="Q693">
        <v>0</v>
      </c>
      <c r="R693">
        <v>1350000</v>
      </c>
      <c r="S693">
        <v>0</v>
      </c>
      <c r="T693">
        <v>1350000</v>
      </c>
    </row>
    <row r="694" spans="1:20" x14ac:dyDescent="0.25">
      <c r="A694">
        <v>693</v>
      </c>
      <c r="B694" s="5">
        <v>45620</v>
      </c>
      <c r="C694">
        <v>4</v>
      </c>
      <c r="D694">
        <v>3</v>
      </c>
      <c r="E694">
        <v>121</v>
      </c>
      <c r="F694" s="4" t="s">
        <v>194</v>
      </c>
      <c r="G694" s="4" t="s">
        <v>195</v>
      </c>
      <c r="H694" s="4" t="s">
        <v>19</v>
      </c>
      <c r="I694" s="4" t="s">
        <v>621</v>
      </c>
      <c r="J694" s="4" t="s">
        <v>52</v>
      </c>
      <c r="K694" s="4" t="s">
        <v>28</v>
      </c>
      <c r="L694" s="4" t="s">
        <v>29</v>
      </c>
      <c r="M694" s="4" t="s">
        <v>56</v>
      </c>
      <c r="N694" s="4" t="s">
        <v>57</v>
      </c>
      <c r="O694">
        <v>25000</v>
      </c>
      <c r="P694">
        <v>1</v>
      </c>
      <c r="Q694">
        <v>0</v>
      </c>
      <c r="R694">
        <v>25000</v>
      </c>
      <c r="S694">
        <v>0</v>
      </c>
      <c r="T694">
        <v>25000</v>
      </c>
    </row>
    <row r="695" spans="1:20" x14ac:dyDescent="0.25">
      <c r="A695">
        <v>694</v>
      </c>
      <c r="B695" s="5">
        <v>45621</v>
      </c>
      <c r="C695">
        <v>24</v>
      </c>
      <c r="D695">
        <v>3</v>
      </c>
      <c r="E695">
        <v>260</v>
      </c>
      <c r="F695" s="4" t="s">
        <v>174</v>
      </c>
      <c r="G695" s="4" t="s">
        <v>175</v>
      </c>
      <c r="H695" s="4" t="s">
        <v>42</v>
      </c>
      <c r="I695" s="4" t="s">
        <v>621</v>
      </c>
      <c r="J695" s="4" t="s">
        <v>84</v>
      </c>
      <c r="K695" s="4" t="s">
        <v>85</v>
      </c>
      <c r="L695" s="4" t="s">
        <v>38</v>
      </c>
      <c r="M695" s="4" t="s">
        <v>56</v>
      </c>
      <c r="N695" s="4" t="s">
        <v>57</v>
      </c>
      <c r="O695">
        <v>25000</v>
      </c>
      <c r="P695">
        <v>3</v>
      </c>
      <c r="Q695">
        <v>0</v>
      </c>
      <c r="R695">
        <v>75000</v>
      </c>
      <c r="S695">
        <v>0</v>
      </c>
      <c r="T695">
        <v>75000</v>
      </c>
    </row>
    <row r="696" spans="1:20" x14ac:dyDescent="0.25">
      <c r="A696">
        <v>695</v>
      </c>
      <c r="B696" s="5">
        <v>45622</v>
      </c>
      <c r="C696">
        <v>26</v>
      </c>
      <c r="D696">
        <v>6</v>
      </c>
      <c r="E696">
        <v>74</v>
      </c>
      <c r="F696" s="4" t="s">
        <v>415</v>
      </c>
      <c r="G696" s="4" t="s">
        <v>416</v>
      </c>
      <c r="H696" s="4" t="s">
        <v>19</v>
      </c>
      <c r="I696" s="4" t="s">
        <v>646</v>
      </c>
      <c r="J696" s="4" t="s">
        <v>101</v>
      </c>
      <c r="K696" s="4" t="s">
        <v>109</v>
      </c>
      <c r="L696" s="4" t="s">
        <v>29</v>
      </c>
      <c r="M696" s="4" t="s">
        <v>102</v>
      </c>
      <c r="N696" s="4" t="s">
        <v>57</v>
      </c>
      <c r="O696">
        <v>12000</v>
      </c>
      <c r="P696">
        <v>1</v>
      </c>
      <c r="Q696">
        <v>5</v>
      </c>
      <c r="R696">
        <v>12000</v>
      </c>
      <c r="S696">
        <v>600</v>
      </c>
      <c r="T696">
        <v>11400</v>
      </c>
    </row>
    <row r="697" spans="1:20" x14ac:dyDescent="0.25">
      <c r="A697">
        <v>696</v>
      </c>
      <c r="B697" s="5">
        <v>45623</v>
      </c>
      <c r="C697">
        <v>47</v>
      </c>
      <c r="D697">
        <v>1</v>
      </c>
      <c r="E697">
        <v>122</v>
      </c>
      <c r="F697" s="4" t="s">
        <v>107</v>
      </c>
      <c r="G697" s="4" t="s">
        <v>108</v>
      </c>
      <c r="H697" s="4" t="s">
        <v>42</v>
      </c>
      <c r="I697" s="4" t="s">
        <v>616</v>
      </c>
      <c r="J697" s="4" t="s">
        <v>116</v>
      </c>
      <c r="K697" s="4" t="s">
        <v>37</v>
      </c>
      <c r="L697" s="4" t="s">
        <v>38</v>
      </c>
      <c r="M697" s="4" t="s">
        <v>62</v>
      </c>
      <c r="N697" s="4" t="s">
        <v>31</v>
      </c>
      <c r="O697">
        <v>650000</v>
      </c>
      <c r="P697">
        <v>1</v>
      </c>
      <c r="Q697">
        <v>1</v>
      </c>
      <c r="R697">
        <v>650000</v>
      </c>
      <c r="S697">
        <v>6500</v>
      </c>
      <c r="T697">
        <v>643500</v>
      </c>
    </row>
    <row r="698" spans="1:20" x14ac:dyDescent="0.25">
      <c r="A698">
        <v>697</v>
      </c>
      <c r="B698" s="5">
        <v>45624</v>
      </c>
      <c r="C698">
        <v>60</v>
      </c>
      <c r="D698">
        <v>1</v>
      </c>
      <c r="E698">
        <v>49</v>
      </c>
      <c r="F698" s="4" t="s">
        <v>461</v>
      </c>
      <c r="G698" s="4" t="s">
        <v>462</v>
      </c>
      <c r="H698" s="4" t="s">
        <v>19</v>
      </c>
      <c r="I698" s="4" t="s">
        <v>627</v>
      </c>
      <c r="J698" s="4" t="s">
        <v>37</v>
      </c>
      <c r="K698" s="4" t="s">
        <v>37</v>
      </c>
      <c r="L698" s="4" t="s">
        <v>38</v>
      </c>
      <c r="M698" s="4" t="s">
        <v>56</v>
      </c>
      <c r="N698" s="4" t="s">
        <v>57</v>
      </c>
      <c r="O698">
        <v>25000</v>
      </c>
      <c r="P698">
        <v>3</v>
      </c>
      <c r="Q698">
        <v>0</v>
      </c>
      <c r="R698">
        <v>75000</v>
      </c>
      <c r="S698">
        <v>0</v>
      </c>
      <c r="T698">
        <v>75000</v>
      </c>
    </row>
    <row r="699" spans="1:20" x14ac:dyDescent="0.25">
      <c r="A699">
        <v>698</v>
      </c>
      <c r="B699" s="5">
        <v>45625</v>
      </c>
      <c r="C699">
        <v>8</v>
      </c>
      <c r="D699">
        <v>1</v>
      </c>
      <c r="E699">
        <v>72</v>
      </c>
      <c r="F699" s="4" t="s">
        <v>262</v>
      </c>
      <c r="G699" s="4" t="s">
        <v>263</v>
      </c>
      <c r="H699" s="4" t="s">
        <v>19</v>
      </c>
      <c r="I699" s="4" t="s">
        <v>646</v>
      </c>
      <c r="J699" s="4" t="s">
        <v>76</v>
      </c>
      <c r="K699" s="4" t="s">
        <v>77</v>
      </c>
      <c r="L699" s="4" t="s">
        <v>29</v>
      </c>
      <c r="M699" s="4" t="s">
        <v>69</v>
      </c>
      <c r="N699" s="4" t="s">
        <v>53</v>
      </c>
      <c r="O699">
        <v>450000</v>
      </c>
      <c r="P699">
        <v>3</v>
      </c>
      <c r="Q699">
        <v>0</v>
      </c>
      <c r="R699">
        <v>1350000</v>
      </c>
      <c r="S699">
        <v>0</v>
      </c>
      <c r="T699">
        <v>1350000</v>
      </c>
    </row>
    <row r="700" spans="1:20" x14ac:dyDescent="0.25">
      <c r="A700">
        <v>699</v>
      </c>
      <c r="B700" s="5">
        <v>45626</v>
      </c>
      <c r="C700">
        <v>9</v>
      </c>
      <c r="D700">
        <v>9</v>
      </c>
      <c r="E700">
        <v>25</v>
      </c>
      <c r="F700" s="4" t="s">
        <v>367</v>
      </c>
      <c r="G700" s="4" t="s">
        <v>368</v>
      </c>
      <c r="H700" s="4" t="s">
        <v>42</v>
      </c>
      <c r="I700" s="4" t="s">
        <v>630</v>
      </c>
      <c r="J700" s="4" t="s">
        <v>37</v>
      </c>
      <c r="K700" s="4" t="s">
        <v>37</v>
      </c>
      <c r="L700" s="4" t="s">
        <v>38</v>
      </c>
      <c r="M700" s="4" t="s">
        <v>102</v>
      </c>
      <c r="N700" s="4" t="s">
        <v>57</v>
      </c>
      <c r="O700">
        <v>12000</v>
      </c>
      <c r="P700">
        <v>1</v>
      </c>
      <c r="Q700">
        <v>1</v>
      </c>
      <c r="R700">
        <v>12000</v>
      </c>
      <c r="S700">
        <v>120</v>
      </c>
      <c r="T700">
        <v>11880</v>
      </c>
    </row>
    <row r="701" spans="1:20" x14ac:dyDescent="0.25">
      <c r="A701">
        <v>700</v>
      </c>
      <c r="B701" s="5">
        <v>45627</v>
      </c>
      <c r="C701">
        <v>17</v>
      </c>
      <c r="D701">
        <v>0</v>
      </c>
      <c r="E701">
        <v>146</v>
      </c>
      <c r="F701" s="4" t="s">
        <v>537</v>
      </c>
      <c r="G701" s="4" t="s">
        <v>538</v>
      </c>
      <c r="H701" s="4" t="s">
        <v>42</v>
      </c>
      <c r="I701" s="4" t="s">
        <v>621</v>
      </c>
      <c r="J701" s="4" t="s">
        <v>34</v>
      </c>
      <c r="K701" s="4" t="s">
        <v>272</v>
      </c>
      <c r="L701" s="4" t="s">
        <v>29</v>
      </c>
      <c r="M701" s="4" t="s">
        <v>56</v>
      </c>
      <c r="N701" s="4" t="s">
        <v>57</v>
      </c>
      <c r="O701">
        <v>25000</v>
      </c>
      <c r="P701">
        <v>3</v>
      </c>
      <c r="Q701">
        <v>5</v>
      </c>
      <c r="R701">
        <v>75000</v>
      </c>
      <c r="S701">
        <v>3750</v>
      </c>
      <c r="T701">
        <v>71250</v>
      </c>
    </row>
    <row r="702" spans="1:20" x14ac:dyDescent="0.25">
      <c r="A702">
        <v>701</v>
      </c>
      <c r="B702" s="5">
        <v>45628</v>
      </c>
      <c r="C702">
        <v>55</v>
      </c>
      <c r="D702">
        <v>9</v>
      </c>
      <c r="E702">
        <v>230</v>
      </c>
      <c r="F702" s="4" t="s">
        <v>495</v>
      </c>
      <c r="G702" s="4" t="s">
        <v>496</v>
      </c>
      <c r="H702" s="4" t="s">
        <v>19</v>
      </c>
      <c r="I702" s="4" t="s">
        <v>636</v>
      </c>
      <c r="J702" s="4" t="s">
        <v>43</v>
      </c>
      <c r="K702" s="4" t="s">
        <v>43</v>
      </c>
      <c r="L702" s="4" t="s">
        <v>38</v>
      </c>
      <c r="M702" s="4" t="s">
        <v>23</v>
      </c>
      <c r="N702" s="4" t="s">
        <v>24</v>
      </c>
      <c r="O702">
        <v>15000</v>
      </c>
      <c r="P702">
        <v>1</v>
      </c>
      <c r="Q702">
        <v>0</v>
      </c>
      <c r="R702">
        <v>15000</v>
      </c>
      <c r="S702">
        <v>0</v>
      </c>
      <c r="T702">
        <v>15000</v>
      </c>
    </row>
    <row r="703" spans="1:20" x14ac:dyDescent="0.25">
      <c r="A703">
        <v>702</v>
      </c>
      <c r="B703" s="5">
        <v>45629</v>
      </c>
      <c r="C703">
        <v>30</v>
      </c>
      <c r="D703">
        <v>0</v>
      </c>
      <c r="E703">
        <v>199</v>
      </c>
      <c r="F703" s="4" t="s">
        <v>573</v>
      </c>
      <c r="G703" s="4" t="s">
        <v>574</v>
      </c>
      <c r="H703" s="4" t="s">
        <v>19</v>
      </c>
      <c r="I703" s="4" t="s">
        <v>610</v>
      </c>
      <c r="J703" s="4" t="s">
        <v>37</v>
      </c>
      <c r="K703" s="4" t="s">
        <v>37</v>
      </c>
      <c r="L703" s="4" t="s">
        <v>22</v>
      </c>
      <c r="M703" s="4" t="s">
        <v>98</v>
      </c>
      <c r="N703" s="4" t="s">
        <v>151</v>
      </c>
      <c r="O703">
        <v>55000</v>
      </c>
      <c r="P703">
        <v>2</v>
      </c>
      <c r="Q703">
        <v>0</v>
      </c>
      <c r="R703">
        <v>110000</v>
      </c>
      <c r="S703">
        <v>0</v>
      </c>
      <c r="T703">
        <v>110000</v>
      </c>
    </row>
    <row r="704" spans="1:20" x14ac:dyDescent="0.25">
      <c r="A704">
        <v>703</v>
      </c>
      <c r="B704" s="5">
        <v>45630</v>
      </c>
      <c r="C704">
        <v>58</v>
      </c>
      <c r="D704">
        <v>1</v>
      </c>
      <c r="E704">
        <v>264</v>
      </c>
      <c r="F704" s="4" t="s">
        <v>419</v>
      </c>
      <c r="G704" s="4" t="s">
        <v>420</v>
      </c>
      <c r="H704" s="4" t="s">
        <v>42</v>
      </c>
      <c r="I704" s="4" t="s">
        <v>615</v>
      </c>
      <c r="J704" s="4" t="s">
        <v>76</v>
      </c>
      <c r="K704" s="4" t="s">
        <v>77</v>
      </c>
      <c r="L704" s="4" t="s">
        <v>22</v>
      </c>
      <c r="M704" s="4" t="s">
        <v>30</v>
      </c>
      <c r="N704" s="4" t="s">
        <v>31</v>
      </c>
      <c r="O704">
        <v>700000</v>
      </c>
      <c r="P704">
        <v>3</v>
      </c>
      <c r="Q704">
        <v>0</v>
      </c>
      <c r="R704">
        <v>2100000</v>
      </c>
      <c r="S704">
        <v>0</v>
      </c>
      <c r="T704">
        <v>2100000</v>
      </c>
    </row>
    <row r="705" spans="1:20" x14ac:dyDescent="0.25">
      <c r="A705">
        <v>704</v>
      </c>
      <c r="B705" s="5">
        <v>45631</v>
      </c>
      <c r="C705">
        <v>19</v>
      </c>
      <c r="D705">
        <v>5</v>
      </c>
      <c r="E705">
        <v>35</v>
      </c>
      <c r="F705" s="4" t="s">
        <v>58</v>
      </c>
      <c r="G705" s="4" t="s">
        <v>59</v>
      </c>
      <c r="H705" s="4" t="s">
        <v>42</v>
      </c>
      <c r="I705" s="4" t="s">
        <v>621</v>
      </c>
      <c r="J705" s="4" t="s">
        <v>20</v>
      </c>
      <c r="K705" s="4" t="s">
        <v>21</v>
      </c>
      <c r="L705" s="4" t="s">
        <v>22</v>
      </c>
      <c r="M705" s="4" t="s">
        <v>39</v>
      </c>
      <c r="N705" s="4" t="s">
        <v>24</v>
      </c>
      <c r="O705">
        <v>35000</v>
      </c>
      <c r="P705">
        <v>3</v>
      </c>
      <c r="Q705">
        <v>1</v>
      </c>
      <c r="R705">
        <v>105000</v>
      </c>
      <c r="S705">
        <v>1050</v>
      </c>
      <c r="T705">
        <v>103950</v>
      </c>
    </row>
    <row r="706" spans="1:20" x14ac:dyDescent="0.25">
      <c r="A706">
        <v>705</v>
      </c>
      <c r="B706" s="5">
        <v>45632</v>
      </c>
      <c r="C706">
        <v>63</v>
      </c>
      <c r="D706">
        <v>5</v>
      </c>
      <c r="E706">
        <v>52</v>
      </c>
      <c r="F706" s="4" t="s">
        <v>383</v>
      </c>
      <c r="G706" s="4" t="s">
        <v>384</v>
      </c>
      <c r="H706" s="4" t="s">
        <v>19</v>
      </c>
      <c r="I706" s="4" t="s">
        <v>626</v>
      </c>
      <c r="J706" s="4" t="s">
        <v>101</v>
      </c>
      <c r="K706" s="4" t="s">
        <v>109</v>
      </c>
      <c r="L706" s="4" t="s">
        <v>38</v>
      </c>
      <c r="M706" s="4" t="s">
        <v>46</v>
      </c>
      <c r="N706" s="4" t="s">
        <v>53</v>
      </c>
      <c r="O706">
        <v>750000</v>
      </c>
      <c r="P706">
        <v>3</v>
      </c>
      <c r="Q706">
        <v>5</v>
      </c>
      <c r="R706">
        <v>2250000</v>
      </c>
      <c r="S706">
        <v>112500</v>
      </c>
      <c r="T706">
        <v>2137500</v>
      </c>
    </row>
    <row r="707" spans="1:20" x14ac:dyDescent="0.25">
      <c r="A707">
        <v>706</v>
      </c>
      <c r="B707" s="5">
        <v>45633</v>
      </c>
      <c r="C707">
        <v>53</v>
      </c>
      <c r="D707">
        <v>1</v>
      </c>
      <c r="E707">
        <v>252</v>
      </c>
      <c r="F707" s="4" t="s">
        <v>99</v>
      </c>
      <c r="G707" s="4" t="s">
        <v>100</v>
      </c>
      <c r="H707" s="4" t="s">
        <v>42</v>
      </c>
      <c r="I707" s="4" t="s">
        <v>637</v>
      </c>
      <c r="J707" s="4" t="s">
        <v>76</v>
      </c>
      <c r="K707" s="4" t="s">
        <v>77</v>
      </c>
      <c r="L707" s="4" t="s">
        <v>22</v>
      </c>
      <c r="M707" s="4" t="s">
        <v>62</v>
      </c>
      <c r="N707" s="4" t="s">
        <v>31</v>
      </c>
      <c r="O707">
        <v>650000</v>
      </c>
      <c r="P707">
        <v>2</v>
      </c>
      <c r="Q707">
        <v>5</v>
      </c>
      <c r="R707">
        <v>1300000</v>
      </c>
      <c r="S707">
        <v>65000</v>
      </c>
      <c r="T707">
        <v>1235000</v>
      </c>
    </row>
    <row r="708" spans="1:20" x14ac:dyDescent="0.25">
      <c r="A708">
        <v>707</v>
      </c>
      <c r="B708" s="5">
        <v>45634</v>
      </c>
      <c r="C708">
        <v>8</v>
      </c>
      <c r="D708">
        <v>1</v>
      </c>
      <c r="E708">
        <v>45</v>
      </c>
      <c r="F708" s="4" t="s">
        <v>121</v>
      </c>
      <c r="G708" s="4" t="s">
        <v>122</v>
      </c>
      <c r="H708" s="4" t="s">
        <v>19</v>
      </c>
      <c r="I708" s="4" t="s">
        <v>642</v>
      </c>
      <c r="J708" s="4" t="s">
        <v>76</v>
      </c>
      <c r="K708" s="4" t="s">
        <v>77</v>
      </c>
      <c r="L708" s="4" t="s">
        <v>22</v>
      </c>
      <c r="M708" s="4" t="s">
        <v>69</v>
      </c>
      <c r="N708" s="4" t="s">
        <v>53</v>
      </c>
      <c r="O708">
        <v>450000</v>
      </c>
      <c r="P708">
        <v>3</v>
      </c>
      <c r="Q708">
        <v>1</v>
      </c>
      <c r="R708">
        <v>1350000</v>
      </c>
      <c r="S708">
        <v>13500</v>
      </c>
      <c r="T708">
        <v>1336500</v>
      </c>
    </row>
    <row r="709" spans="1:20" x14ac:dyDescent="0.25">
      <c r="A709">
        <v>708</v>
      </c>
      <c r="B709" s="5">
        <v>45635</v>
      </c>
      <c r="C709">
        <v>63</v>
      </c>
      <c r="D709">
        <v>5</v>
      </c>
      <c r="E709">
        <v>127</v>
      </c>
      <c r="F709" s="4" t="s">
        <v>117</v>
      </c>
      <c r="G709" s="4" t="s">
        <v>118</v>
      </c>
      <c r="H709" s="4" t="s">
        <v>42</v>
      </c>
      <c r="I709" s="4" t="s">
        <v>608</v>
      </c>
      <c r="J709" s="4" t="s">
        <v>101</v>
      </c>
      <c r="K709" s="4" t="s">
        <v>109</v>
      </c>
      <c r="L709" s="4" t="s">
        <v>38</v>
      </c>
      <c r="M709" s="4" t="s">
        <v>46</v>
      </c>
      <c r="N709" s="4" t="s">
        <v>53</v>
      </c>
      <c r="O709">
        <v>750000</v>
      </c>
      <c r="P709">
        <v>2</v>
      </c>
      <c r="Q709">
        <v>1</v>
      </c>
      <c r="R709">
        <v>1500000</v>
      </c>
      <c r="S709">
        <v>15000</v>
      </c>
      <c r="T709">
        <v>1485000</v>
      </c>
    </row>
    <row r="710" spans="1:20" x14ac:dyDescent="0.25">
      <c r="A710">
        <v>709</v>
      </c>
      <c r="B710" s="5">
        <v>45636</v>
      </c>
      <c r="C710">
        <v>37</v>
      </c>
      <c r="D710">
        <v>1</v>
      </c>
      <c r="E710">
        <v>258</v>
      </c>
      <c r="F710" s="4" t="s">
        <v>399</v>
      </c>
      <c r="G710" s="4" t="s">
        <v>400</v>
      </c>
      <c r="H710" s="4" t="s">
        <v>42</v>
      </c>
      <c r="I710" s="4" t="s">
        <v>614</v>
      </c>
      <c r="J710" s="4" t="s">
        <v>116</v>
      </c>
      <c r="K710" s="4" t="s">
        <v>37</v>
      </c>
      <c r="L710" s="4" t="s">
        <v>22</v>
      </c>
      <c r="M710" s="4" t="s">
        <v>62</v>
      </c>
      <c r="N710" s="4" t="s">
        <v>31</v>
      </c>
      <c r="O710">
        <v>650000</v>
      </c>
      <c r="P710">
        <v>1</v>
      </c>
      <c r="Q710">
        <v>1</v>
      </c>
      <c r="R710">
        <v>650000</v>
      </c>
      <c r="S710">
        <v>6500</v>
      </c>
      <c r="T710">
        <v>643500</v>
      </c>
    </row>
    <row r="711" spans="1:20" x14ac:dyDescent="0.25">
      <c r="A711">
        <v>710</v>
      </c>
      <c r="B711" s="5">
        <v>45637</v>
      </c>
      <c r="C711">
        <v>31</v>
      </c>
      <c r="D711">
        <v>4</v>
      </c>
      <c r="E711">
        <v>177</v>
      </c>
      <c r="F711" s="4" t="s">
        <v>335</v>
      </c>
      <c r="G711" s="4" t="s">
        <v>336</v>
      </c>
      <c r="H711" s="4" t="s">
        <v>42</v>
      </c>
      <c r="I711" s="4" t="s">
        <v>610</v>
      </c>
      <c r="J711" s="4" t="s">
        <v>101</v>
      </c>
      <c r="K711" s="4" t="s">
        <v>109</v>
      </c>
      <c r="L711" s="4" t="s">
        <v>38</v>
      </c>
      <c r="M711" s="4" t="s">
        <v>62</v>
      </c>
      <c r="N711" s="4" t="s">
        <v>31</v>
      </c>
      <c r="O711">
        <v>650000</v>
      </c>
      <c r="P711">
        <v>1</v>
      </c>
      <c r="Q711">
        <v>0</v>
      </c>
      <c r="R711">
        <v>650000</v>
      </c>
      <c r="S711">
        <v>0</v>
      </c>
      <c r="T711">
        <v>650000</v>
      </c>
    </row>
    <row r="712" spans="1:20" x14ac:dyDescent="0.25">
      <c r="A712">
        <v>711</v>
      </c>
      <c r="B712" s="5">
        <v>45638</v>
      </c>
      <c r="C712">
        <v>36</v>
      </c>
      <c r="D712">
        <v>4</v>
      </c>
      <c r="E712">
        <v>95</v>
      </c>
      <c r="F712" s="4" t="s">
        <v>216</v>
      </c>
      <c r="G712" s="4" t="s">
        <v>217</v>
      </c>
      <c r="H712" s="4" t="s">
        <v>42</v>
      </c>
      <c r="I712" s="4" t="s">
        <v>626</v>
      </c>
      <c r="J712" s="4" t="s">
        <v>101</v>
      </c>
      <c r="K712" s="4" t="s">
        <v>109</v>
      </c>
      <c r="L712" s="4" t="s">
        <v>22</v>
      </c>
      <c r="M712" s="4" t="s">
        <v>39</v>
      </c>
      <c r="N712" s="4" t="s">
        <v>24</v>
      </c>
      <c r="O712">
        <v>35000</v>
      </c>
      <c r="P712">
        <v>1</v>
      </c>
      <c r="Q712">
        <v>5</v>
      </c>
      <c r="R712">
        <v>35000</v>
      </c>
      <c r="S712">
        <v>1750</v>
      </c>
      <c r="T712">
        <v>33250</v>
      </c>
    </row>
    <row r="713" spans="1:20" x14ac:dyDescent="0.25">
      <c r="A713">
        <v>712</v>
      </c>
      <c r="B713" s="5">
        <v>45639</v>
      </c>
      <c r="C713">
        <v>39</v>
      </c>
      <c r="D713">
        <v>6</v>
      </c>
      <c r="E713">
        <v>6</v>
      </c>
      <c r="F713" s="4" t="s">
        <v>224</v>
      </c>
      <c r="G713" s="4" t="s">
        <v>225</v>
      </c>
      <c r="H713" s="4" t="s">
        <v>42</v>
      </c>
      <c r="I713" s="4" t="s">
        <v>613</v>
      </c>
      <c r="J713" s="4" t="s">
        <v>43</v>
      </c>
      <c r="K713" s="4" t="s">
        <v>43</v>
      </c>
      <c r="L713" s="4" t="s">
        <v>22</v>
      </c>
      <c r="M713" s="4" t="s">
        <v>46</v>
      </c>
      <c r="N713" s="4" t="s">
        <v>53</v>
      </c>
      <c r="O713">
        <v>750000</v>
      </c>
      <c r="P713">
        <v>3</v>
      </c>
      <c r="Q713">
        <v>0</v>
      </c>
      <c r="R713">
        <v>2250000</v>
      </c>
      <c r="S713">
        <v>0</v>
      </c>
      <c r="T713">
        <v>2250000</v>
      </c>
    </row>
    <row r="714" spans="1:20" x14ac:dyDescent="0.25">
      <c r="A714">
        <v>713</v>
      </c>
      <c r="B714" s="5">
        <v>45640</v>
      </c>
      <c r="C714">
        <v>50</v>
      </c>
      <c r="D714">
        <v>0</v>
      </c>
      <c r="E714">
        <v>204</v>
      </c>
      <c r="F714" s="4" t="s">
        <v>139</v>
      </c>
      <c r="G714" s="4" t="s">
        <v>140</v>
      </c>
      <c r="H714" s="4" t="s">
        <v>19</v>
      </c>
      <c r="I714" s="4" t="s">
        <v>619</v>
      </c>
      <c r="J714" s="4" t="s">
        <v>20</v>
      </c>
      <c r="K714" s="4" t="s">
        <v>21</v>
      </c>
      <c r="L714" s="4" t="s">
        <v>22</v>
      </c>
      <c r="M714" s="4" t="s">
        <v>98</v>
      </c>
      <c r="N714" s="4" t="s">
        <v>151</v>
      </c>
      <c r="O714">
        <v>55000</v>
      </c>
      <c r="P714">
        <v>3</v>
      </c>
      <c r="Q714">
        <v>1</v>
      </c>
      <c r="R714">
        <v>165000</v>
      </c>
      <c r="S714">
        <v>1650</v>
      </c>
      <c r="T714">
        <v>163350</v>
      </c>
    </row>
    <row r="715" spans="1:20" x14ac:dyDescent="0.25">
      <c r="A715">
        <v>714</v>
      </c>
      <c r="B715" s="5">
        <v>45641</v>
      </c>
      <c r="C715">
        <v>49</v>
      </c>
      <c r="D715">
        <v>1</v>
      </c>
      <c r="E715">
        <v>96</v>
      </c>
      <c r="F715" s="4" t="s">
        <v>493</v>
      </c>
      <c r="G715" s="4" t="s">
        <v>494</v>
      </c>
      <c r="H715" s="4" t="s">
        <v>19</v>
      </c>
      <c r="I715" s="4" t="s">
        <v>642</v>
      </c>
      <c r="J715" s="4" t="s">
        <v>43</v>
      </c>
      <c r="K715" s="4" t="s">
        <v>43</v>
      </c>
      <c r="L715" s="4" t="s">
        <v>22</v>
      </c>
      <c r="M715" s="4" t="s">
        <v>39</v>
      </c>
      <c r="N715" s="4" t="s">
        <v>24</v>
      </c>
      <c r="O715">
        <v>35000</v>
      </c>
      <c r="P715">
        <v>2</v>
      </c>
      <c r="Q715">
        <v>1</v>
      </c>
      <c r="R715">
        <v>70000</v>
      </c>
      <c r="S715">
        <v>700</v>
      </c>
      <c r="T715">
        <v>69300</v>
      </c>
    </row>
    <row r="716" spans="1:20" x14ac:dyDescent="0.25">
      <c r="A716">
        <v>715</v>
      </c>
      <c r="B716" s="5">
        <v>45642</v>
      </c>
      <c r="C716">
        <v>45</v>
      </c>
      <c r="D716">
        <v>2</v>
      </c>
      <c r="E716">
        <v>11</v>
      </c>
      <c r="F716" s="4" t="s">
        <v>527</v>
      </c>
      <c r="G716" s="4" t="s">
        <v>528</v>
      </c>
      <c r="H716" s="4" t="s">
        <v>19</v>
      </c>
      <c r="I716" s="4" t="s">
        <v>639</v>
      </c>
      <c r="J716" s="4" t="s">
        <v>27</v>
      </c>
      <c r="K716" s="4" t="s">
        <v>28</v>
      </c>
      <c r="L716" s="4" t="s">
        <v>22</v>
      </c>
      <c r="M716" s="4" t="s">
        <v>56</v>
      </c>
      <c r="N716" s="4" t="s">
        <v>57</v>
      </c>
      <c r="O716">
        <v>25000</v>
      </c>
      <c r="P716">
        <v>3</v>
      </c>
      <c r="Q716">
        <v>5</v>
      </c>
      <c r="R716">
        <v>75000</v>
      </c>
      <c r="S716">
        <v>3750</v>
      </c>
      <c r="T716">
        <v>71250</v>
      </c>
    </row>
    <row r="717" spans="1:20" x14ac:dyDescent="0.25">
      <c r="A717">
        <v>716</v>
      </c>
      <c r="B717" s="5">
        <v>45643</v>
      </c>
      <c r="C717">
        <v>49</v>
      </c>
      <c r="D717">
        <v>1</v>
      </c>
      <c r="E717">
        <v>36</v>
      </c>
      <c r="F717" s="4" t="s">
        <v>353</v>
      </c>
      <c r="G717" s="4" t="s">
        <v>354</v>
      </c>
      <c r="H717" s="4" t="s">
        <v>42</v>
      </c>
      <c r="I717" s="4" t="s">
        <v>618</v>
      </c>
      <c r="J717" s="4" t="s">
        <v>43</v>
      </c>
      <c r="K717" s="4" t="s">
        <v>43</v>
      </c>
      <c r="L717" s="4" t="s">
        <v>22</v>
      </c>
      <c r="M717" s="4" t="s">
        <v>62</v>
      </c>
      <c r="N717" s="4" t="s">
        <v>31</v>
      </c>
      <c r="O717">
        <v>650000</v>
      </c>
      <c r="P717">
        <v>1</v>
      </c>
      <c r="Q717">
        <v>1</v>
      </c>
      <c r="R717">
        <v>650000</v>
      </c>
      <c r="S717">
        <v>6500</v>
      </c>
      <c r="T717">
        <v>643500</v>
      </c>
    </row>
    <row r="718" spans="1:20" x14ac:dyDescent="0.25">
      <c r="A718">
        <v>717</v>
      </c>
      <c r="B718" s="5">
        <v>45644</v>
      </c>
      <c r="C718">
        <v>13</v>
      </c>
      <c r="D718">
        <v>0</v>
      </c>
      <c r="E718">
        <v>211</v>
      </c>
      <c r="F718" s="4" t="s">
        <v>311</v>
      </c>
      <c r="G718" s="4" t="s">
        <v>312</v>
      </c>
      <c r="H718" s="4" t="s">
        <v>19</v>
      </c>
      <c r="I718" s="4" t="s">
        <v>620</v>
      </c>
      <c r="J718" s="4" t="s">
        <v>27</v>
      </c>
      <c r="K718" s="4" t="s">
        <v>28</v>
      </c>
      <c r="L718" s="4" t="s">
        <v>38</v>
      </c>
      <c r="M718" s="4" t="s">
        <v>56</v>
      </c>
      <c r="N718" s="4" t="s">
        <v>57</v>
      </c>
      <c r="O718">
        <v>25000</v>
      </c>
      <c r="P718">
        <v>3</v>
      </c>
      <c r="Q718">
        <v>1</v>
      </c>
      <c r="R718">
        <v>75000</v>
      </c>
      <c r="S718">
        <v>750</v>
      </c>
      <c r="T718">
        <v>74250</v>
      </c>
    </row>
    <row r="719" spans="1:20" x14ac:dyDescent="0.25">
      <c r="A719">
        <v>718</v>
      </c>
      <c r="B719" s="5">
        <v>45645</v>
      </c>
      <c r="C719">
        <v>1</v>
      </c>
      <c r="D719">
        <v>8</v>
      </c>
      <c r="E719">
        <v>96</v>
      </c>
      <c r="F719" s="4" t="s">
        <v>493</v>
      </c>
      <c r="G719" s="4" t="s">
        <v>494</v>
      </c>
      <c r="H719" s="4" t="s">
        <v>19</v>
      </c>
      <c r="I719" s="4" t="s">
        <v>642</v>
      </c>
      <c r="J719" s="4" t="s">
        <v>34</v>
      </c>
      <c r="K719" s="4" t="s">
        <v>272</v>
      </c>
      <c r="L719" s="4" t="s">
        <v>22</v>
      </c>
      <c r="M719" s="4" t="s">
        <v>102</v>
      </c>
      <c r="N719" s="4" t="s">
        <v>57</v>
      </c>
      <c r="O719">
        <v>12000</v>
      </c>
      <c r="P719">
        <v>3</v>
      </c>
      <c r="Q719">
        <v>0</v>
      </c>
      <c r="R719">
        <v>36000</v>
      </c>
      <c r="S719">
        <v>0</v>
      </c>
      <c r="T719">
        <v>36000</v>
      </c>
    </row>
    <row r="720" spans="1:20" x14ac:dyDescent="0.25">
      <c r="A720">
        <v>719</v>
      </c>
      <c r="B720" s="5">
        <v>45646</v>
      </c>
      <c r="C720">
        <v>17</v>
      </c>
      <c r="D720">
        <v>0</v>
      </c>
      <c r="E720">
        <v>141</v>
      </c>
      <c r="F720" s="4" t="s">
        <v>499</v>
      </c>
      <c r="G720" s="4" t="s">
        <v>500</v>
      </c>
      <c r="H720" s="4" t="s">
        <v>42</v>
      </c>
      <c r="I720" s="4" t="s">
        <v>625</v>
      </c>
      <c r="J720" s="4" t="s">
        <v>34</v>
      </c>
      <c r="K720" s="4" t="s">
        <v>272</v>
      </c>
      <c r="L720" s="4" t="s">
        <v>22</v>
      </c>
      <c r="M720" s="4" t="s">
        <v>30</v>
      </c>
      <c r="N720" s="4" t="s">
        <v>31</v>
      </c>
      <c r="O720">
        <v>700000</v>
      </c>
      <c r="P720">
        <v>2</v>
      </c>
      <c r="Q720">
        <v>1</v>
      </c>
      <c r="R720">
        <v>1400000</v>
      </c>
      <c r="S720">
        <v>14000</v>
      </c>
      <c r="T720">
        <v>1386000</v>
      </c>
    </row>
    <row r="721" spans="1:20" x14ac:dyDescent="0.25">
      <c r="A721">
        <v>720</v>
      </c>
      <c r="B721" s="5">
        <v>45647</v>
      </c>
      <c r="C721">
        <v>19</v>
      </c>
      <c r="D721">
        <v>5</v>
      </c>
      <c r="E721">
        <v>40</v>
      </c>
      <c r="F721" s="4" t="s">
        <v>88</v>
      </c>
      <c r="G721" s="4" t="s">
        <v>89</v>
      </c>
      <c r="H721" s="4" t="s">
        <v>19</v>
      </c>
      <c r="I721" s="4" t="s">
        <v>625</v>
      </c>
      <c r="J721" s="4" t="s">
        <v>20</v>
      </c>
      <c r="K721" s="4" t="s">
        <v>21</v>
      </c>
      <c r="L721" s="4" t="s">
        <v>38</v>
      </c>
      <c r="M721" s="4" t="s">
        <v>62</v>
      </c>
      <c r="N721" s="4" t="s">
        <v>31</v>
      </c>
      <c r="O721">
        <v>650000</v>
      </c>
      <c r="P721">
        <v>3</v>
      </c>
      <c r="Q721">
        <v>1</v>
      </c>
      <c r="R721">
        <v>1950000</v>
      </c>
      <c r="S721">
        <v>19500</v>
      </c>
      <c r="T721">
        <v>1930500</v>
      </c>
    </row>
    <row r="722" spans="1:20" x14ac:dyDescent="0.25">
      <c r="A722">
        <v>721</v>
      </c>
      <c r="B722" s="5">
        <v>45648</v>
      </c>
      <c r="C722">
        <v>50</v>
      </c>
      <c r="D722">
        <v>0</v>
      </c>
      <c r="E722">
        <v>200</v>
      </c>
      <c r="F722" s="4" t="s">
        <v>575</v>
      </c>
      <c r="G722" s="4" t="s">
        <v>576</v>
      </c>
      <c r="H722" s="4" t="s">
        <v>19</v>
      </c>
      <c r="I722" s="4" t="s">
        <v>638</v>
      </c>
      <c r="J722" s="4" t="s">
        <v>20</v>
      </c>
      <c r="K722" s="4" t="s">
        <v>21</v>
      </c>
      <c r="L722" s="4" t="s">
        <v>38</v>
      </c>
      <c r="M722" s="4" t="s">
        <v>62</v>
      </c>
      <c r="N722" s="4" t="s">
        <v>31</v>
      </c>
      <c r="O722">
        <v>650000</v>
      </c>
      <c r="P722">
        <v>3</v>
      </c>
      <c r="Q722">
        <v>1</v>
      </c>
      <c r="R722">
        <v>1950000</v>
      </c>
      <c r="S722">
        <v>19500</v>
      </c>
      <c r="T722">
        <v>1930500</v>
      </c>
    </row>
    <row r="723" spans="1:20" x14ac:dyDescent="0.25">
      <c r="A723">
        <v>722</v>
      </c>
      <c r="B723" s="5">
        <v>45649</v>
      </c>
      <c r="C723">
        <v>52</v>
      </c>
      <c r="D723">
        <v>0</v>
      </c>
      <c r="E723">
        <v>112</v>
      </c>
      <c r="F723" s="4" t="s">
        <v>497</v>
      </c>
      <c r="G723" s="4" t="s">
        <v>498</v>
      </c>
      <c r="H723" s="4" t="s">
        <v>19</v>
      </c>
      <c r="I723" s="4" t="s">
        <v>641</v>
      </c>
      <c r="J723" s="4" t="s">
        <v>27</v>
      </c>
      <c r="K723" s="4" t="s">
        <v>28</v>
      </c>
      <c r="L723" s="4" t="s">
        <v>38</v>
      </c>
      <c r="M723" s="4" t="s">
        <v>69</v>
      </c>
      <c r="N723" s="4" t="s">
        <v>53</v>
      </c>
      <c r="O723">
        <v>450000</v>
      </c>
      <c r="P723">
        <v>1</v>
      </c>
      <c r="Q723">
        <v>0</v>
      </c>
      <c r="R723">
        <v>450000</v>
      </c>
      <c r="S723">
        <v>0</v>
      </c>
      <c r="T723">
        <v>450000</v>
      </c>
    </row>
    <row r="724" spans="1:20" x14ac:dyDescent="0.25">
      <c r="A724">
        <v>723</v>
      </c>
      <c r="B724" s="5">
        <v>45650</v>
      </c>
      <c r="C724">
        <v>9</v>
      </c>
      <c r="D724">
        <v>9</v>
      </c>
      <c r="E724">
        <v>71</v>
      </c>
      <c r="F724" s="4" t="s">
        <v>313</v>
      </c>
      <c r="G724" s="4" t="s">
        <v>314</v>
      </c>
      <c r="H724" s="4" t="s">
        <v>42</v>
      </c>
      <c r="I724" s="4" t="s">
        <v>627</v>
      </c>
      <c r="J724" s="4" t="s">
        <v>37</v>
      </c>
      <c r="K724" s="4" t="s">
        <v>37</v>
      </c>
      <c r="L724" s="4" t="s">
        <v>38</v>
      </c>
      <c r="M724" s="4" t="s">
        <v>62</v>
      </c>
      <c r="N724" s="4" t="s">
        <v>31</v>
      </c>
      <c r="O724">
        <v>650000</v>
      </c>
      <c r="P724">
        <v>2</v>
      </c>
      <c r="Q724">
        <v>0</v>
      </c>
      <c r="R724">
        <v>1300000</v>
      </c>
      <c r="S724">
        <v>0</v>
      </c>
      <c r="T724">
        <v>1300000</v>
      </c>
    </row>
    <row r="725" spans="1:20" x14ac:dyDescent="0.25">
      <c r="A725">
        <v>724</v>
      </c>
      <c r="B725" s="5">
        <v>45651</v>
      </c>
      <c r="C725">
        <v>7</v>
      </c>
      <c r="D725">
        <v>8</v>
      </c>
      <c r="E725">
        <v>105</v>
      </c>
      <c r="F725" s="4" t="s">
        <v>228</v>
      </c>
      <c r="G725" s="4" t="s">
        <v>229</v>
      </c>
      <c r="H725" s="4" t="s">
        <v>19</v>
      </c>
      <c r="I725" s="4" t="s">
        <v>635</v>
      </c>
      <c r="J725" s="4" t="s">
        <v>37</v>
      </c>
      <c r="K725" s="4" t="s">
        <v>37</v>
      </c>
      <c r="L725" s="4" t="s">
        <v>29</v>
      </c>
      <c r="M725" s="4" t="s">
        <v>102</v>
      </c>
      <c r="N725" s="4" t="s">
        <v>57</v>
      </c>
      <c r="O725">
        <v>12000</v>
      </c>
      <c r="P725">
        <v>3</v>
      </c>
      <c r="Q725">
        <v>0</v>
      </c>
      <c r="R725">
        <v>36000</v>
      </c>
      <c r="S725">
        <v>0</v>
      </c>
      <c r="T725">
        <v>36000</v>
      </c>
    </row>
    <row r="726" spans="1:20" x14ac:dyDescent="0.25">
      <c r="A726">
        <v>725</v>
      </c>
      <c r="B726" s="5">
        <v>45652</v>
      </c>
      <c r="C726">
        <v>30</v>
      </c>
      <c r="D726">
        <v>0</v>
      </c>
      <c r="E726">
        <v>119</v>
      </c>
      <c r="F726" s="4" t="s">
        <v>417</v>
      </c>
      <c r="G726" s="4" t="s">
        <v>418</v>
      </c>
      <c r="H726" s="4" t="s">
        <v>19</v>
      </c>
      <c r="I726" s="4" t="s">
        <v>644</v>
      </c>
      <c r="J726" s="4" t="s">
        <v>37</v>
      </c>
      <c r="K726" s="4" t="s">
        <v>37</v>
      </c>
      <c r="L726" s="4" t="s">
        <v>38</v>
      </c>
      <c r="M726" s="4" t="s">
        <v>46</v>
      </c>
      <c r="N726" s="4" t="s">
        <v>53</v>
      </c>
      <c r="O726">
        <v>750000</v>
      </c>
      <c r="P726">
        <v>1</v>
      </c>
      <c r="Q726">
        <v>0</v>
      </c>
      <c r="R726">
        <v>750000</v>
      </c>
      <c r="S726">
        <v>0</v>
      </c>
      <c r="T726">
        <v>750000</v>
      </c>
    </row>
    <row r="727" spans="1:20" x14ac:dyDescent="0.25">
      <c r="A727">
        <v>726</v>
      </c>
      <c r="B727" s="5">
        <v>45653</v>
      </c>
      <c r="C727">
        <v>20</v>
      </c>
      <c r="D727">
        <v>0</v>
      </c>
      <c r="E727">
        <v>268</v>
      </c>
      <c r="F727" s="4" t="s">
        <v>137</v>
      </c>
      <c r="G727" s="4" t="s">
        <v>138</v>
      </c>
      <c r="H727" s="4" t="s">
        <v>19</v>
      </c>
      <c r="I727" s="4" t="s">
        <v>642</v>
      </c>
      <c r="J727" s="4" t="s">
        <v>20</v>
      </c>
      <c r="K727" s="4" t="s">
        <v>21</v>
      </c>
      <c r="L727" s="4" t="s">
        <v>38</v>
      </c>
      <c r="M727" s="4" t="s">
        <v>30</v>
      </c>
      <c r="N727" s="4" t="s">
        <v>31</v>
      </c>
      <c r="O727">
        <v>700000</v>
      </c>
      <c r="P727">
        <v>2</v>
      </c>
      <c r="Q727">
        <v>5</v>
      </c>
      <c r="R727">
        <v>1400000</v>
      </c>
      <c r="S727">
        <v>70000</v>
      </c>
      <c r="T727">
        <v>1330000</v>
      </c>
    </row>
    <row r="728" spans="1:20" x14ac:dyDescent="0.25">
      <c r="A728">
        <v>727</v>
      </c>
      <c r="B728" s="5">
        <v>45654</v>
      </c>
      <c r="C728">
        <v>30</v>
      </c>
      <c r="D728">
        <v>0</v>
      </c>
      <c r="E728">
        <v>93</v>
      </c>
      <c r="F728" s="4" t="s">
        <v>321</v>
      </c>
      <c r="G728" s="4" t="s">
        <v>322</v>
      </c>
      <c r="H728" s="4" t="s">
        <v>42</v>
      </c>
      <c r="I728" s="4" t="s">
        <v>614</v>
      </c>
      <c r="J728" s="4" t="s">
        <v>37</v>
      </c>
      <c r="K728" s="4" t="s">
        <v>37</v>
      </c>
      <c r="L728" s="4" t="s">
        <v>38</v>
      </c>
      <c r="M728" s="4" t="s">
        <v>49</v>
      </c>
      <c r="N728" s="4" t="s">
        <v>31</v>
      </c>
      <c r="O728">
        <v>800000</v>
      </c>
      <c r="P728">
        <v>3</v>
      </c>
      <c r="Q728">
        <v>1</v>
      </c>
      <c r="R728">
        <v>2400000</v>
      </c>
      <c r="S728">
        <v>24000</v>
      </c>
      <c r="T728">
        <v>2376000</v>
      </c>
    </row>
    <row r="729" spans="1:20" x14ac:dyDescent="0.25">
      <c r="A729">
        <v>728</v>
      </c>
      <c r="B729" s="5">
        <v>45655</v>
      </c>
      <c r="C729">
        <v>13</v>
      </c>
      <c r="D729">
        <v>0</v>
      </c>
      <c r="E729">
        <v>75</v>
      </c>
      <c r="F729" s="4" t="s">
        <v>240</v>
      </c>
      <c r="G729" s="4" t="s">
        <v>241</v>
      </c>
      <c r="H729" s="4" t="s">
        <v>19</v>
      </c>
      <c r="I729" s="4" t="s">
        <v>612</v>
      </c>
      <c r="J729" s="4" t="s">
        <v>27</v>
      </c>
      <c r="K729" s="4" t="s">
        <v>28</v>
      </c>
      <c r="L729" s="4" t="s">
        <v>38</v>
      </c>
      <c r="M729" s="4" t="s">
        <v>46</v>
      </c>
      <c r="N729" s="4" t="s">
        <v>53</v>
      </c>
      <c r="O729">
        <v>750000</v>
      </c>
      <c r="P729">
        <v>2</v>
      </c>
      <c r="Q729">
        <v>1</v>
      </c>
      <c r="R729">
        <v>1500000</v>
      </c>
      <c r="S729">
        <v>15000</v>
      </c>
      <c r="T729">
        <v>1485000</v>
      </c>
    </row>
    <row r="730" spans="1:20" x14ac:dyDescent="0.25">
      <c r="A730">
        <v>729</v>
      </c>
      <c r="B730" s="5">
        <v>45656</v>
      </c>
      <c r="C730">
        <v>3</v>
      </c>
      <c r="D730">
        <v>1</v>
      </c>
      <c r="E730">
        <v>67</v>
      </c>
      <c r="F730" s="4" t="s">
        <v>70</v>
      </c>
      <c r="G730" s="4" t="s">
        <v>71</v>
      </c>
      <c r="H730" s="4" t="s">
        <v>19</v>
      </c>
      <c r="I730" s="4" t="s">
        <v>641</v>
      </c>
      <c r="J730" s="4" t="s">
        <v>37</v>
      </c>
      <c r="K730" s="4" t="s">
        <v>37</v>
      </c>
      <c r="L730" s="4" t="s">
        <v>22</v>
      </c>
      <c r="M730" s="4" t="s">
        <v>46</v>
      </c>
      <c r="N730" s="4" t="s">
        <v>53</v>
      </c>
      <c r="O730">
        <v>750000</v>
      </c>
      <c r="P730">
        <v>1</v>
      </c>
      <c r="Q730">
        <v>5</v>
      </c>
      <c r="R730">
        <v>750000</v>
      </c>
      <c r="S730">
        <v>37500</v>
      </c>
      <c r="T730">
        <v>712500</v>
      </c>
    </row>
    <row r="731" spans="1:20" x14ac:dyDescent="0.25">
      <c r="A731">
        <v>730</v>
      </c>
      <c r="B731" s="5">
        <v>45657</v>
      </c>
      <c r="C731">
        <v>37</v>
      </c>
      <c r="D731">
        <v>1</v>
      </c>
      <c r="E731">
        <v>185</v>
      </c>
      <c r="F731" s="4" t="s">
        <v>287</v>
      </c>
      <c r="G731" s="4" t="s">
        <v>288</v>
      </c>
      <c r="H731" s="4" t="s">
        <v>19</v>
      </c>
      <c r="I731" s="4" t="s">
        <v>613</v>
      </c>
      <c r="J731" s="4" t="s">
        <v>116</v>
      </c>
      <c r="K731" s="4" t="s">
        <v>37</v>
      </c>
      <c r="L731" s="4" t="s">
        <v>38</v>
      </c>
      <c r="M731" s="4" t="s">
        <v>30</v>
      </c>
      <c r="N731" s="4" t="s">
        <v>31</v>
      </c>
      <c r="O731">
        <v>700000</v>
      </c>
      <c r="P731">
        <v>3</v>
      </c>
      <c r="Q731">
        <v>1</v>
      </c>
      <c r="R731">
        <v>2100000</v>
      </c>
      <c r="S731">
        <v>21000</v>
      </c>
      <c r="T731">
        <v>2079000</v>
      </c>
    </row>
    <row r="732" spans="1:20" x14ac:dyDescent="0.25">
      <c r="A732">
        <v>731</v>
      </c>
      <c r="B732" s="5">
        <v>45658</v>
      </c>
      <c r="C732">
        <v>61</v>
      </c>
      <c r="D732">
        <v>3</v>
      </c>
      <c r="E732">
        <v>118</v>
      </c>
      <c r="F732" s="4" t="s">
        <v>133</v>
      </c>
      <c r="G732" s="4" t="s">
        <v>134</v>
      </c>
      <c r="H732" s="4" t="s">
        <v>42</v>
      </c>
      <c r="I732" s="4" t="s">
        <v>618</v>
      </c>
      <c r="J732" s="4" t="s">
        <v>52</v>
      </c>
      <c r="K732" s="4" t="s">
        <v>28</v>
      </c>
      <c r="L732" s="4" t="s">
        <v>38</v>
      </c>
      <c r="M732" s="4" t="s">
        <v>56</v>
      </c>
      <c r="N732" s="4" t="s">
        <v>57</v>
      </c>
      <c r="O732">
        <v>25000</v>
      </c>
      <c r="P732">
        <v>1</v>
      </c>
      <c r="Q732">
        <v>5</v>
      </c>
      <c r="R732">
        <v>25000</v>
      </c>
      <c r="S732">
        <v>1250</v>
      </c>
      <c r="T732">
        <v>23750</v>
      </c>
    </row>
    <row r="733" spans="1:20" x14ac:dyDescent="0.25">
      <c r="A733">
        <v>732</v>
      </c>
      <c r="B733" s="5">
        <v>45659</v>
      </c>
      <c r="C733">
        <v>36</v>
      </c>
      <c r="D733">
        <v>4</v>
      </c>
      <c r="E733">
        <v>36</v>
      </c>
      <c r="F733" s="4" t="s">
        <v>353</v>
      </c>
      <c r="G733" s="4" t="s">
        <v>354</v>
      </c>
      <c r="H733" s="4" t="s">
        <v>42</v>
      </c>
      <c r="I733" s="4" t="s">
        <v>618</v>
      </c>
      <c r="J733" s="4" t="s">
        <v>101</v>
      </c>
      <c r="K733" s="4" t="s">
        <v>109</v>
      </c>
      <c r="L733" s="4" t="s">
        <v>29</v>
      </c>
      <c r="M733" s="4" t="s">
        <v>102</v>
      </c>
      <c r="N733" s="4" t="s">
        <v>57</v>
      </c>
      <c r="O733">
        <v>12000</v>
      </c>
      <c r="P733">
        <v>2</v>
      </c>
      <c r="Q733">
        <v>0</v>
      </c>
      <c r="R733">
        <v>24000</v>
      </c>
      <c r="S733">
        <v>0</v>
      </c>
      <c r="T733">
        <v>24000</v>
      </c>
    </row>
    <row r="734" spans="1:20" x14ac:dyDescent="0.25">
      <c r="A734">
        <v>733</v>
      </c>
      <c r="B734" s="5">
        <v>45660</v>
      </c>
      <c r="C734">
        <v>35</v>
      </c>
      <c r="D734">
        <v>1</v>
      </c>
      <c r="E734">
        <v>201</v>
      </c>
      <c r="F734" s="4" t="s">
        <v>295</v>
      </c>
      <c r="G734" s="4" t="s">
        <v>296</v>
      </c>
      <c r="H734" s="4" t="s">
        <v>42</v>
      </c>
      <c r="I734" s="4" t="s">
        <v>627</v>
      </c>
      <c r="J734" s="4" t="s">
        <v>43</v>
      </c>
      <c r="K734" s="4" t="s">
        <v>43</v>
      </c>
      <c r="L734" s="4" t="s">
        <v>22</v>
      </c>
      <c r="M734" s="4" t="s">
        <v>102</v>
      </c>
      <c r="N734" s="4" t="s">
        <v>57</v>
      </c>
      <c r="O734">
        <v>12000</v>
      </c>
      <c r="P734">
        <v>3</v>
      </c>
      <c r="Q734">
        <v>1</v>
      </c>
      <c r="R734">
        <v>36000</v>
      </c>
      <c r="S734">
        <v>360</v>
      </c>
      <c r="T734">
        <v>35640</v>
      </c>
    </row>
    <row r="735" spans="1:20" x14ac:dyDescent="0.25">
      <c r="A735">
        <v>734</v>
      </c>
      <c r="B735" s="5">
        <v>45661</v>
      </c>
      <c r="C735">
        <v>22</v>
      </c>
      <c r="D735">
        <v>1</v>
      </c>
      <c r="E735">
        <v>257</v>
      </c>
      <c r="F735" s="4" t="s">
        <v>577</v>
      </c>
      <c r="G735" s="4" t="s">
        <v>578</v>
      </c>
      <c r="H735" s="4" t="s">
        <v>19</v>
      </c>
      <c r="I735" s="4" t="s">
        <v>650</v>
      </c>
      <c r="J735" s="4" t="s">
        <v>116</v>
      </c>
      <c r="K735" s="4" t="s">
        <v>37</v>
      </c>
      <c r="L735" s="4" t="s">
        <v>22</v>
      </c>
      <c r="M735" s="4" t="s">
        <v>62</v>
      </c>
      <c r="N735" s="4" t="s">
        <v>31</v>
      </c>
      <c r="O735">
        <v>650000</v>
      </c>
      <c r="P735">
        <v>3</v>
      </c>
      <c r="Q735">
        <v>0</v>
      </c>
      <c r="R735">
        <v>1950000</v>
      </c>
      <c r="S735">
        <v>0</v>
      </c>
      <c r="T735">
        <v>1950000</v>
      </c>
    </row>
    <row r="736" spans="1:20" x14ac:dyDescent="0.25">
      <c r="A736">
        <v>735</v>
      </c>
      <c r="B736" s="5">
        <v>45662</v>
      </c>
      <c r="C736">
        <v>56</v>
      </c>
      <c r="D736">
        <v>2</v>
      </c>
      <c r="E736">
        <v>74</v>
      </c>
      <c r="F736" s="4" t="s">
        <v>415</v>
      </c>
      <c r="G736" s="4" t="s">
        <v>416</v>
      </c>
      <c r="H736" s="4" t="s">
        <v>19</v>
      </c>
      <c r="I736" s="4" t="s">
        <v>646</v>
      </c>
      <c r="J736" s="4" t="s">
        <v>27</v>
      </c>
      <c r="K736" s="4" t="s">
        <v>28</v>
      </c>
      <c r="L736" s="4" t="s">
        <v>22</v>
      </c>
      <c r="M736" s="4" t="s">
        <v>69</v>
      </c>
      <c r="N736" s="4" t="s">
        <v>53</v>
      </c>
      <c r="O736">
        <v>450000</v>
      </c>
      <c r="P736">
        <v>1</v>
      </c>
      <c r="Q736">
        <v>1</v>
      </c>
      <c r="R736">
        <v>450000</v>
      </c>
      <c r="S736">
        <v>4500</v>
      </c>
      <c r="T736">
        <v>445500</v>
      </c>
    </row>
    <row r="737" spans="1:20" x14ac:dyDescent="0.25">
      <c r="A737">
        <v>736</v>
      </c>
      <c r="B737" s="5">
        <v>45663</v>
      </c>
      <c r="C737">
        <v>8</v>
      </c>
      <c r="D737">
        <v>1</v>
      </c>
      <c r="E737">
        <v>196</v>
      </c>
      <c r="F737" s="4" t="s">
        <v>32</v>
      </c>
      <c r="G737" s="4" t="s">
        <v>33</v>
      </c>
      <c r="H737" s="4" t="s">
        <v>19</v>
      </c>
      <c r="I737" s="4" t="s">
        <v>627</v>
      </c>
      <c r="J737" s="4" t="s">
        <v>76</v>
      </c>
      <c r="K737" s="4" t="s">
        <v>77</v>
      </c>
      <c r="L737" s="4" t="s">
        <v>22</v>
      </c>
      <c r="M737" s="4" t="s">
        <v>62</v>
      </c>
      <c r="N737" s="4" t="s">
        <v>31</v>
      </c>
      <c r="O737">
        <v>650000</v>
      </c>
      <c r="P737">
        <v>3</v>
      </c>
      <c r="Q737">
        <v>1</v>
      </c>
      <c r="R737">
        <v>1950000</v>
      </c>
      <c r="S737">
        <v>19500</v>
      </c>
      <c r="T737">
        <v>1930500</v>
      </c>
    </row>
    <row r="738" spans="1:20" x14ac:dyDescent="0.25">
      <c r="A738">
        <v>737</v>
      </c>
      <c r="B738" s="5">
        <v>45664</v>
      </c>
      <c r="C738">
        <v>36</v>
      </c>
      <c r="D738">
        <v>4</v>
      </c>
      <c r="E738">
        <v>227</v>
      </c>
      <c r="F738" s="4" t="s">
        <v>309</v>
      </c>
      <c r="G738" s="4" t="s">
        <v>310</v>
      </c>
      <c r="H738" s="4" t="s">
        <v>42</v>
      </c>
      <c r="I738" s="4" t="s">
        <v>610</v>
      </c>
      <c r="J738" s="4" t="s">
        <v>101</v>
      </c>
      <c r="K738" s="4" t="s">
        <v>109</v>
      </c>
      <c r="L738" s="4" t="s">
        <v>22</v>
      </c>
      <c r="M738" s="4" t="s">
        <v>98</v>
      </c>
      <c r="N738" s="4" t="s">
        <v>151</v>
      </c>
      <c r="O738">
        <v>55000</v>
      </c>
      <c r="P738">
        <v>2</v>
      </c>
      <c r="Q738">
        <v>1</v>
      </c>
      <c r="R738">
        <v>110000</v>
      </c>
      <c r="S738">
        <v>1100</v>
      </c>
      <c r="T738">
        <v>108900</v>
      </c>
    </row>
    <row r="739" spans="1:20" x14ac:dyDescent="0.25">
      <c r="A739">
        <v>738</v>
      </c>
      <c r="B739" s="5">
        <v>45665</v>
      </c>
      <c r="C739">
        <v>7</v>
      </c>
      <c r="D739">
        <v>8</v>
      </c>
      <c r="E739">
        <v>26</v>
      </c>
      <c r="F739" s="4" t="s">
        <v>186</v>
      </c>
      <c r="G739" s="4" t="s">
        <v>187</v>
      </c>
      <c r="H739" s="4" t="s">
        <v>42</v>
      </c>
      <c r="I739" s="4" t="s">
        <v>622</v>
      </c>
      <c r="J739" s="4" t="s">
        <v>37</v>
      </c>
      <c r="K739" s="4" t="s">
        <v>37</v>
      </c>
      <c r="L739" s="4" t="s">
        <v>38</v>
      </c>
      <c r="M739" s="4" t="s">
        <v>23</v>
      </c>
      <c r="N739" s="4" t="s">
        <v>24</v>
      </c>
      <c r="O739">
        <v>15000</v>
      </c>
      <c r="P739">
        <v>3</v>
      </c>
      <c r="Q739">
        <v>5</v>
      </c>
      <c r="R739">
        <v>45000</v>
      </c>
      <c r="S739">
        <v>2250</v>
      </c>
      <c r="T739">
        <v>42750</v>
      </c>
    </row>
    <row r="740" spans="1:20" x14ac:dyDescent="0.25">
      <c r="A740">
        <v>739</v>
      </c>
      <c r="B740" s="5">
        <v>45666</v>
      </c>
      <c r="C740">
        <v>36</v>
      </c>
      <c r="D740">
        <v>4</v>
      </c>
      <c r="E740">
        <v>263</v>
      </c>
      <c r="F740" s="4" t="s">
        <v>166</v>
      </c>
      <c r="G740" s="4" t="s">
        <v>167</v>
      </c>
      <c r="H740" s="4" t="s">
        <v>42</v>
      </c>
      <c r="I740" s="4" t="s">
        <v>612</v>
      </c>
      <c r="J740" s="4" t="s">
        <v>101</v>
      </c>
      <c r="K740" s="4" t="s">
        <v>109</v>
      </c>
      <c r="L740" s="4" t="s">
        <v>38</v>
      </c>
      <c r="M740" s="4" t="s">
        <v>30</v>
      </c>
      <c r="N740" s="4" t="s">
        <v>31</v>
      </c>
      <c r="O740">
        <v>700000</v>
      </c>
      <c r="P740">
        <v>1</v>
      </c>
      <c r="Q740">
        <v>1</v>
      </c>
      <c r="R740">
        <v>700000</v>
      </c>
      <c r="S740">
        <v>7000</v>
      </c>
      <c r="T740">
        <v>693000</v>
      </c>
    </row>
    <row r="741" spans="1:20" x14ac:dyDescent="0.25">
      <c r="A741">
        <v>740</v>
      </c>
      <c r="B741" s="5">
        <v>45667</v>
      </c>
      <c r="C741">
        <v>19</v>
      </c>
      <c r="D741">
        <v>5</v>
      </c>
      <c r="E741">
        <v>19</v>
      </c>
      <c r="F741" s="4" t="s">
        <v>503</v>
      </c>
      <c r="G741" s="4" t="s">
        <v>504</v>
      </c>
      <c r="H741" s="4" t="s">
        <v>19</v>
      </c>
      <c r="I741" s="4" t="s">
        <v>616</v>
      </c>
      <c r="J741" s="4" t="s">
        <v>20</v>
      </c>
      <c r="K741" s="4" t="s">
        <v>21</v>
      </c>
      <c r="L741" s="4" t="s">
        <v>38</v>
      </c>
      <c r="M741" s="4" t="s">
        <v>46</v>
      </c>
      <c r="N741" s="4" t="s">
        <v>53</v>
      </c>
      <c r="O741">
        <v>750000</v>
      </c>
      <c r="P741">
        <v>3</v>
      </c>
      <c r="Q741">
        <v>0</v>
      </c>
      <c r="R741">
        <v>2250000</v>
      </c>
      <c r="S741">
        <v>0</v>
      </c>
      <c r="T741">
        <v>2250000</v>
      </c>
    </row>
    <row r="742" spans="1:20" x14ac:dyDescent="0.25">
      <c r="A742">
        <v>741</v>
      </c>
      <c r="B742" s="5">
        <v>45668</v>
      </c>
      <c r="C742">
        <v>34</v>
      </c>
      <c r="D742">
        <v>1</v>
      </c>
      <c r="E742">
        <v>170</v>
      </c>
      <c r="F742" s="4" t="s">
        <v>531</v>
      </c>
      <c r="G742" s="4" t="s">
        <v>532</v>
      </c>
      <c r="H742" s="4" t="s">
        <v>19</v>
      </c>
      <c r="I742" s="4" t="s">
        <v>631</v>
      </c>
      <c r="J742" s="4" t="s">
        <v>52</v>
      </c>
      <c r="K742" s="4" t="s">
        <v>28</v>
      </c>
      <c r="L742" s="4" t="s">
        <v>29</v>
      </c>
      <c r="M742" s="4" t="s">
        <v>39</v>
      </c>
      <c r="N742" s="4" t="s">
        <v>24</v>
      </c>
      <c r="O742">
        <v>35000</v>
      </c>
      <c r="P742">
        <v>3</v>
      </c>
      <c r="Q742">
        <v>5</v>
      </c>
      <c r="R742">
        <v>105000</v>
      </c>
      <c r="S742">
        <v>5250</v>
      </c>
      <c r="T742">
        <v>99750</v>
      </c>
    </row>
    <row r="743" spans="1:20" x14ac:dyDescent="0.25">
      <c r="A743">
        <v>742</v>
      </c>
      <c r="B743" s="5">
        <v>45669</v>
      </c>
      <c r="C743">
        <v>52</v>
      </c>
      <c r="D743">
        <v>0</v>
      </c>
      <c r="E743">
        <v>139</v>
      </c>
      <c r="F743" s="4" t="s">
        <v>413</v>
      </c>
      <c r="G743" s="4" t="s">
        <v>414</v>
      </c>
      <c r="H743" s="4" t="s">
        <v>19</v>
      </c>
      <c r="I743" s="4" t="s">
        <v>621</v>
      </c>
      <c r="J743" s="4" t="s">
        <v>27</v>
      </c>
      <c r="K743" s="4" t="s">
        <v>28</v>
      </c>
      <c r="L743" s="4" t="s">
        <v>22</v>
      </c>
      <c r="M743" s="4" t="s">
        <v>102</v>
      </c>
      <c r="N743" s="4" t="s">
        <v>57</v>
      </c>
      <c r="O743">
        <v>12000</v>
      </c>
      <c r="P743">
        <v>2</v>
      </c>
      <c r="Q743">
        <v>0</v>
      </c>
      <c r="R743">
        <v>24000</v>
      </c>
      <c r="S743">
        <v>0</v>
      </c>
      <c r="T743">
        <v>24000</v>
      </c>
    </row>
    <row r="744" spans="1:20" x14ac:dyDescent="0.25">
      <c r="A744">
        <v>743</v>
      </c>
      <c r="B744" s="5">
        <v>45670</v>
      </c>
      <c r="C744">
        <v>42</v>
      </c>
      <c r="D744">
        <v>4</v>
      </c>
      <c r="E744">
        <v>171</v>
      </c>
      <c r="F744" s="4" t="s">
        <v>325</v>
      </c>
      <c r="G744" s="4" t="s">
        <v>326</v>
      </c>
      <c r="H744" s="4" t="s">
        <v>19</v>
      </c>
      <c r="I744" s="4" t="s">
        <v>616</v>
      </c>
      <c r="J744" s="4" t="s">
        <v>27</v>
      </c>
      <c r="K744" s="4" t="s">
        <v>28</v>
      </c>
      <c r="L744" s="4" t="s">
        <v>22</v>
      </c>
      <c r="M744" s="4" t="s">
        <v>39</v>
      </c>
      <c r="N744" s="4" t="s">
        <v>24</v>
      </c>
      <c r="O744">
        <v>35000</v>
      </c>
      <c r="P744">
        <v>2</v>
      </c>
      <c r="Q744">
        <v>1</v>
      </c>
      <c r="R744">
        <v>70000</v>
      </c>
      <c r="S744">
        <v>700</v>
      </c>
      <c r="T744">
        <v>69300</v>
      </c>
    </row>
    <row r="745" spans="1:20" x14ac:dyDescent="0.25">
      <c r="A745">
        <v>744</v>
      </c>
      <c r="B745" s="5">
        <v>45671</v>
      </c>
      <c r="C745">
        <v>41</v>
      </c>
      <c r="D745">
        <v>4</v>
      </c>
      <c r="E745">
        <v>243</v>
      </c>
      <c r="F745" s="4" t="s">
        <v>327</v>
      </c>
      <c r="G745" s="4" t="s">
        <v>328</v>
      </c>
      <c r="H745" s="4" t="s">
        <v>42</v>
      </c>
      <c r="I745" s="4" t="s">
        <v>620</v>
      </c>
      <c r="J745" s="4" t="s">
        <v>43</v>
      </c>
      <c r="K745" s="4" t="s">
        <v>43</v>
      </c>
      <c r="L745" s="4" t="s">
        <v>29</v>
      </c>
      <c r="M745" s="4" t="s">
        <v>98</v>
      </c>
      <c r="N745" s="4" t="s">
        <v>151</v>
      </c>
      <c r="O745">
        <v>55000</v>
      </c>
      <c r="P745">
        <v>2</v>
      </c>
      <c r="Q745">
        <v>1</v>
      </c>
      <c r="R745">
        <v>110000</v>
      </c>
      <c r="S745">
        <v>1100</v>
      </c>
      <c r="T745">
        <v>108900</v>
      </c>
    </row>
    <row r="746" spans="1:20" x14ac:dyDescent="0.25">
      <c r="A746">
        <v>745</v>
      </c>
      <c r="B746" s="5">
        <v>45672</v>
      </c>
      <c r="C746">
        <v>27</v>
      </c>
      <c r="D746">
        <v>4</v>
      </c>
      <c r="E746">
        <v>131</v>
      </c>
      <c r="F746" s="4" t="s">
        <v>385</v>
      </c>
      <c r="G746" s="4" t="s">
        <v>386</v>
      </c>
      <c r="H746" s="4" t="s">
        <v>19</v>
      </c>
      <c r="I746" s="4" t="s">
        <v>652</v>
      </c>
      <c r="J746" s="4" t="s">
        <v>116</v>
      </c>
      <c r="K746" s="4" t="s">
        <v>37</v>
      </c>
      <c r="L746" s="4" t="s">
        <v>38</v>
      </c>
      <c r="M746" s="4" t="s">
        <v>62</v>
      </c>
      <c r="N746" s="4" t="s">
        <v>31</v>
      </c>
      <c r="O746">
        <v>650000</v>
      </c>
      <c r="P746">
        <v>3</v>
      </c>
      <c r="Q746">
        <v>0</v>
      </c>
      <c r="R746">
        <v>1950000</v>
      </c>
      <c r="S746">
        <v>0</v>
      </c>
      <c r="T746">
        <v>1950000</v>
      </c>
    </row>
    <row r="747" spans="1:20" x14ac:dyDescent="0.25">
      <c r="A747">
        <v>746</v>
      </c>
      <c r="B747" s="5">
        <v>45673</v>
      </c>
      <c r="C747">
        <v>36</v>
      </c>
      <c r="D747">
        <v>4</v>
      </c>
      <c r="E747">
        <v>54</v>
      </c>
      <c r="F747" s="4" t="s">
        <v>457</v>
      </c>
      <c r="G747" s="4" t="s">
        <v>458</v>
      </c>
      <c r="H747" s="4" t="s">
        <v>42</v>
      </c>
      <c r="I747" s="4" t="s">
        <v>617</v>
      </c>
      <c r="J747" s="4" t="s">
        <v>101</v>
      </c>
      <c r="K747" s="4" t="s">
        <v>109</v>
      </c>
      <c r="L747" s="4" t="s">
        <v>38</v>
      </c>
      <c r="M747" s="4" t="s">
        <v>69</v>
      </c>
      <c r="N747" s="4" t="s">
        <v>53</v>
      </c>
      <c r="O747">
        <v>450000</v>
      </c>
      <c r="P747">
        <v>1</v>
      </c>
      <c r="Q747">
        <v>5</v>
      </c>
      <c r="R747">
        <v>450000</v>
      </c>
      <c r="S747">
        <v>22500</v>
      </c>
      <c r="T747">
        <v>427500</v>
      </c>
    </row>
    <row r="748" spans="1:20" x14ac:dyDescent="0.25">
      <c r="A748">
        <v>747</v>
      </c>
      <c r="B748" s="5">
        <v>45674</v>
      </c>
      <c r="C748">
        <v>68</v>
      </c>
      <c r="D748">
        <v>2</v>
      </c>
      <c r="E748">
        <v>158</v>
      </c>
      <c r="F748" s="4" t="s">
        <v>469</v>
      </c>
      <c r="G748" s="4" t="s">
        <v>470</v>
      </c>
      <c r="H748" s="4" t="s">
        <v>19</v>
      </c>
      <c r="I748" s="4" t="s">
        <v>609</v>
      </c>
      <c r="J748" s="4" t="s">
        <v>34</v>
      </c>
      <c r="K748" s="4" t="s">
        <v>272</v>
      </c>
      <c r="L748" s="4" t="s">
        <v>29</v>
      </c>
      <c r="M748" s="4" t="s">
        <v>98</v>
      </c>
      <c r="N748" s="4" t="s">
        <v>151</v>
      </c>
      <c r="O748">
        <v>55000</v>
      </c>
      <c r="P748">
        <v>1</v>
      </c>
      <c r="Q748">
        <v>0</v>
      </c>
      <c r="R748">
        <v>55000</v>
      </c>
      <c r="S748">
        <v>0</v>
      </c>
      <c r="T748">
        <v>55000</v>
      </c>
    </row>
    <row r="749" spans="1:20" x14ac:dyDescent="0.25">
      <c r="A749">
        <v>748</v>
      </c>
      <c r="B749" s="5">
        <v>45675</v>
      </c>
      <c r="C749">
        <v>52</v>
      </c>
      <c r="D749">
        <v>0</v>
      </c>
      <c r="E749">
        <v>238</v>
      </c>
      <c r="F749" s="4" t="s">
        <v>129</v>
      </c>
      <c r="G749" s="4" t="s">
        <v>130</v>
      </c>
      <c r="H749" s="4" t="s">
        <v>19</v>
      </c>
      <c r="I749" s="4" t="s">
        <v>625</v>
      </c>
      <c r="J749" s="4" t="s">
        <v>27</v>
      </c>
      <c r="K749" s="4" t="s">
        <v>28</v>
      </c>
      <c r="L749" s="4" t="s">
        <v>29</v>
      </c>
      <c r="M749" s="4" t="s">
        <v>39</v>
      </c>
      <c r="N749" s="4" t="s">
        <v>24</v>
      </c>
      <c r="O749">
        <v>35000</v>
      </c>
      <c r="P749">
        <v>2</v>
      </c>
      <c r="Q749">
        <v>0</v>
      </c>
      <c r="R749">
        <v>70000</v>
      </c>
      <c r="S749">
        <v>0</v>
      </c>
      <c r="T749">
        <v>70000</v>
      </c>
    </row>
    <row r="750" spans="1:20" x14ac:dyDescent="0.25">
      <c r="A750">
        <v>749</v>
      </c>
      <c r="B750" s="5">
        <v>45676</v>
      </c>
      <c r="C750">
        <v>12</v>
      </c>
      <c r="D750">
        <v>0</v>
      </c>
      <c r="E750">
        <v>47</v>
      </c>
      <c r="F750" s="4" t="s">
        <v>441</v>
      </c>
      <c r="G750" s="4" t="s">
        <v>442</v>
      </c>
      <c r="H750" s="4" t="s">
        <v>19</v>
      </c>
      <c r="I750" s="4" t="s">
        <v>639</v>
      </c>
      <c r="J750" s="4" t="s">
        <v>116</v>
      </c>
      <c r="K750" s="4" t="s">
        <v>37</v>
      </c>
      <c r="L750" s="4" t="s">
        <v>38</v>
      </c>
      <c r="M750" s="4" t="s">
        <v>23</v>
      </c>
      <c r="N750" s="4" t="s">
        <v>24</v>
      </c>
      <c r="O750">
        <v>15000</v>
      </c>
      <c r="P750">
        <v>1</v>
      </c>
      <c r="Q750">
        <v>0</v>
      </c>
      <c r="R750">
        <v>15000</v>
      </c>
      <c r="S750">
        <v>0</v>
      </c>
      <c r="T750">
        <v>15000</v>
      </c>
    </row>
    <row r="751" spans="1:20" x14ac:dyDescent="0.25">
      <c r="A751">
        <v>750</v>
      </c>
      <c r="B751" s="5">
        <v>45677</v>
      </c>
      <c r="C751">
        <v>66</v>
      </c>
      <c r="D751">
        <v>2</v>
      </c>
      <c r="E751">
        <v>192</v>
      </c>
      <c r="F751" s="4" t="s">
        <v>411</v>
      </c>
      <c r="G751" s="4" t="s">
        <v>412</v>
      </c>
      <c r="H751" s="4" t="s">
        <v>42</v>
      </c>
      <c r="I751" s="4"/>
      <c r="J751" s="4" t="s">
        <v>27</v>
      </c>
      <c r="K751" s="4" t="s">
        <v>28</v>
      </c>
      <c r="L751" s="4" t="s">
        <v>22</v>
      </c>
      <c r="M751" s="4" t="s">
        <v>98</v>
      </c>
      <c r="N751" s="4" t="s">
        <v>151</v>
      </c>
      <c r="O751">
        <v>55000</v>
      </c>
      <c r="P751">
        <v>2</v>
      </c>
      <c r="Q751">
        <v>1</v>
      </c>
      <c r="R751">
        <v>110000</v>
      </c>
      <c r="S751">
        <v>1100</v>
      </c>
      <c r="T751">
        <v>108900</v>
      </c>
    </row>
    <row r="752" spans="1:20" x14ac:dyDescent="0.25">
      <c r="A752">
        <v>751</v>
      </c>
      <c r="B752" s="5">
        <v>45678</v>
      </c>
      <c r="C752">
        <v>19</v>
      </c>
      <c r="D752">
        <v>5</v>
      </c>
      <c r="E752">
        <v>24</v>
      </c>
      <c r="F752" s="4" t="s">
        <v>579</v>
      </c>
      <c r="G752" s="4" t="s">
        <v>580</v>
      </c>
      <c r="H752" s="4" t="s">
        <v>42</v>
      </c>
      <c r="I752" s="4" t="s">
        <v>642</v>
      </c>
      <c r="J752" s="4" t="s">
        <v>20</v>
      </c>
      <c r="K752" s="4" t="s">
        <v>21</v>
      </c>
      <c r="L752" s="4" t="s">
        <v>38</v>
      </c>
      <c r="M752" s="4" t="s">
        <v>56</v>
      </c>
      <c r="N752" s="4" t="s">
        <v>57</v>
      </c>
      <c r="O752">
        <v>25000</v>
      </c>
      <c r="P752">
        <v>3</v>
      </c>
      <c r="Q752">
        <v>5</v>
      </c>
      <c r="R752">
        <v>75000</v>
      </c>
      <c r="S752">
        <v>3750</v>
      </c>
      <c r="T752">
        <v>71250</v>
      </c>
    </row>
    <row r="753" spans="1:20" x14ac:dyDescent="0.25">
      <c r="A753">
        <v>752</v>
      </c>
      <c r="B753" s="5">
        <v>45679</v>
      </c>
      <c r="C753">
        <v>60</v>
      </c>
      <c r="D753">
        <v>1</v>
      </c>
      <c r="E753">
        <v>142</v>
      </c>
      <c r="F753" s="4" t="s">
        <v>277</v>
      </c>
      <c r="G753" s="4" t="s">
        <v>278</v>
      </c>
      <c r="H753" s="4" t="s">
        <v>19</v>
      </c>
      <c r="I753" s="4" t="s">
        <v>650</v>
      </c>
      <c r="J753" s="4" t="s">
        <v>37</v>
      </c>
      <c r="K753" s="4" t="s">
        <v>37</v>
      </c>
      <c r="L753" s="4" t="s">
        <v>22</v>
      </c>
      <c r="M753" s="4" t="s">
        <v>102</v>
      </c>
      <c r="N753" s="4" t="s">
        <v>57</v>
      </c>
      <c r="O753">
        <v>12000</v>
      </c>
      <c r="P753">
        <v>1</v>
      </c>
      <c r="Q753">
        <v>1</v>
      </c>
      <c r="R753">
        <v>12000</v>
      </c>
      <c r="S753">
        <v>120</v>
      </c>
      <c r="T753">
        <v>11880</v>
      </c>
    </row>
    <row r="754" spans="1:20" x14ac:dyDescent="0.25">
      <c r="A754">
        <v>753</v>
      </c>
      <c r="B754" s="5">
        <v>45680</v>
      </c>
      <c r="C754">
        <v>65</v>
      </c>
      <c r="D754">
        <v>0</v>
      </c>
      <c r="E754">
        <v>157</v>
      </c>
      <c r="F754" s="4" t="s">
        <v>289</v>
      </c>
      <c r="G754" s="4" t="s">
        <v>290</v>
      </c>
      <c r="H754" s="4" t="s">
        <v>42</v>
      </c>
      <c r="I754" s="4" t="s">
        <v>651</v>
      </c>
      <c r="J754" s="4" t="s">
        <v>101</v>
      </c>
      <c r="K754" s="4" t="s">
        <v>109</v>
      </c>
      <c r="L754" s="4" t="s">
        <v>38</v>
      </c>
      <c r="M754" s="4" t="s">
        <v>46</v>
      </c>
      <c r="N754" s="4" t="s">
        <v>53</v>
      </c>
      <c r="O754">
        <v>750000</v>
      </c>
      <c r="P754">
        <v>3</v>
      </c>
      <c r="Q754">
        <v>1</v>
      </c>
      <c r="R754">
        <v>2250000</v>
      </c>
      <c r="S754">
        <v>22500</v>
      </c>
      <c r="T754">
        <v>2227500</v>
      </c>
    </row>
    <row r="755" spans="1:20" x14ac:dyDescent="0.25">
      <c r="A755">
        <v>754</v>
      </c>
      <c r="B755" s="5">
        <v>45681</v>
      </c>
      <c r="C755">
        <v>47</v>
      </c>
      <c r="D755">
        <v>1</v>
      </c>
      <c r="E755">
        <v>184</v>
      </c>
      <c r="F755" s="4" t="s">
        <v>164</v>
      </c>
      <c r="G755" s="4" t="s">
        <v>165</v>
      </c>
      <c r="H755" s="4" t="s">
        <v>19</v>
      </c>
      <c r="I755" s="4" t="s">
        <v>609</v>
      </c>
      <c r="J755" s="4" t="s">
        <v>116</v>
      </c>
      <c r="K755" s="4" t="s">
        <v>37</v>
      </c>
      <c r="L755" s="4" t="s">
        <v>29</v>
      </c>
      <c r="M755" s="4" t="s">
        <v>49</v>
      </c>
      <c r="N755" s="4" t="s">
        <v>31</v>
      </c>
      <c r="O755">
        <v>800000</v>
      </c>
      <c r="P755">
        <v>3</v>
      </c>
      <c r="Q755">
        <v>5</v>
      </c>
      <c r="R755">
        <v>2400000</v>
      </c>
      <c r="S755">
        <v>120000</v>
      </c>
      <c r="T755">
        <v>2280000</v>
      </c>
    </row>
    <row r="756" spans="1:20" x14ac:dyDescent="0.25">
      <c r="A756">
        <v>755</v>
      </c>
      <c r="B756" s="5">
        <v>45682</v>
      </c>
      <c r="C756">
        <v>31</v>
      </c>
      <c r="D756">
        <v>4</v>
      </c>
      <c r="E756">
        <v>78</v>
      </c>
      <c r="F756" s="4" t="s">
        <v>581</v>
      </c>
      <c r="G756" s="4" t="s">
        <v>582</v>
      </c>
      <c r="H756" s="4" t="s">
        <v>19</v>
      </c>
      <c r="I756" s="4" t="s">
        <v>611</v>
      </c>
      <c r="J756" s="4" t="s">
        <v>101</v>
      </c>
      <c r="K756" s="4" t="s">
        <v>109</v>
      </c>
      <c r="L756" s="4" t="s">
        <v>22</v>
      </c>
      <c r="M756" s="4" t="s">
        <v>30</v>
      </c>
      <c r="N756" s="4" t="s">
        <v>31</v>
      </c>
      <c r="O756">
        <v>700000</v>
      </c>
      <c r="P756">
        <v>3</v>
      </c>
      <c r="Q756">
        <v>0</v>
      </c>
      <c r="R756">
        <v>2100000</v>
      </c>
      <c r="S756">
        <v>0</v>
      </c>
      <c r="T756">
        <v>2100000</v>
      </c>
    </row>
    <row r="757" spans="1:20" x14ac:dyDescent="0.25">
      <c r="A757">
        <v>756</v>
      </c>
      <c r="B757" s="5">
        <v>45683</v>
      </c>
      <c r="C757">
        <v>48</v>
      </c>
      <c r="D757">
        <v>6</v>
      </c>
      <c r="E757">
        <v>270</v>
      </c>
      <c r="F757" s="4" t="s">
        <v>467</v>
      </c>
      <c r="G757" s="4" t="s">
        <v>468</v>
      </c>
      <c r="H757" s="4" t="s">
        <v>19</v>
      </c>
      <c r="I757" s="4" t="s">
        <v>622</v>
      </c>
      <c r="J757" s="4" t="s">
        <v>37</v>
      </c>
      <c r="K757" s="4" t="s">
        <v>37</v>
      </c>
      <c r="L757" s="4" t="s">
        <v>22</v>
      </c>
      <c r="M757" s="4" t="s">
        <v>49</v>
      </c>
      <c r="N757" s="4" t="s">
        <v>31</v>
      </c>
      <c r="O757">
        <v>800000</v>
      </c>
      <c r="P757">
        <v>2</v>
      </c>
      <c r="Q757">
        <v>0</v>
      </c>
      <c r="R757">
        <v>1600000</v>
      </c>
      <c r="S757">
        <v>0</v>
      </c>
      <c r="T757">
        <v>1600000</v>
      </c>
    </row>
    <row r="758" spans="1:20" x14ac:dyDescent="0.25">
      <c r="A758">
        <v>757</v>
      </c>
      <c r="B758" s="5">
        <v>45684</v>
      </c>
      <c r="C758">
        <v>10</v>
      </c>
      <c r="D758">
        <v>7</v>
      </c>
      <c r="E758">
        <v>158</v>
      </c>
      <c r="F758" s="4" t="s">
        <v>469</v>
      </c>
      <c r="G758" s="4" t="s">
        <v>470</v>
      </c>
      <c r="H758" s="4" t="s">
        <v>19</v>
      </c>
      <c r="I758" s="4" t="s">
        <v>609</v>
      </c>
      <c r="J758" s="4" t="s">
        <v>37</v>
      </c>
      <c r="K758" s="4" t="s">
        <v>37</v>
      </c>
      <c r="L758" s="4" t="s">
        <v>38</v>
      </c>
      <c r="M758" s="4" t="s">
        <v>49</v>
      </c>
      <c r="N758" s="4" t="s">
        <v>31</v>
      </c>
      <c r="O758">
        <v>800000</v>
      </c>
      <c r="P758">
        <v>2</v>
      </c>
      <c r="Q758">
        <v>1</v>
      </c>
      <c r="R758">
        <v>1600000</v>
      </c>
      <c r="S758">
        <v>16000</v>
      </c>
      <c r="T758">
        <v>1584000</v>
      </c>
    </row>
    <row r="759" spans="1:20" x14ac:dyDescent="0.25">
      <c r="A759">
        <v>758</v>
      </c>
      <c r="B759" s="5">
        <v>45685</v>
      </c>
      <c r="C759">
        <v>7</v>
      </c>
      <c r="D759">
        <v>8</v>
      </c>
      <c r="E759">
        <v>233</v>
      </c>
      <c r="F759" s="4" t="s">
        <v>569</v>
      </c>
      <c r="G759" s="4" t="s">
        <v>570</v>
      </c>
      <c r="H759" s="4" t="s">
        <v>42</v>
      </c>
      <c r="I759" s="4" t="s">
        <v>610</v>
      </c>
      <c r="J759" s="4" t="s">
        <v>37</v>
      </c>
      <c r="K759" s="4" t="s">
        <v>37</v>
      </c>
      <c r="L759" s="4" t="s">
        <v>22</v>
      </c>
      <c r="M759" s="4" t="s">
        <v>69</v>
      </c>
      <c r="N759" s="4" t="s">
        <v>53</v>
      </c>
      <c r="O759">
        <v>450000</v>
      </c>
      <c r="P759">
        <v>1</v>
      </c>
      <c r="Q759">
        <v>5</v>
      </c>
      <c r="R759">
        <v>450000</v>
      </c>
      <c r="S759">
        <v>22500</v>
      </c>
      <c r="T759">
        <v>427500</v>
      </c>
    </row>
    <row r="760" spans="1:20" x14ac:dyDescent="0.25">
      <c r="A760">
        <v>759</v>
      </c>
      <c r="B760" s="5">
        <v>45686</v>
      </c>
      <c r="C760">
        <v>39</v>
      </c>
      <c r="D760">
        <v>6</v>
      </c>
      <c r="E760">
        <v>156</v>
      </c>
      <c r="F760" s="4" t="s">
        <v>583</v>
      </c>
      <c r="G760" s="4" t="s">
        <v>584</v>
      </c>
      <c r="H760" s="4" t="s">
        <v>42</v>
      </c>
      <c r="I760" s="4" t="s">
        <v>614</v>
      </c>
      <c r="J760" s="4" t="s">
        <v>43</v>
      </c>
      <c r="K760" s="4" t="s">
        <v>43</v>
      </c>
      <c r="L760" s="4" t="s">
        <v>38</v>
      </c>
      <c r="M760" s="4" t="s">
        <v>46</v>
      </c>
      <c r="N760" s="4" t="s">
        <v>53</v>
      </c>
      <c r="O760">
        <v>750000</v>
      </c>
      <c r="P760">
        <v>3</v>
      </c>
      <c r="Q760">
        <v>0</v>
      </c>
      <c r="R760">
        <v>2250000</v>
      </c>
      <c r="S760">
        <v>0</v>
      </c>
      <c r="T760">
        <v>2250000</v>
      </c>
    </row>
    <row r="761" spans="1:20" x14ac:dyDescent="0.25">
      <c r="A761">
        <v>760</v>
      </c>
      <c r="B761" s="5">
        <v>45687</v>
      </c>
      <c r="C761">
        <v>10</v>
      </c>
      <c r="D761">
        <v>7</v>
      </c>
      <c r="E761">
        <v>121</v>
      </c>
      <c r="F761" s="4" t="s">
        <v>194</v>
      </c>
      <c r="G761" s="4" t="s">
        <v>195</v>
      </c>
      <c r="H761" s="4" t="s">
        <v>19</v>
      </c>
      <c r="I761" s="4" t="s">
        <v>621</v>
      </c>
      <c r="J761" s="4" t="s">
        <v>37</v>
      </c>
      <c r="K761" s="4" t="s">
        <v>37</v>
      </c>
      <c r="L761" s="4" t="s">
        <v>38</v>
      </c>
      <c r="M761" s="4" t="s">
        <v>62</v>
      </c>
      <c r="N761" s="4" t="s">
        <v>31</v>
      </c>
      <c r="O761">
        <v>650000</v>
      </c>
      <c r="P761">
        <v>2</v>
      </c>
      <c r="Q761">
        <v>5</v>
      </c>
      <c r="R761">
        <v>1300000</v>
      </c>
      <c r="S761">
        <v>65000</v>
      </c>
      <c r="T761">
        <v>1235000</v>
      </c>
    </row>
    <row r="762" spans="1:20" x14ac:dyDescent="0.25">
      <c r="A762">
        <v>761</v>
      </c>
      <c r="B762" s="5">
        <v>45688</v>
      </c>
      <c r="C762">
        <v>16</v>
      </c>
      <c r="D762">
        <v>3</v>
      </c>
      <c r="E762">
        <v>155</v>
      </c>
      <c r="F762" s="4" t="s">
        <v>379</v>
      </c>
      <c r="G762" s="4" t="s">
        <v>380</v>
      </c>
      <c r="H762" s="4" t="s">
        <v>42</v>
      </c>
      <c r="I762" s="4" t="s">
        <v>623</v>
      </c>
      <c r="J762" s="4" t="s">
        <v>20</v>
      </c>
      <c r="K762" s="4" t="s">
        <v>21</v>
      </c>
      <c r="L762" s="4" t="s">
        <v>38</v>
      </c>
      <c r="M762" s="4" t="s">
        <v>23</v>
      </c>
      <c r="N762" s="4" t="s">
        <v>24</v>
      </c>
      <c r="O762">
        <v>15000</v>
      </c>
      <c r="P762">
        <v>3</v>
      </c>
      <c r="Q762">
        <v>0</v>
      </c>
      <c r="R762">
        <v>45000</v>
      </c>
      <c r="S762">
        <v>0</v>
      </c>
      <c r="T762">
        <v>45000</v>
      </c>
    </row>
    <row r="763" spans="1:20" x14ac:dyDescent="0.25">
      <c r="A763">
        <v>762</v>
      </c>
      <c r="B763" s="5">
        <v>45689</v>
      </c>
      <c r="C763">
        <v>55</v>
      </c>
      <c r="D763">
        <v>9</v>
      </c>
      <c r="E763">
        <v>183</v>
      </c>
      <c r="F763" s="4" t="s">
        <v>567</v>
      </c>
      <c r="G763" s="4" t="s">
        <v>568</v>
      </c>
      <c r="H763" s="4" t="s">
        <v>42</v>
      </c>
      <c r="I763" s="4" t="s">
        <v>615</v>
      </c>
      <c r="J763" s="4" t="s">
        <v>43</v>
      </c>
      <c r="K763" s="4" t="s">
        <v>43</v>
      </c>
      <c r="L763" s="4" t="s">
        <v>38</v>
      </c>
      <c r="M763" s="4" t="s">
        <v>69</v>
      </c>
      <c r="N763" s="4" t="s">
        <v>53</v>
      </c>
      <c r="O763">
        <v>450000</v>
      </c>
      <c r="P763">
        <v>3</v>
      </c>
      <c r="Q763">
        <v>0</v>
      </c>
      <c r="R763">
        <v>1350000</v>
      </c>
      <c r="S763">
        <v>0</v>
      </c>
      <c r="T763">
        <v>1350000</v>
      </c>
    </row>
    <row r="764" spans="1:20" x14ac:dyDescent="0.25">
      <c r="A764">
        <v>763</v>
      </c>
      <c r="B764" s="5">
        <v>45690</v>
      </c>
      <c r="C764">
        <v>55</v>
      </c>
      <c r="D764">
        <v>9</v>
      </c>
      <c r="E764">
        <v>93</v>
      </c>
      <c r="F764" s="4" t="s">
        <v>321</v>
      </c>
      <c r="G764" s="4" t="s">
        <v>322</v>
      </c>
      <c r="H764" s="4" t="s">
        <v>42</v>
      </c>
      <c r="I764" s="4" t="s">
        <v>614</v>
      </c>
      <c r="J764" s="4" t="s">
        <v>43</v>
      </c>
      <c r="K764" s="4" t="s">
        <v>43</v>
      </c>
      <c r="L764" s="4" t="s">
        <v>38</v>
      </c>
      <c r="M764" s="4" t="s">
        <v>69</v>
      </c>
      <c r="N764" s="4" t="s">
        <v>53</v>
      </c>
      <c r="O764">
        <v>450000</v>
      </c>
      <c r="P764">
        <v>3</v>
      </c>
      <c r="Q764">
        <v>5</v>
      </c>
      <c r="R764">
        <v>1350000</v>
      </c>
      <c r="S764">
        <v>67500</v>
      </c>
      <c r="T764">
        <v>1282500</v>
      </c>
    </row>
    <row r="765" spans="1:20" x14ac:dyDescent="0.25">
      <c r="A765">
        <v>764</v>
      </c>
      <c r="B765" s="5">
        <v>45691</v>
      </c>
      <c r="C765">
        <v>37</v>
      </c>
      <c r="D765">
        <v>1</v>
      </c>
      <c r="E765">
        <v>264</v>
      </c>
      <c r="F765" s="4" t="s">
        <v>419</v>
      </c>
      <c r="G765" s="4" t="s">
        <v>420</v>
      </c>
      <c r="H765" s="4" t="s">
        <v>42</v>
      </c>
      <c r="I765" s="4" t="s">
        <v>615</v>
      </c>
      <c r="J765" s="4" t="s">
        <v>116</v>
      </c>
      <c r="K765" s="4" t="s">
        <v>37</v>
      </c>
      <c r="L765" s="4" t="s">
        <v>22</v>
      </c>
      <c r="M765" s="4" t="s">
        <v>49</v>
      </c>
      <c r="N765" s="4" t="s">
        <v>31</v>
      </c>
      <c r="O765">
        <v>800000</v>
      </c>
      <c r="P765">
        <v>3</v>
      </c>
      <c r="Q765">
        <v>1</v>
      </c>
      <c r="R765">
        <v>2400000</v>
      </c>
      <c r="S765">
        <v>24000</v>
      </c>
      <c r="T765">
        <v>2376000</v>
      </c>
    </row>
    <row r="766" spans="1:20" x14ac:dyDescent="0.25">
      <c r="A766">
        <v>765</v>
      </c>
      <c r="B766" s="5">
        <v>45692</v>
      </c>
      <c r="C766">
        <v>19</v>
      </c>
      <c r="D766">
        <v>5</v>
      </c>
      <c r="E766">
        <v>219</v>
      </c>
      <c r="F766" s="4" t="s">
        <v>305</v>
      </c>
      <c r="G766" s="4" t="s">
        <v>306</v>
      </c>
      <c r="H766" s="4" t="s">
        <v>42</v>
      </c>
      <c r="I766" s="4" t="s">
        <v>639</v>
      </c>
      <c r="J766" s="4" t="s">
        <v>20</v>
      </c>
      <c r="K766" s="4" t="s">
        <v>21</v>
      </c>
      <c r="L766" s="4" t="s">
        <v>29</v>
      </c>
      <c r="M766" s="4" t="s">
        <v>98</v>
      </c>
      <c r="N766" s="4" t="s">
        <v>151</v>
      </c>
      <c r="O766">
        <v>55000</v>
      </c>
      <c r="P766">
        <v>2</v>
      </c>
      <c r="Q766">
        <v>0</v>
      </c>
      <c r="R766">
        <v>110000</v>
      </c>
      <c r="S766">
        <v>0</v>
      </c>
      <c r="T766">
        <v>110000</v>
      </c>
    </row>
    <row r="767" spans="1:20" x14ac:dyDescent="0.25">
      <c r="A767">
        <v>766</v>
      </c>
      <c r="B767" s="5">
        <v>45693</v>
      </c>
      <c r="C767">
        <v>51</v>
      </c>
      <c r="D767">
        <v>7</v>
      </c>
      <c r="E767">
        <v>164</v>
      </c>
      <c r="F767" s="4" t="s">
        <v>369</v>
      </c>
      <c r="G767" s="4" t="s">
        <v>370</v>
      </c>
      <c r="H767" s="4" t="s">
        <v>42</v>
      </c>
      <c r="I767" s="4" t="s">
        <v>631</v>
      </c>
      <c r="J767" s="4" t="s">
        <v>101</v>
      </c>
      <c r="K767" s="4" t="s">
        <v>109</v>
      </c>
      <c r="L767" s="4" t="s">
        <v>22</v>
      </c>
      <c r="M767" s="4" t="s">
        <v>56</v>
      </c>
      <c r="N767" s="4" t="s">
        <v>57</v>
      </c>
      <c r="O767">
        <v>25000</v>
      </c>
      <c r="P767">
        <v>2</v>
      </c>
      <c r="Q767">
        <v>0</v>
      </c>
      <c r="R767">
        <v>50000</v>
      </c>
      <c r="S767">
        <v>0</v>
      </c>
      <c r="T767">
        <v>50000</v>
      </c>
    </row>
    <row r="768" spans="1:20" x14ac:dyDescent="0.25">
      <c r="A768">
        <v>767</v>
      </c>
      <c r="B768" s="5">
        <v>45694</v>
      </c>
      <c r="C768">
        <v>56</v>
      </c>
      <c r="D768">
        <v>2</v>
      </c>
      <c r="E768">
        <v>160</v>
      </c>
      <c r="F768" s="4" t="s">
        <v>47</v>
      </c>
      <c r="G768" s="4" t="s">
        <v>48</v>
      </c>
      <c r="H768" s="4" t="s">
        <v>42</v>
      </c>
      <c r="I768" s="4" t="s">
        <v>617</v>
      </c>
      <c r="J768" s="4" t="s">
        <v>27</v>
      </c>
      <c r="K768" s="4" t="s">
        <v>28</v>
      </c>
      <c r="L768" s="4" t="s">
        <v>38</v>
      </c>
      <c r="M768" s="4" t="s">
        <v>62</v>
      </c>
      <c r="N768" s="4" t="s">
        <v>31</v>
      </c>
      <c r="O768">
        <v>650000</v>
      </c>
      <c r="P768">
        <v>3</v>
      </c>
      <c r="Q768">
        <v>0</v>
      </c>
      <c r="R768">
        <v>1950000</v>
      </c>
      <c r="S768">
        <v>0</v>
      </c>
      <c r="T768">
        <v>1950000</v>
      </c>
    </row>
    <row r="769" spans="1:20" x14ac:dyDescent="0.25">
      <c r="A769">
        <v>768</v>
      </c>
      <c r="B769" s="5">
        <v>45695</v>
      </c>
      <c r="C769">
        <v>13</v>
      </c>
      <c r="D769">
        <v>0</v>
      </c>
      <c r="E769">
        <v>92</v>
      </c>
      <c r="F769" s="4" t="s">
        <v>337</v>
      </c>
      <c r="G769" s="4" t="s">
        <v>338</v>
      </c>
      <c r="H769" s="4" t="s">
        <v>42</v>
      </c>
      <c r="I769" s="4" t="s">
        <v>637</v>
      </c>
      <c r="J769" s="4" t="s">
        <v>27</v>
      </c>
      <c r="K769" s="4" t="s">
        <v>28</v>
      </c>
      <c r="L769" s="4" t="s">
        <v>22</v>
      </c>
      <c r="M769" s="4" t="s">
        <v>56</v>
      </c>
      <c r="N769" s="4" t="s">
        <v>57</v>
      </c>
      <c r="O769">
        <v>25000</v>
      </c>
      <c r="P769">
        <v>3</v>
      </c>
      <c r="Q769">
        <v>0</v>
      </c>
      <c r="R769">
        <v>75000</v>
      </c>
      <c r="S769">
        <v>0</v>
      </c>
      <c r="T769">
        <v>75000</v>
      </c>
    </row>
    <row r="770" spans="1:20" x14ac:dyDescent="0.25">
      <c r="A770">
        <v>769</v>
      </c>
      <c r="B770" s="5">
        <v>45696</v>
      </c>
      <c r="C770">
        <v>50</v>
      </c>
      <c r="D770">
        <v>0</v>
      </c>
      <c r="E770">
        <v>221</v>
      </c>
      <c r="F770" s="4" t="s">
        <v>145</v>
      </c>
      <c r="G770" s="4" t="s">
        <v>146</v>
      </c>
      <c r="H770" s="4" t="s">
        <v>42</v>
      </c>
      <c r="I770" s="4" t="s">
        <v>647</v>
      </c>
      <c r="J770" s="4" t="s">
        <v>20</v>
      </c>
      <c r="K770" s="4" t="s">
        <v>21</v>
      </c>
      <c r="L770" s="4" t="s">
        <v>22</v>
      </c>
      <c r="M770" s="4" t="s">
        <v>102</v>
      </c>
      <c r="N770" s="4" t="s">
        <v>57</v>
      </c>
      <c r="O770">
        <v>12000</v>
      </c>
      <c r="P770">
        <v>1</v>
      </c>
      <c r="Q770">
        <v>0</v>
      </c>
      <c r="R770">
        <v>12000</v>
      </c>
      <c r="S770">
        <v>0</v>
      </c>
      <c r="T770">
        <v>12000</v>
      </c>
    </row>
    <row r="771" spans="1:20" x14ac:dyDescent="0.25">
      <c r="A771">
        <v>770</v>
      </c>
      <c r="B771" s="5">
        <v>45697</v>
      </c>
      <c r="C771">
        <v>47</v>
      </c>
      <c r="D771">
        <v>1</v>
      </c>
      <c r="E771">
        <v>138</v>
      </c>
      <c r="F771" s="4" t="s">
        <v>421</v>
      </c>
      <c r="G771" s="4" t="s">
        <v>422</v>
      </c>
      <c r="H771" s="4" t="s">
        <v>42</v>
      </c>
      <c r="I771" s="4" t="s">
        <v>611</v>
      </c>
      <c r="J771" s="4" t="s">
        <v>116</v>
      </c>
      <c r="K771" s="4" t="s">
        <v>37</v>
      </c>
      <c r="L771" s="4" t="s">
        <v>38</v>
      </c>
      <c r="M771" s="4" t="s">
        <v>23</v>
      </c>
      <c r="N771" s="4" t="s">
        <v>24</v>
      </c>
      <c r="O771">
        <v>15000</v>
      </c>
      <c r="P771">
        <v>2</v>
      </c>
      <c r="Q771">
        <v>5</v>
      </c>
      <c r="R771">
        <v>30000</v>
      </c>
      <c r="S771">
        <v>1500</v>
      </c>
      <c r="T771">
        <v>28500</v>
      </c>
    </row>
    <row r="772" spans="1:20" x14ac:dyDescent="0.25">
      <c r="A772">
        <v>771</v>
      </c>
      <c r="B772" s="5">
        <v>45698</v>
      </c>
      <c r="C772">
        <v>59</v>
      </c>
      <c r="D772">
        <v>1</v>
      </c>
      <c r="E772">
        <v>84</v>
      </c>
      <c r="F772" s="4" t="s">
        <v>483</v>
      </c>
      <c r="G772" s="4" t="s">
        <v>484</v>
      </c>
      <c r="H772" s="4" t="s">
        <v>42</v>
      </c>
      <c r="I772" s="4" t="s">
        <v>630</v>
      </c>
      <c r="J772" s="4" t="s">
        <v>43</v>
      </c>
      <c r="K772" s="4" t="s">
        <v>43</v>
      </c>
      <c r="L772" s="4" t="s">
        <v>29</v>
      </c>
      <c r="M772" s="4" t="s">
        <v>46</v>
      </c>
      <c r="N772" s="4" t="s">
        <v>53</v>
      </c>
      <c r="O772">
        <v>750000</v>
      </c>
      <c r="P772">
        <v>2</v>
      </c>
      <c r="Q772">
        <v>1</v>
      </c>
      <c r="R772">
        <v>1500000</v>
      </c>
      <c r="S772">
        <v>15000</v>
      </c>
      <c r="T772">
        <v>1485000</v>
      </c>
    </row>
    <row r="773" spans="1:20" x14ac:dyDescent="0.25">
      <c r="A773">
        <v>772</v>
      </c>
      <c r="B773" s="5">
        <v>45699</v>
      </c>
      <c r="C773">
        <v>65</v>
      </c>
      <c r="D773">
        <v>0</v>
      </c>
      <c r="E773">
        <v>246</v>
      </c>
      <c r="F773" s="4" t="s">
        <v>119</v>
      </c>
      <c r="G773" s="4" t="s">
        <v>120</v>
      </c>
      <c r="H773" s="4" t="s">
        <v>19</v>
      </c>
      <c r="I773" s="4" t="s">
        <v>626</v>
      </c>
      <c r="J773" s="4" t="s">
        <v>101</v>
      </c>
      <c r="K773" s="4" t="s">
        <v>109</v>
      </c>
      <c r="L773" s="4" t="s">
        <v>22</v>
      </c>
      <c r="M773" s="4" t="s">
        <v>62</v>
      </c>
      <c r="N773" s="4" t="s">
        <v>31</v>
      </c>
      <c r="O773">
        <v>650000</v>
      </c>
      <c r="P773">
        <v>1</v>
      </c>
      <c r="Q773">
        <v>5</v>
      </c>
      <c r="R773">
        <v>650000</v>
      </c>
      <c r="S773">
        <v>32500</v>
      </c>
      <c r="T773">
        <v>617500</v>
      </c>
    </row>
    <row r="774" spans="1:20" x14ac:dyDescent="0.25">
      <c r="A774">
        <v>773</v>
      </c>
      <c r="B774" s="5">
        <v>45700</v>
      </c>
      <c r="C774">
        <v>14</v>
      </c>
      <c r="D774">
        <v>0</v>
      </c>
      <c r="E774">
        <v>79</v>
      </c>
      <c r="F774" s="4" t="s">
        <v>523</v>
      </c>
      <c r="G774" s="4" t="s">
        <v>524</v>
      </c>
      <c r="H774" s="4" t="s">
        <v>42</v>
      </c>
      <c r="I774" s="4" t="s">
        <v>622</v>
      </c>
      <c r="J774" s="4" t="s">
        <v>34</v>
      </c>
      <c r="K774" s="4" t="s">
        <v>272</v>
      </c>
      <c r="L774" s="4" t="s">
        <v>38</v>
      </c>
      <c r="M774" s="4" t="s">
        <v>23</v>
      </c>
      <c r="N774" s="4" t="s">
        <v>24</v>
      </c>
      <c r="O774">
        <v>15000</v>
      </c>
      <c r="P774">
        <v>1</v>
      </c>
      <c r="Q774">
        <v>1</v>
      </c>
      <c r="R774">
        <v>15000</v>
      </c>
      <c r="S774">
        <v>150</v>
      </c>
      <c r="T774">
        <v>14850</v>
      </c>
    </row>
    <row r="775" spans="1:20" x14ac:dyDescent="0.25">
      <c r="A775">
        <v>774</v>
      </c>
      <c r="B775" s="5">
        <v>45701</v>
      </c>
      <c r="C775">
        <v>45</v>
      </c>
      <c r="D775">
        <v>2</v>
      </c>
      <c r="E775">
        <v>238</v>
      </c>
      <c r="F775" s="4" t="s">
        <v>129</v>
      </c>
      <c r="G775" s="4" t="s">
        <v>130</v>
      </c>
      <c r="H775" s="4" t="s">
        <v>19</v>
      </c>
      <c r="I775" s="4" t="s">
        <v>625</v>
      </c>
      <c r="J775" s="4" t="s">
        <v>27</v>
      </c>
      <c r="K775" s="4" t="s">
        <v>28</v>
      </c>
      <c r="L775" s="4" t="s">
        <v>29</v>
      </c>
      <c r="M775" s="4" t="s">
        <v>69</v>
      </c>
      <c r="N775" s="4" t="s">
        <v>53</v>
      </c>
      <c r="O775">
        <v>450000</v>
      </c>
      <c r="P775">
        <v>3</v>
      </c>
      <c r="Q775">
        <v>5</v>
      </c>
      <c r="R775">
        <v>1350000</v>
      </c>
      <c r="S775">
        <v>67500</v>
      </c>
      <c r="T775">
        <v>1282500</v>
      </c>
    </row>
    <row r="776" spans="1:20" x14ac:dyDescent="0.25">
      <c r="A776">
        <v>775</v>
      </c>
      <c r="B776" s="5">
        <v>45702</v>
      </c>
      <c r="C776">
        <v>22</v>
      </c>
      <c r="D776">
        <v>1</v>
      </c>
      <c r="E776">
        <v>189</v>
      </c>
      <c r="F776" s="4" t="s">
        <v>67</v>
      </c>
      <c r="G776" s="4" t="s">
        <v>68</v>
      </c>
      <c r="H776" s="4" t="s">
        <v>42</v>
      </c>
      <c r="I776" s="4" t="s">
        <v>616</v>
      </c>
      <c r="J776" s="4" t="s">
        <v>116</v>
      </c>
      <c r="K776" s="4" t="s">
        <v>37</v>
      </c>
      <c r="L776" s="4" t="s">
        <v>22</v>
      </c>
      <c r="M776" s="4" t="s">
        <v>69</v>
      </c>
      <c r="N776" s="4" t="s">
        <v>53</v>
      </c>
      <c r="O776">
        <v>450000</v>
      </c>
      <c r="P776">
        <v>3</v>
      </c>
      <c r="Q776">
        <v>0</v>
      </c>
      <c r="R776">
        <v>1350000</v>
      </c>
      <c r="S776">
        <v>0</v>
      </c>
      <c r="T776">
        <v>1350000</v>
      </c>
    </row>
    <row r="777" spans="1:20" x14ac:dyDescent="0.25">
      <c r="A777">
        <v>776</v>
      </c>
      <c r="B777" s="5">
        <v>45703</v>
      </c>
      <c r="C777">
        <v>47</v>
      </c>
      <c r="D777">
        <v>1</v>
      </c>
      <c r="E777">
        <v>225</v>
      </c>
      <c r="F777" s="4" t="s">
        <v>248</v>
      </c>
      <c r="G777" s="4" t="s">
        <v>249</v>
      </c>
      <c r="H777" s="4" t="s">
        <v>19</v>
      </c>
      <c r="I777" s="4" t="s">
        <v>639</v>
      </c>
      <c r="J777" s="4" t="s">
        <v>116</v>
      </c>
      <c r="K777" s="4" t="s">
        <v>37</v>
      </c>
      <c r="L777" s="4" t="s">
        <v>22</v>
      </c>
      <c r="M777" s="4" t="s">
        <v>56</v>
      </c>
      <c r="N777" s="4" t="s">
        <v>57</v>
      </c>
      <c r="O777">
        <v>25000</v>
      </c>
      <c r="P777">
        <v>3</v>
      </c>
      <c r="Q777">
        <v>5</v>
      </c>
      <c r="R777">
        <v>75000</v>
      </c>
      <c r="S777">
        <v>3750</v>
      </c>
      <c r="T777">
        <v>71250</v>
      </c>
    </row>
    <row r="778" spans="1:20" x14ac:dyDescent="0.25">
      <c r="A778">
        <v>777</v>
      </c>
      <c r="B778" s="5">
        <v>45704</v>
      </c>
      <c r="C778">
        <v>8</v>
      </c>
      <c r="D778">
        <v>1</v>
      </c>
      <c r="E778">
        <v>171</v>
      </c>
      <c r="F778" s="4" t="s">
        <v>325</v>
      </c>
      <c r="G778" s="4" t="s">
        <v>326</v>
      </c>
      <c r="H778" s="4" t="s">
        <v>19</v>
      </c>
      <c r="I778" s="4" t="s">
        <v>616</v>
      </c>
      <c r="J778" s="4" t="s">
        <v>76</v>
      </c>
      <c r="K778" s="4" t="s">
        <v>77</v>
      </c>
      <c r="L778" s="4" t="s">
        <v>22</v>
      </c>
      <c r="M778" s="4" t="s">
        <v>62</v>
      </c>
      <c r="N778" s="4" t="s">
        <v>31</v>
      </c>
      <c r="O778">
        <v>650000</v>
      </c>
      <c r="P778">
        <v>2</v>
      </c>
      <c r="Q778">
        <v>5</v>
      </c>
      <c r="R778">
        <v>1300000</v>
      </c>
      <c r="S778">
        <v>65000</v>
      </c>
      <c r="T778">
        <v>1235000</v>
      </c>
    </row>
    <row r="779" spans="1:20" x14ac:dyDescent="0.25">
      <c r="A779">
        <v>778</v>
      </c>
      <c r="B779" s="5">
        <v>45705</v>
      </c>
      <c r="C779">
        <v>53</v>
      </c>
      <c r="D779">
        <v>1</v>
      </c>
      <c r="E779">
        <v>98</v>
      </c>
      <c r="F779" s="4" t="s">
        <v>463</v>
      </c>
      <c r="G779" s="4" t="s">
        <v>464</v>
      </c>
      <c r="H779" s="4" t="s">
        <v>19</v>
      </c>
      <c r="I779" s="4" t="s">
        <v>623</v>
      </c>
      <c r="J779" s="4" t="s">
        <v>76</v>
      </c>
      <c r="K779" s="4" t="s">
        <v>77</v>
      </c>
      <c r="L779" s="4" t="s">
        <v>38</v>
      </c>
      <c r="M779" s="4" t="s">
        <v>23</v>
      </c>
      <c r="N779" s="4" t="s">
        <v>24</v>
      </c>
      <c r="O779">
        <v>15000</v>
      </c>
      <c r="P779">
        <v>1</v>
      </c>
      <c r="Q779">
        <v>1</v>
      </c>
      <c r="R779">
        <v>15000</v>
      </c>
      <c r="S779">
        <v>150</v>
      </c>
      <c r="T779">
        <v>14850</v>
      </c>
    </row>
    <row r="780" spans="1:20" x14ac:dyDescent="0.25">
      <c r="A780">
        <v>779</v>
      </c>
      <c r="B780" s="5">
        <v>45706</v>
      </c>
      <c r="C780">
        <v>29</v>
      </c>
      <c r="D780">
        <v>1</v>
      </c>
      <c r="E780">
        <v>221</v>
      </c>
      <c r="F780" s="4" t="s">
        <v>145</v>
      </c>
      <c r="G780" s="4" t="s">
        <v>146</v>
      </c>
      <c r="H780" s="4" t="s">
        <v>42</v>
      </c>
      <c r="I780" s="4" t="s">
        <v>647</v>
      </c>
      <c r="J780" s="4" t="s">
        <v>116</v>
      </c>
      <c r="K780" s="4" t="s">
        <v>37</v>
      </c>
      <c r="L780" s="4" t="s">
        <v>38</v>
      </c>
      <c r="M780" s="4" t="s">
        <v>62</v>
      </c>
      <c r="N780" s="4" t="s">
        <v>31</v>
      </c>
      <c r="O780">
        <v>650000</v>
      </c>
      <c r="P780">
        <v>1</v>
      </c>
      <c r="Q780">
        <v>5</v>
      </c>
      <c r="R780">
        <v>650000</v>
      </c>
      <c r="S780">
        <v>32500</v>
      </c>
      <c r="T780">
        <v>617500</v>
      </c>
    </row>
    <row r="781" spans="1:20" x14ac:dyDescent="0.25">
      <c r="A781">
        <v>780</v>
      </c>
      <c r="B781" s="5">
        <v>45707</v>
      </c>
      <c r="C781">
        <v>10</v>
      </c>
      <c r="D781">
        <v>7</v>
      </c>
      <c r="E781">
        <v>266</v>
      </c>
      <c r="F781" s="4" t="s">
        <v>355</v>
      </c>
      <c r="G781" s="4" t="s">
        <v>356</v>
      </c>
      <c r="H781" s="4" t="s">
        <v>42</v>
      </c>
      <c r="I781" s="4" t="s">
        <v>618</v>
      </c>
      <c r="J781" s="4" t="s">
        <v>37</v>
      </c>
      <c r="K781" s="4" t="s">
        <v>37</v>
      </c>
      <c r="L781" s="4" t="s">
        <v>38</v>
      </c>
      <c r="M781" s="4" t="s">
        <v>39</v>
      </c>
      <c r="N781" s="4" t="s">
        <v>24</v>
      </c>
      <c r="O781">
        <v>35000</v>
      </c>
      <c r="P781">
        <v>1</v>
      </c>
      <c r="Q781">
        <v>5</v>
      </c>
      <c r="R781">
        <v>35000</v>
      </c>
      <c r="S781">
        <v>1750</v>
      </c>
      <c r="T781">
        <v>33250</v>
      </c>
    </row>
    <row r="782" spans="1:20" x14ac:dyDescent="0.25">
      <c r="A782">
        <v>781</v>
      </c>
      <c r="B782" s="5">
        <v>45708</v>
      </c>
      <c r="C782">
        <v>52</v>
      </c>
      <c r="D782">
        <v>0</v>
      </c>
      <c r="E782">
        <v>129</v>
      </c>
      <c r="F782" s="4" t="s">
        <v>359</v>
      </c>
      <c r="G782" s="4" t="s">
        <v>360</v>
      </c>
      <c r="H782" s="4" t="s">
        <v>42</v>
      </c>
      <c r="I782" s="4" t="s">
        <v>622</v>
      </c>
      <c r="J782" s="4" t="s">
        <v>27</v>
      </c>
      <c r="K782" s="4" t="s">
        <v>28</v>
      </c>
      <c r="L782" s="4" t="s">
        <v>38</v>
      </c>
      <c r="M782" s="4" t="s">
        <v>98</v>
      </c>
      <c r="N782" s="4" t="s">
        <v>151</v>
      </c>
      <c r="O782">
        <v>55000</v>
      </c>
      <c r="P782">
        <v>1</v>
      </c>
      <c r="Q782">
        <v>0</v>
      </c>
      <c r="R782">
        <v>55000</v>
      </c>
      <c r="S782">
        <v>0</v>
      </c>
      <c r="T782">
        <v>55000</v>
      </c>
    </row>
    <row r="783" spans="1:20" x14ac:dyDescent="0.25">
      <c r="A783">
        <v>782</v>
      </c>
      <c r="B783" s="5">
        <v>45709</v>
      </c>
      <c r="C783">
        <v>5</v>
      </c>
      <c r="D783">
        <v>1</v>
      </c>
      <c r="E783">
        <v>201</v>
      </c>
      <c r="F783" s="4" t="s">
        <v>295</v>
      </c>
      <c r="G783" s="4" t="s">
        <v>296</v>
      </c>
      <c r="H783" s="4" t="s">
        <v>42</v>
      </c>
      <c r="I783" s="4" t="s">
        <v>627</v>
      </c>
      <c r="J783" s="4" t="s">
        <v>27</v>
      </c>
      <c r="K783" s="4" t="s">
        <v>28</v>
      </c>
      <c r="L783" s="4" t="s">
        <v>29</v>
      </c>
      <c r="M783" s="4" t="s">
        <v>23</v>
      </c>
      <c r="N783" s="4" t="s">
        <v>24</v>
      </c>
      <c r="O783">
        <v>15000</v>
      </c>
      <c r="P783">
        <v>3</v>
      </c>
      <c r="Q783">
        <v>5</v>
      </c>
      <c r="R783">
        <v>45000</v>
      </c>
      <c r="S783">
        <v>2250</v>
      </c>
      <c r="T783">
        <v>42750</v>
      </c>
    </row>
    <row r="784" spans="1:20" x14ac:dyDescent="0.25">
      <c r="A784">
        <v>783</v>
      </c>
      <c r="B784" s="5">
        <v>45710</v>
      </c>
      <c r="C784">
        <v>68</v>
      </c>
      <c r="D784">
        <v>2</v>
      </c>
      <c r="E784">
        <v>18</v>
      </c>
      <c r="F784" s="4" t="s">
        <v>260</v>
      </c>
      <c r="G784" s="4" t="s">
        <v>261</v>
      </c>
      <c r="H784" s="4" t="s">
        <v>42</v>
      </c>
      <c r="I784" s="4" t="s">
        <v>623</v>
      </c>
      <c r="J784" s="4" t="s">
        <v>34</v>
      </c>
      <c r="K784" s="4" t="s">
        <v>272</v>
      </c>
      <c r="L784" s="4" t="s">
        <v>38</v>
      </c>
      <c r="M784" s="4" t="s">
        <v>46</v>
      </c>
      <c r="N784" s="4" t="s">
        <v>53</v>
      </c>
      <c r="O784">
        <v>750000</v>
      </c>
      <c r="P784">
        <v>3</v>
      </c>
      <c r="Q784">
        <v>1</v>
      </c>
      <c r="R784">
        <v>2250000</v>
      </c>
      <c r="S784">
        <v>22500</v>
      </c>
      <c r="T784">
        <v>2227500</v>
      </c>
    </row>
    <row r="785" spans="1:20" x14ac:dyDescent="0.25">
      <c r="A785">
        <v>784</v>
      </c>
      <c r="B785" s="5">
        <v>45711</v>
      </c>
      <c r="C785">
        <v>53</v>
      </c>
      <c r="D785">
        <v>1</v>
      </c>
      <c r="E785">
        <v>216</v>
      </c>
      <c r="F785" s="4" t="s">
        <v>244</v>
      </c>
      <c r="G785" s="4" t="s">
        <v>245</v>
      </c>
      <c r="H785" s="4" t="s">
        <v>19</v>
      </c>
      <c r="I785" s="4" t="s">
        <v>621</v>
      </c>
      <c r="J785" s="4" t="s">
        <v>76</v>
      </c>
      <c r="K785" s="4" t="s">
        <v>77</v>
      </c>
      <c r="L785" s="4" t="s">
        <v>29</v>
      </c>
      <c r="M785" s="4" t="s">
        <v>23</v>
      </c>
      <c r="N785" s="4" t="s">
        <v>24</v>
      </c>
      <c r="O785">
        <v>15000</v>
      </c>
      <c r="P785">
        <v>3</v>
      </c>
      <c r="Q785">
        <v>0</v>
      </c>
      <c r="R785">
        <v>45000</v>
      </c>
      <c r="S785">
        <v>0</v>
      </c>
      <c r="T785">
        <v>45000</v>
      </c>
    </row>
    <row r="786" spans="1:20" x14ac:dyDescent="0.25">
      <c r="A786">
        <v>785</v>
      </c>
      <c r="B786" s="5">
        <v>45712</v>
      </c>
      <c r="C786">
        <v>46</v>
      </c>
      <c r="D786">
        <v>5</v>
      </c>
      <c r="E786">
        <v>88</v>
      </c>
      <c r="F786" s="4" t="s">
        <v>264</v>
      </c>
      <c r="G786" s="4" t="s">
        <v>265</v>
      </c>
      <c r="H786" s="4" t="s">
        <v>19</v>
      </c>
      <c r="I786" s="4" t="s">
        <v>623</v>
      </c>
      <c r="J786" s="4" t="s">
        <v>84</v>
      </c>
      <c r="K786" s="4" t="s">
        <v>85</v>
      </c>
      <c r="L786" s="4" t="s">
        <v>38</v>
      </c>
      <c r="M786" s="4" t="s">
        <v>102</v>
      </c>
      <c r="N786" s="4" t="s">
        <v>57</v>
      </c>
      <c r="O786">
        <v>12000</v>
      </c>
      <c r="P786">
        <v>3</v>
      </c>
      <c r="Q786">
        <v>1</v>
      </c>
      <c r="R786">
        <v>36000</v>
      </c>
      <c r="S786">
        <v>360</v>
      </c>
      <c r="T786">
        <v>35640</v>
      </c>
    </row>
    <row r="787" spans="1:20" x14ac:dyDescent="0.25">
      <c r="A787">
        <v>786</v>
      </c>
      <c r="B787" s="5">
        <v>45713</v>
      </c>
      <c r="C787">
        <v>26</v>
      </c>
      <c r="D787">
        <v>6</v>
      </c>
      <c r="E787">
        <v>137</v>
      </c>
      <c r="F787" s="4" t="s">
        <v>190</v>
      </c>
      <c r="G787" s="4" t="s">
        <v>191</v>
      </c>
      <c r="H787" s="4" t="s">
        <v>19</v>
      </c>
      <c r="I787" s="4" t="s">
        <v>631</v>
      </c>
      <c r="J787" s="4" t="s">
        <v>101</v>
      </c>
      <c r="K787" s="4" t="s">
        <v>109</v>
      </c>
      <c r="L787" s="4" t="s">
        <v>38</v>
      </c>
      <c r="M787" s="4" t="s">
        <v>62</v>
      </c>
      <c r="N787" s="4" t="s">
        <v>31</v>
      </c>
      <c r="O787">
        <v>650000</v>
      </c>
      <c r="P787">
        <v>2</v>
      </c>
      <c r="Q787">
        <v>1</v>
      </c>
      <c r="R787">
        <v>1300000</v>
      </c>
      <c r="S787">
        <v>13000</v>
      </c>
      <c r="T787">
        <v>1287000</v>
      </c>
    </row>
    <row r="788" spans="1:20" x14ac:dyDescent="0.25">
      <c r="A788">
        <v>787</v>
      </c>
      <c r="B788" s="5">
        <v>45714</v>
      </c>
      <c r="C788">
        <v>51</v>
      </c>
      <c r="D788">
        <v>7</v>
      </c>
      <c r="E788">
        <v>261</v>
      </c>
      <c r="F788" s="4" t="s">
        <v>154</v>
      </c>
      <c r="G788" s="4" t="s">
        <v>155</v>
      </c>
      <c r="H788" s="4" t="s">
        <v>19</v>
      </c>
      <c r="I788" s="4" t="s">
        <v>608</v>
      </c>
      <c r="J788" s="4" t="s">
        <v>101</v>
      </c>
      <c r="K788" s="4" t="s">
        <v>109</v>
      </c>
      <c r="L788" s="4" t="s">
        <v>38</v>
      </c>
      <c r="M788" s="4" t="s">
        <v>102</v>
      </c>
      <c r="N788" s="4" t="s">
        <v>57</v>
      </c>
      <c r="O788">
        <v>12000</v>
      </c>
      <c r="P788">
        <v>3</v>
      </c>
      <c r="Q788">
        <v>0</v>
      </c>
      <c r="R788">
        <v>36000</v>
      </c>
      <c r="S788">
        <v>0</v>
      </c>
      <c r="T788">
        <v>36000</v>
      </c>
    </row>
    <row r="789" spans="1:20" x14ac:dyDescent="0.25">
      <c r="A789">
        <v>788</v>
      </c>
      <c r="B789" s="5">
        <v>45715</v>
      </c>
      <c r="C789">
        <v>67</v>
      </c>
      <c r="D789">
        <v>0</v>
      </c>
      <c r="E789">
        <v>36</v>
      </c>
      <c r="F789" s="4" t="s">
        <v>353</v>
      </c>
      <c r="G789" s="4" t="s">
        <v>354</v>
      </c>
      <c r="H789" s="4" t="s">
        <v>42</v>
      </c>
      <c r="I789" s="4" t="s">
        <v>618</v>
      </c>
      <c r="J789" s="4" t="s">
        <v>27</v>
      </c>
      <c r="K789" s="4" t="s">
        <v>28</v>
      </c>
      <c r="L789" s="4" t="s">
        <v>22</v>
      </c>
      <c r="M789" s="4" t="s">
        <v>49</v>
      </c>
      <c r="N789" s="4" t="s">
        <v>31</v>
      </c>
      <c r="O789">
        <v>800000</v>
      </c>
      <c r="P789">
        <v>1</v>
      </c>
      <c r="Q789">
        <v>5</v>
      </c>
      <c r="R789">
        <v>800000</v>
      </c>
      <c r="S789">
        <v>40000</v>
      </c>
      <c r="T789">
        <v>760000</v>
      </c>
    </row>
    <row r="790" spans="1:20" x14ac:dyDescent="0.25">
      <c r="A790">
        <v>789</v>
      </c>
      <c r="B790" s="5">
        <v>45716</v>
      </c>
      <c r="C790">
        <v>3</v>
      </c>
      <c r="D790">
        <v>1</v>
      </c>
      <c r="E790">
        <v>52</v>
      </c>
      <c r="F790" s="4" t="s">
        <v>383</v>
      </c>
      <c r="G790" s="4" t="s">
        <v>384</v>
      </c>
      <c r="H790" s="4" t="s">
        <v>19</v>
      </c>
      <c r="I790" s="4" t="s">
        <v>626</v>
      </c>
      <c r="J790" s="4" t="s">
        <v>37</v>
      </c>
      <c r="K790" s="4" t="s">
        <v>37</v>
      </c>
      <c r="L790" s="4" t="s">
        <v>38</v>
      </c>
      <c r="M790" s="4" t="s">
        <v>49</v>
      </c>
      <c r="N790" s="4" t="s">
        <v>31</v>
      </c>
      <c r="O790">
        <v>800000</v>
      </c>
      <c r="P790">
        <v>2</v>
      </c>
      <c r="Q790">
        <v>5</v>
      </c>
      <c r="R790">
        <v>1600000</v>
      </c>
      <c r="S790">
        <v>80000</v>
      </c>
      <c r="T790">
        <v>1520000</v>
      </c>
    </row>
    <row r="791" spans="1:20" x14ac:dyDescent="0.25">
      <c r="A791">
        <v>790</v>
      </c>
      <c r="B791" s="5">
        <v>45717</v>
      </c>
      <c r="C791">
        <v>64</v>
      </c>
      <c r="D791">
        <v>4</v>
      </c>
      <c r="E791">
        <v>182</v>
      </c>
      <c r="F791" s="4" t="s">
        <v>361</v>
      </c>
      <c r="G791" s="4" t="s">
        <v>362</v>
      </c>
      <c r="H791" s="4" t="s">
        <v>19</v>
      </c>
      <c r="I791" s="4" t="s">
        <v>616</v>
      </c>
      <c r="J791" s="4" t="s">
        <v>20</v>
      </c>
      <c r="K791" s="4" t="s">
        <v>21</v>
      </c>
      <c r="L791" s="4" t="s">
        <v>29</v>
      </c>
      <c r="M791" s="4" t="s">
        <v>39</v>
      </c>
      <c r="N791" s="4" t="s">
        <v>24</v>
      </c>
      <c r="O791">
        <v>35000</v>
      </c>
      <c r="P791">
        <v>2</v>
      </c>
      <c r="Q791">
        <v>1</v>
      </c>
      <c r="R791">
        <v>70000</v>
      </c>
      <c r="S791">
        <v>700</v>
      </c>
      <c r="T791">
        <v>69300</v>
      </c>
    </row>
    <row r="792" spans="1:20" x14ac:dyDescent="0.25">
      <c r="A792">
        <v>791</v>
      </c>
      <c r="B792" s="5">
        <v>45718</v>
      </c>
      <c r="C792">
        <v>40</v>
      </c>
      <c r="D792">
        <v>1</v>
      </c>
      <c r="E792">
        <v>22</v>
      </c>
      <c r="F792" s="4" t="s">
        <v>279</v>
      </c>
      <c r="G792" s="4" t="s">
        <v>280</v>
      </c>
      <c r="H792" s="4" t="s">
        <v>19</v>
      </c>
      <c r="I792" s="4" t="s">
        <v>613</v>
      </c>
      <c r="J792" s="4" t="s">
        <v>27</v>
      </c>
      <c r="K792" s="4" t="s">
        <v>28</v>
      </c>
      <c r="L792" s="4" t="s">
        <v>38</v>
      </c>
      <c r="M792" s="4" t="s">
        <v>62</v>
      </c>
      <c r="N792" s="4" t="s">
        <v>31</v>
      </c>
      <c r="O792">
        <v>650000</v>
      </c>
      <c r="P792">
        <v>2</v>
      </c>
      <c r="Q792">
        <v>5</v>
      </c>
      <c r="R792">
        <v>1300000</v>
      </c>
      <c r="S792">
        <v>65000</v>
      </c>
      <c r="T792">
        <v>1235000</v>
      </c>
    </row>
    <row r="793" spans="1:20" x14ac:dyDescent="0.25">
      <c r="A793">
        <v>792</v>
      </c>
      <c r="B793" s="5">
        <v>45719</v>
      </c>
      <c r="C793">
        <v>58</v>
      </c>
      <c r="D793">
        <v>1</v>
      </c>
      <c r="E793">
        <v>277</v>
      </c>
      <c r="F793" s="4" t="s">
        <v>481</v>
      </c>
      <c r="G793" s="4" t="s">
        <v>482</v>
      </c>
      <c r="H793" s="4" t="s">
        <v>42</v>
      </c>
      <c r="I793" s="4" t="s">
        <v>625</v>
      </c>
      <c r="J793" s="4" t="s">
        <v>76</v>
      </c>
      <c r="K793" s="4" t="s">
        <v>77</v>
      </c>
      <c r="L793" s="4" t="s">
        <v>38</v>
      </c>
      <c r="M793" s="4" t="s">
        <v>23</v>
      </c>
      <c r="N793" s="4" t="s">
        <v>24</v>
      </c>
      <c r="O793">
        <v>15000</v>
      </c>
      <c r="P793">
        <v>3</v>
      </c>
      <c r="Q793">
        <v>5</v>
      </c>
      <c r="R793">
        <v>45000</v>
      </c>
      <c r="S793">
        <v>2250</v>
      </c>
      <c r="T793">
        <v>42750</v>
      </c>
    </row>
    <row r="794" spans="1:20" x14ac:dyDescent="0.25">
      <c r="A794">
        <v>793</v>
      </c>
      <c r="B794" s="5">
        <v>45720</v>
      </c>
      <c r="C794">
        <v>33</v>
      </c>
      <c r="D794">
        <v>13</v>
      </c>
      <c r="E794">
        <v>266</v>
      </c>
      <c r="F794" s="4" t="s">
        <v>355</v>
      </c>
      <c r="G794" s="4" t="s">
        <v>356</v>
      </c>
      <c r="H794" s="4" t="s">
        <v>42</v>
      </c>
      <c r="I794" s="4" t="s">
        <v>618</v>
      </c>
      <c r="J794" s="4" t="s">
        <v>101</v>
      </c>
      <c r="K794" s="4" t="s">
        <v>109</v>
      </c>
      <c r="L794" s="4" t="s">
        <v>22</v>
      </c>
      <c r="M794" s="4" t="s">
        <v>46</v>
      </c>
      <c r="N794" s="4" t="s">
        <v>53</v>
      </c>
      <c r="O794">
        <v>750000</v>
      </c>
      <c r="P794">
        <v>3</v>
      </c>
      <c r="Q794">
        <v>0</v>
      </c>
      <c r="R794">
        <v>2250000</v>
      </c>
      <c r="S794">
        <v>0</v>
      </c>
      <c r="T794">
        <v>2250000</v>
      </c>
    </row>
    <row r="795" spans="1:20" x14ac:dyDescent="0.25">
      <c r="A795">
        <v>794</v>
      </c>
      <c r="B795" s="5">
        <v>45721</v>
      </c>
      <c r="C795">
        <v>66</v>
      </c>
      <c r="D795">
        <v>2</v>
      </c>
      <c r="E795">
        <v>259</v>
      </c>
      <c r="F795" s="4" t="s">
        <v>389</v>
      </c>
      <c r="G795" s="4" t="s">
        <v>390</v>
      </c>
      <c r="H795" s="4" t="s">
        <v>42</v>
      </c>
      <c r="I795" s="4" t="s">
        <v>609</v>
      </c>
      <c r="J795" s="4" t="s">
        <v>27</v>
      </c>
      <c r="K795" s="4" t="s">
        <v>28</v>
      </c>
      <c r="L795" s="4" t="s">
        <v>38</v>
      </c>
      <c r="M795" s="4" t="s">
        <v>56</v>
      </c>
      <c r="N795" s="4" t="s">
        <v>57</v>
      </c>
      <c r="O795">
        <v>25000</v>
      </c>
      <c r="P795">
        <v>3</v>
      </c>
      <c r="Q795">
        <v>5</v>
      </c>
      <c r="R795">
        <v>75000</v>
      </c>
      <c r="S795">
        <v>3750</v>
      </c>
      <c r="T795">
        <v>71250</v>
      </c>
    </row>
    <row r="796" spans="1:20" x14ac:dyDescent="0.25">
      <c r="A796">
        <v>795</v>
      </c>
      <c r="B796" s="5">
        <v>45722</v>
      </c>
      <c r="C796">
        <v>60</v>
      </c>
      <c r="D796">
        <v>1</v>
      </c>
      <c r="E796">
        <v>267</v>
      </c>
      <c r="F796" s="4" t="s">
        <v>252</v>
      </c>
      <c r="G796" s="4" t="s">
        <v>253</v>
      </c>
      <c r="H796" s="4" t="s">
        <v>42</v>
      </c>
      <c r="I796" s="4" t="s">
        <v>653</v>
      </c>
      <c r="J796" s="4" t="s">
        <v>37</v>
      </c>
      <c r="K796" s="4" t="s">
        <v>37</v>
      </c>
      <c r="L796" s="4" t="s">
        <v>22</v>
      </c>
      <c r="M796" s="4" t="s">
        <v>30</v>
      </c>
      <c r="N796" s="4" t="s">
        <v>31</v>
      </c>
      <c r="O796">
        <v>700000</v>
      </c>
      <c r="P796">
        <v>2</v>
      </c>
      <c r="Q796">
        <v>0</v>
      </c>
      <c r="R796">
        <v>1400000</v>
      </c>
      <c r="S796">
        <v>0</v>
      </c>
      <c r="T796">
        <v>1400000</v>
      </c>
    </row>
    <row r="797" spans="1:20" x14ac:dyDescent="0.25">
      <c r="A797">
        <v>796</v>
      </c>
      <c r="B797" s="5">
        <v>45723</v>
      </c>
      <c r="C797">
        <v>9</v>
      </c>
      <c r="D797">
        <v>9</v>
      </c>
      <c r="E797">
        <v>45</v>
      </c>
      <c r="F797" s="4" t="s">
        <v>121</v>
      </c>
      <c r="G797" s="4" t="s">
        <v>122</v>
      </c>
      <c r="H797" s="4" t="s">
        <v>19</v>
      </c>
      <c r="I797" s="4" t="s">
        <v>642</v>
      </c>
      <c r="J797" s="4" t="s">
        <v>37</v>
      </c>
      <c r="K797" s="4" t="s">
        <v>37</v>
      </c>
      <c r="L797" s="4" t="s">
        <v>38</v>
      </c>
      <c r="M797" s="4" t="s">
        <v>39</v>
      </c>
      <c r="N797" s="4" t="s">
        <v>24</v>
      </c>
      <c r="O797">
        <v>35000</v>
      </c>
      <c r="P797">
        <v>1</v>
      </c>
      <c r="Q797">
        <v>5</v>
      </c>
      <c r="R797">
        <v>35000</v>
      </c>
      <c r="S797">
        <v>1750</v>
      </c>
      <c r="T797">
        <v>33250</v>
      </c>
    </row>
    <row r="798" spans="1:20" x14ac:dyDescent="0.25">
      <c r="A798">
        <v>797</v>
      </c>
      <c r="B798" s="5">
        <v>45724</v>
      </c>
      <c r="C798">
        <v>41</v>
      </c>
      <c r="D798">
        <v>4</v>
      </c>
      <c r="E798">
        <v>91</v>
      </c>
      <c r="F798" s="4" t="s">
        <v>407</v>
      </c>
      <c r="G798" s="4" t="s">
        <v>408</v>
      </c>
      <c r="H798" s="4" t="s">
        <v>19</v>
      </c>
      <c r="I798" s="4" t="s">
        <v>622</v>
      </c>
      <c r="J798" s="4" t="s">
        <v>43</v>
      </c>
      <c r="K798" s="4" t="s">
        <v>43</v>
      </c>
      <c r="L798" s="4" t="s">
        <v>22</v>
      </c>
      <c r="M798" s="4" t="s">
        <v>23</v>
      </c>
      <c r="N798" s="4" t="s">
        <v>24</v>
      </c>
      <c r="O798">
        <v>15000</v>
      </c>
      <c r="P798">
        <v>1</v>
      </c>
      <c r="Q798">
        <v>0</v>
      </c>
      <c r="R798">
        <v>15000</v>
      </c>
      <c r="S798">
        <v>0</v>
      </c>
      <c r="T798">
        <v>15000</v>
      </c>
    </row>
    <row r="799" spans="1:20" x14ac:dyDescent="0.25">
      <c r="A799">
        <v>798</v>
      </c>
      <c r="B799" s="5">
        <v>45725</v>
      </c>
      <c r="C799">
        <v>29</v>
      </c>
      <c r="D799">
        <v>1</v>
      </c>
      <c r="E799">
        <v>84</v>
      </c>
      <c r="F799" s="4" t="s">
        <v>483</v>
      </c>
      <c r="G799" s="4" t="s">
        <v>484</v>
      </c>
      <c r="H799" s="4" t="s">
        <v>42</v>
      </c>
      <c r="I799" s="4" t="s">
        <v>630</v>
      </c>
      <c r="J799" s="4" t="s">
        <v>116</v>
      </c>
      <c r="K799" s="4" t="s">
        <v>37</v>
      </c>
      <c r="L799" s="4" t="s">
        <v>22</v>
      </c>
      <c r="M799" s="4" t="s">
        <v>30</v>
      </c>
      <c r="N799" s="4" t="s">
        <v>31</v>
      </c>
      <c r="O799">
        <v>700000</v>
      </c>
      <c r="P799">
        <v>2</v>
      </c>
      <c r="Q799">
        <v>1</v>
      </c>
      <c r="R799">
        <v>1400000</v>
      </c>
      <c r="S799">
        <v>14000</v>
      </c>
      <c r="T799">
        <v>1386000</v>
      </c>
    </row>
    <row r="800" spans="1:20" x14ac:dyDescent="0.25">
      <c r="A800">
        <v>799</v>
      </c>
      <c r="B800" s="5">
        <v>45726</v>
      </c>
      <c r="C800">
        <v>6</v>
      </c>
      <c r="D800">
        <v>2</v>
      </c>
      <c r="E800">
        <v>78</v>
      </c>
      <c r="F800" s="4" t="s">
        <v>581</v>
      </c>
      <c r="G800" s="4" t="s">
        <v>582</v>
      </c>
      <c r="H800" s="4" t="s">
        <v>19</v>
      </c>
      <c r="I800" s="4" t="s">
        <v>611</v>
      </c>
      <c r="J800" s="4" t="s">
        <v>52</v>
      </c>
      <c r="K800" s="4" t="s">
        <v>28</v>
      </c>
      <c r="L800" s="4" t="s">
        <v>38</v>
      </c>
      <c r="M800" s="4" t="s">
        <v>23</v>
      </c>
      <c r="N800" s="4" t="s">
        <v>24</v>
      </c>
      <c r="O800">
        <v>15000</v>
      </c>
      <c r="P800">
        <v>1</v>
      </c>
      <c r="Q800">
        <v>0</v>
      </c>
      <c r="R800">
        <v>15000</v>
      </c>
      <c r="S800">
        <v>0</v>
      </c>
      <c r="T800">
        <v>15000</v>
      </c>
    </row>
    <row r="801" spans="1:20" x14ac:dyDescent="0.25">
      <c r="A801">
        <v>800</v>
      </c>
      <c r="B801" s="5">
        <v>45727</v>
      </c>
      <c r="C801">
        <v>41</v>
      </c>
      <c r="D801">
        <v>4</v>
      </c>
      <c r="E801">
        <v>61</v>
      </c>
      <c r="F801" s="4" t="s">
        <v>222</v>
      </c>
      <c r="G801" s="4" t="s">
        <v>223</v>
      </c>
      <c r="H801" s="4" t="s">
        <v>42</v>
      </c>
      <c r="I801" s="4" t="s">
        <v>639</v>
      </c>
      <c r="J801" s="4" t="s">
        <v>43</v>
      </c>
      <c r="K801" s="4" t="s">
        <v>43</v>
      </c>
      <c r="L801" s="4" t="s">
        <v>22</v>
      </c>
      <c r="M801" s="4" t="s">
        <v>56</v>
      </c>
      <c r="N801" s="4" t="s">
        <v>57</v>
      </c>
      <c r="O801">
        <v>25000</v>
      </c>
      <c r="P801">
        <v>1</v>
      </c>
      <c r="Q801">
        <v>0</v>
      </c>
      <c r="R801">
        <v>25000</v>
      </c>
      <c r="S801">
        <v>0</v>
      </c>
      <c r="T801">
        <v>25000</v>
      </c>
    </row>
    <row r="802" spans="1:20" x14ac:dyDescent="0.25">
      <c r="A802">
        <v>801</v>
      </c>
      <c r="B802" s="5">
        <v>45728</v>
      </c>
      <c r="C802">
        <v>5</v>
      </c>
      <c r="D802">
        <v>1</v>
      </c>
      <c r="E802">
        <v>213</v>
      </c>
      <c r="F802" s="4" t="s">
        <v>315</v>
      </c>
      <c r="G802" s="4" t="s">
        <v>316</v>
      </c>
      <c r="H802" s="4" t="s">
        <v>42</v>
      </c>
      <c r="I802" s="4" t="s">
        <v>637</v>
      </c>
      <c r="J802" s="4" t="s">
        <v>27</v>
      </c>
      <c r="K802" s="4" t="s">
        <v>28</v>
      </c>
      <c r="L802" s="4" t="s">
        <v>38</v>
      </c>
      <c r="M802" s="4" t="s">
        <v>23</v>
      </c>
      <c r="N802" s="4" t="s">
        <v>24</v>
      </c>
      <c r="O802">
        <v>15000</v>
      </c>
      <c r="P802">
        <v>2</v>
      </c>
      <c r="Q802">
        <v>1</v>
      </c>
      <c r="R802">
        <v>30000</v>
      </c>
      <c r="S802">
        <v>300</v>
      </c>
      <c r="T802">
        <v>29700</v>
      </c>
    </row>
    <row r="803" spans="1:20" x14ac:dyDescent="0.25">
      <c r="A803">
        <v>802</v>
      </c>
      <c r="B803" s="5">
        <v>45729</v>
      </c>
      <c r="C803">
        <v>55</v>
      </c>
      <c r="D803">
        <v>9</v>
      </c>
      <c r="E803">
        <v>171</v>
      </c>
      <c r="F803" s="4" t="s">
        <v>325</v>
      </c>
      <c r="G803" s="4" t="s">
        <v>326</v>
      </c>
      <c r="H803" s="4" t="s">
        <v>19</v>
      </c>
      <c r="I803" s="4" t="s">
        <v>616</v>
      </c>
      <c r="J803" s="4" t="s">
        <v>43</v>
      </c>
      <c r="K803" s="4" t="s">
        <v>43</v>
      </c>
      <c r="L803" s="4" t="s">
        <v>22</v>
      </c>
      <c r="M803" s="4" t="s">
        <v>23</v>
      </c>
      <c r="N803" s="4" t="s">
        <v>24</v>
      </c>
      <c r="O803">
        <v>15000</v>
      </c>
      <c r="P803">
        <v>1</v>
      </c>
      <c r="Q803">
        <v>0</v>
      </c>
      <c r="R803">
        <v>15000</v>
      </c>
      <c r="S803">
        <v>0</v>
      </c>
      <c r="T803">
        <v>15000</v>
      </c>
    </row>
    <row r="804" spans="1:20" x14ac:dyDescent="0.25">
      <c r="A804">
        <v>803</v>
      </c>
      <c r="B804" s="5">
        <v>45730</v>
      </c>
      <c r="C804">
        <v>18</v>
      </c>
      <c r="D804">
        <v>1</v>
      </c>
      <c r="E804">
        <v>30</v>
      </c>
      <c r="F804" s="4" t="s">
        <v>143</v>
      </c>
      <c r="G804" s="4" t="s">
        <v>144</v>
      </c>
      <c r="H804" s="4" t="s">
        <v>19</v>
      </c>
      <c r="I804" s="4" t="s">
        <v>611</v>
      </c>
      <c r="J804" s="4" t="s">
        <v>27</v>
      </c>
      <c r="K804" s="4" t="s">
        <v>28</v>
      </c>
      <c r="L804" s="4" t="s">
        <v>38</v>
      </c>
      <c r="M804" s="4" t="s">
        <v>98</v>
      </c>
      <c r="N804" s="4" t="s">
        <v>151</v>
      </c>
      <c r="O804">
        <v>55000</v>
      </c>
      <c r="P804">
        <v>3</v>
      </c>
      <c r="Q804">
        <v>0</v>
      </c>
      <c r="R804">
        <v>165000</v>
      </c>
      <c r="S804">
        <v>0</v>
      </c>
      <c r="T804">
        <v>165000</v>
      </c>
    </row>
    <row r="805" spans="1:20" x14ac:dyDescent="0.25">
      <c r="A805">
        <v>804</v>
      </c>
      <c r="B805" s="5">
        <v>45731</v>
      </c>
      <c r="C805">
        <v>42</v>
      </c>
      <c r="D805">
        <v>4</v>
      </c>
      <c r="E805">
        <v>94</v>
      </c>
      <c r="F805" s="4" t="s">
        <v>477</v>
      </c>
      <c r="G805" s="4" t="s">
        <v>478</v>
      </c>
      <c r="H805" s="4" t="s">
        <v>19</v>
      </c>
      <c r="I805" s="4" t="s">
        <v>611</v>
      </c>
      <c r="J805" s="4" t="s">
        <v>27</v>
      </c>
      <c r="K805" s="4" t="s">
        <v>28</v>
      </c>
      <c r="L805" s="4" t="s">
        <v>22</v>
      </c>
      <c r="M805" s="4" t="s">
        <v>39</v>
      </c>
      <c r="N805" s="4" t="s">
        <v>24</v>
      </c>
      <c r="O805">
        <v>35000</v>
      </c>
      <c r="P805">
        <v>1</v>
      </c>
      <c r="Q805">
        <v>5</v>
      </c>
      <c r="R805">
        <v>35000</v>
      </c>
      <c r="S805">
        <v>1750</v>
      </c>
      <c r="T805">
        <v>33250</v>
      </c>
    </row>
    <row r="806" spans="1:20" x14ac:dyDescent="0.25">
      <c r="A806">
        <v>805</v>
      </c>
      <c r="B806" s="5">
        <v>45732</v>
      </c>
      <c r="C806">
        <v>7</v>
      </c>
      <c r="D806">
        <v>8</v>
      </c>
      <c r="E806">
        <v>7</v>
      </c>
      <c r="F806" s="4" t="s">
        <v>397</v>
      </c>
      <c r="G806" s="4" t="s">
        <v>398</v>
      </c>
      <c r="H806" s="4" t="s">
        <v>19</v>
      </c>
      <c r="I806" s="4" t="s">
        <v>646</v>
      </c>
      <c r="J806" s="4" t="s">
        <v>37</v>
      </c>
      <c r="K806" s="4" t="s">
        <v>37</v>
      </c>
      <c r="L806" s="4" t="s">
        <v>22</v>
      </c>
      <c r="M806" s="4" t="s">
        <v>49</v>
      </c>
      <c r="N806" s="4" t="s">
        <v>31</v>
      </c>
      <c r="O806">
        <v>800000</v>
      </c>
      <c r="P806">
        <v>1</v>
      </c>
      <c r="Q806">
        <v>0</v>
      </c>
      <c r="R806">
        <v>800000</v>
      </c>
      <c r="S806">
        <v>0</v>
      </c>
      <c r="T806">
        <v>800000</v>
      </c>
    </row>
    <row r="807" spans="1:20" x14ac:dyDescent="0.25">
      <c r="A807">
        <v>806</v>
      </c>
      <c r="B807" s="5">
        <v>45733</v>
      </c>
      <c r="C807">
        <v>54</v>
      </c>
      <c r="D807">
        <v>9</v>
      </c>
      <c r="E807">
        <v>33</v>
      </c>
      <c r="F807" s="4" t="s">
        <v>339</v>
      </c>
      <c r="G807" s="4" t="s">
        <v>340</v>
      </c>
      <c r="H807" s="4" t="s">
        <v>19</v>
      </c>
      <c r="I807" s="4" t="s">
        <v>641</v>
      </c>
      <c r="J807" s="4" t="s">
        <v>27</v>
      </c>
      <c r="K807" s="4" t="s">
        <v>28</v>
      </c>
      <c r="L807" s="4" t="s">
        <v>22</v>
      </c>
      <c r="M807" s="4" t="s">
        <v>39</v>
      </c>
      <c r="N807" s="4" t="s">
        <v>24</v>
      </c>
      <c r="O807">
        <v>35000</v>
      </c>
      <c r="P807">
        <v>3</v>
      </c>
      <c r="Q807">
        <v>0</v>
      </c>
      <c r="R807">
        <v>105000</v>
      </c>
      <c r="S807">
        <v>0</v>
      </c>
      <c r="T807">
        <v>105000</v>
      </c>
    </row>
    <row r="808" spans="1:20" x14ac:dyDescent="0.25">
      <c r="A808">
        <v>807</v>
      </c>
      <c r="B808" s="5">
        <v>45734</v>
      </c>
      <c r="C808">
        <v>69</v>
      </c>
      <c r="D808">
        <v>1</v>
      </c>
      <c r="E808">
        <v>52</v>
      </c>
      <c r="F808" s="4" t="s">
        <v>383</v>
      </c>
      <c r="G808" s="4" t="s">
        <v>384</v>
      </c>
      <c r="H808" s="4" t="s">
        <v>19</v>
      </c>
      <c r="I808" s="4" t="s">
        <v>626</v>
      </c>
      <c r="J808" s="4" t="s">
        <v>76</v>
      </c>
      <c r="K808" s="4" t="s">
        <v>77</v>
      </c>
      <c r="L808" s="4" t="s">
        <v>29</v>
      </c>
      <c r="M808" s="4" t="s">
        <v>69</v>
      </c>
      <c r="N808" s="4" t="s">
        <v>53</v>
      </c>
      <c r="O808">
        <v>450000</v>
      </c>
      <c r="P808">
        <v>1</v>
      </c>
      <c r="Q808">
        <v>0</v>
      </c>
      <c r="R808">
        <v>450000</v>
      </c>
      <c r="S808">
        <v>0</v>
      </c>
      <c r="T808">
        <v>450000</v>
      </c>
    </row>
    <row r="809" spans="1:20" x14ac:dyDescent="0.25">
      <c r="A809">
        <v>808</v>
      </c>
      <c r="B809" s="5">
        <v>45735</v>
      </c>
      <c r="C809">
        <v>22</v>
      </c>
      <c r="D809">
        <v>1</v>
      </c>
      <c r="E809">
        <v>202</v>
      </c>
      <c r="F809" s="4" t="s">
        <v>44</v>
      </c>
      <c r="G809" s="4" t="s">
        <v>45</v>
      </c>
      <c r="H809" s="4" t="s">
        <v>42</v>
      </c>
      <c r="I809" s="4" t="s">
        <v>620</v>
      </c>
      <c r="J809" s="4" t="s">
        <v>116</v>
      </c>
      <c r="K809" s="4" t="s">
        <v>37</v>
      </c>
      <c r="L809" s="4" t="s">
        <v>29</v>
      </c>
      <c r="M809" s="4" t="s">
        <v>49</v>
      </c>
      <c r="N809" s="4" t="s">
        <v>31</v>
      </c>
      <c r="O809">
        <v>800000</v>
      </c>
      <c r="P809">
        <v>3</v>
      </c>
      <c r="Q809">
        <v>0</v>
      </c>
      <c r="R809">
        <v>2400000</v>
      </c>
      <c r="S809">
        <v>0</v>
      </c>
      <c r="T809">
        <v>2400000</v>
      </c>
    </row>
    <row r="810" spans="1:20" x14ac:dyDescent="0.25">
      <c r="A810">
        <v>809</v>
      </c>
      <c r="B810" s="5">
        <v>45736</v>
      </c>
      <c r="C810">
        <v>49</v>
      </c>
      <c r="D810">
        <v>1</v>
      </c>
      <c r="E810">
        <v>150</v>
      </c>
      <c r="F810" s="4" t="s">
        <v>571</v>
      </c>
      <c r="G810" s="4" t="s">
        <v>572</v>
      </c>
      <c r="H810" s="4" t="s">
        <v>19</v>
      </c>
      <c r="I810" s="4" t="s">
        <v>623</v>
      </c>
      <c r="J810" s="4" t="s">
        <v>43</v>
      </c>
      <c r="K810" s="4" t="s">
        <v>43</v>
      </c>
      <c r="L810" s="4" t="s">
        <v>29</v>
      </c>
      <c r="M810" s="4" t="s">
        <v>46</v>
      </c>
      <c r="N810" s="4" t="s">
        <v>53</v>
      </c>
      <c r="O810">
        <v>750000</v>
      </c>
      <c r="P810">
        <v>2</v>
      </c>
      <c r="Q810">
        <v>1</v>
      </c>
      <c r="R810">
        <v>1500000</v>
      </c>
      <c r="S810">
        <v>15000</v>
      </c>
      <c r="T810">
        <v>1485000</v>
      </c>
    </row>
    <row r="811" spans="1:20" x14ac:dyDescent="0.25">
      <c r="A811">
        <v>810</v>
      </c>
      <c r="B811" s="5">
        <v>45737</v>
      </c>
      <c r="C811">
        <v>49</v>
      </c>
      <c r="D811">
        <v>1</v>
      </c>
      <c r="E811">
        <v>153</v>
      </c>
      <c r="F811" s="4" t="s">
        <v>453</v>
      </c>
      <c r="G811" s="4" t="s">
        <v>454</v>
      </c>
      <c r="H811" s="4" t="s">
        <v>19</v>
      </c>
      <c r="I811" s="4" t="s">
        <v>614</v>
      </c>
      <c r="J811" s="4" t="s">
        <v>43</v>
      </c>
      <c r="K811" s="4" t="s">
        <v>43</v>
      </c>
      <c r="L811" s="4" t="s">
        <v>38</v>
      </c>
      <c r="M811" s="4" t="s">
        <v>69</v>
      </c>
      <c r="N811" s="4" t="s">
        <v>53</v>
      </c>
      <c r="O811">
        <v>450000</v>
      </c>
      <c r="P811">
        <v>3</v>
      </c>
      <c r="Q811">
        <v>1</v>
      </c>
      <c r="R811">
        <v>1350000</v>
      </c>
      <c r="S811">
        <v>13500</v>
      </c>
      <c r="T811">
        <v>1336500</v>
      </c>
    </row>
    <row r="812" spans="1:20" x14ac:dyDescent="0.25">
      <c r="A812">
        <v>811</v>
      </c>
      <c r="B812" s="5">
        <v>45738</v>
      </c>
      <c r="C812">
        <v>4</v>
      </c>
      <c r="D812">
        <v>3</v>
      </c>
      <c r="E812">
        <v>205</v>
      </c>
      <c r="F812" s="4" t="s">
        <v>210</v>
      </c>
      <c r="G812" s="4" t="s">
        <v>211</v>
      </c>
      <c r="H812" s="4" t="s">
        <v>19</v>
      </c>
      <c r="I812" s="4" t="s">
        <v>629</v>
      </c>
      <c r="J812" s="4" t="s">
        <v>52</v>
      </c>
      <c r="K812" s="4" t="s">
        <v>28</v>
      </c>
      <c r="L812" s="4" t="s">
        <v>29</v>
      </c>
      <c r="M812" s="4" t="s">
        <v>30</v>
      </c>
      <c r="N812" s="4" t="s">
        <v>31</v>
      </c>
      <c r="O812">
        <v>700000</v>
      </c>
      <c r="P812">
        <v>2</v>
      </c>
      <c r="Q812">
        <v>1</v>
      </c>
      <c r="R812">
        <v>1400000</v>
      </c>
      <c r="S812">
        <v>14000</v>
      </c>
      <c r="T812">
        <v>1386000</v>
      </c>
    </row>
    <row r="813" spans="1:20" x14ac:dyDescent="0.25">
      <c r="A813">
        <v>812</v>
      </c>
      <c r="B813" s="5">
        <v>45739</v>
      </c>
      <c r="C813">
        <v>21</v>
      </c>
      <c r="D813">
        <v>5</v>
      </c>
      <c r="E813">
        <v>193</v>
      </c>
      <c r="F813" s="4" t="s">
        <v>168</v>
      </c>
      <c r="G813" s="4" t="s">
        <v>169</v>
      </c>
      <c r="H813" s="4" t="s">
        <v>19</v>
      </c>
      <c r="I813" s="4" t="s">
        <v>625</v>
      </c>
      <c r="J813" s="4" t="s">
        <v>76</v>
      </c>
      <c r="K813" s="4" t="s">
        <v>77</v>
      </c>
      <c r="L813" s="4" t="s">
        <v>38</v>
      </c>
      <c r="M813" s="4" t="s">
        <v>46</v>
      </c>
      <c r="N813" s="4" t="s">
        <v>53</v>
      </c>
      <c r="O813">
        <v>750000</v>
      </c>
      <c r="P813">
        <v>2</v>
      </c>
      <c r="Q813">
        <v>0</v>
      </c>
      <c r="R813">
        <v>1500000</v>
      </c>
      <c r="S813">
        <v>0</v>
      </c>
      <c r="T813">
        <v>1500000</v>
      </c>
    </row>
    <row r="814" spans="1:20" x14ac:dyDescent="0.25">
      <c r="A814">
        <v>813</v>
      </c>
      <c r="B814" s="5">
        <v>45740</v>
      </c>
      <c r="C814">
        <v>44</v>
      </c>
      <c r="D814">
        <v>7</v>
      </c>
      <c r="E814">
        <v>186</v>
      </c>
      <c r="F814" s="4" t="s">
        <v>152</v>
      </c>
      <c r="G814" s="4" t="s">
        <v>153</v>
      </c>
      <c r="H814" s="4" t="s">
        <v>42</v>
      </c>
      <c r="I814" s="4" t="s">
        <v>636</v>
      </c>
      <c r="J814" s="4" t="s">
        <v>43</v>
      </c>
      <c r="K814" s="4" t="s">
        <v>43</v>
      </c>
      <c r="L814" s="4" t="s">
        <v>29</v>
      </c>
      <c r="M814" s="4" t="s">
        <v>23</v>
      </c>
      <c r="N814" s="4" t="s">
        <v>24</v>
      </c>
      <c r="O814">
        <v>15000</v>
      </c>
      <c r="P814">
        <v>3</v>
      </c>
      <c r="Q814">
        <v>5</v>
      </c>
      <c r="R814">
        <v>45000</v>
      </c>
      <c r="S814">
        <v>2250</v>
      </c>
      <c r="T814">
        <v>42750</v>
      </c>
    </row>
    <row r="815" spans="1:20" x14ac:dyDescent="0.25">
      <c r="A815">
        <v>814</v>
      </c>
      <c r="B815" s="5">
        <v>45741</v>
      </c>
      <c r="C815">
        <v>38</v>
      </c>
      <c r="D815">
        <v>8</v>
      </c>
      <c r="E815">
        <v>161</v>
      </c>
      <c r="F815" s="4" t="s">
        <v>549</v>
      </c>
      <c r="G815" s="4" t="s">
        <v>550</v>
      </c>
      <c r="H815" s="4" t="s">
        <v>19</v>
      </c>
      <c r="I815" s="4" t="s">
        <v>608</v>
      </c>
      <c r="J815" s="4" t="s">
        <v>52</v>
      </c>
      <c r="K815" s="4" t="s">
        <v>28</v>
      </c>
      <c r="L815" s="4" t="s">
        <v>22</v>
      </c>
      <c r="M815" s="4" t="s">
        <v>98</v>
      </c>
      <c r="N815" s="4" t="s">
        <v>151</v>
      </c>
      <c r="O815">
        <v>55000</v>
      </c>
      <c r="P815">
        <v>1</v>
      </c>
      <c r="Q815">
        <v>1</v>
      </c>
      <c r="R815">
        <v>55000</v>
      </c>
      <c r="S815">
        <v>550</v>
      </c>
      <c r="T815">
        <v>54450</v>
      </c>
    </row>
    <row r="816" spans="1:20" x14ac:dyDescent="0.25">
      <c r="A816">
        <v>815</v>
      </c>
      <c r="B816" s="5">
        <v>45742</v>
      </c>
      <c r="C816">
        <v>10</v>
      </c>
      <c r="D816">
        <v>7</v>
      </c>
      <c r="E816">
        <v>106</v>
      </c>
      <c r="F816" s="4" t="s">
        <v>451</v>
      </c>
      <c r="G816" s="4" t="s">
        <v>452</v>
      </c>
      <c r="H816" s="4" t="s">
        <v>19</v>
      </c>
      <c r="I816" s="4" t="s">
        <v>627</v>
      </c>
      <c r="J816" s="4" t="s">
        <v>37</v>
      </c>
      <c r="K816" s="4" t="s">
        <v>37</v>
      </c>
      <c r="L816" s="4" t="s">
        <v>38</v>
      </c>
      <c r="M816" s="4" t="s">
        <v>23</v>
      </c>
      <c r="N816" s="4" t="s">
        <v>24</v>
      </c>
      <c r="O816">
        <v>15000</v>
      </c>
      <c r="P816">
        <v>2</v>
      </c>
      <c r="Q816">
        <v>5</v>
      </c>
      <c r="R816">
        <v>30000</v>
      </c>
      <c r="S816">
        <v>1500</v>
      </c>
      <c r="T816">
        <v>28500</v>
      </c>
    </row>
    <row r="817" spans="1:20" x14ac:dyDescent="0.25">
      <c r="A817">
        <v>816</v>
      </c>
      <c r="B817" s="5">
        <v>45743</v>
      </c>
      <c r="C817">
        <v>60</v>
      </c>
      <c r="D817">
        <v>1</v>
      </c>
      <c r="E817">
        <v>225</v>
      </c>
      <c r="F817" s="4" t="s">
        <v>248</v>
      </c>
      <c r="G817" s="4" t="s">
        <v>249</v>
      </c>
      <c r="H817" s="4" t="s">
        <v>19</v>
      </c>
      <c r="I817" s="4" t="s">
        <v>639</v>
      </c>
      <c r="J817" s="4" t="s">
        <v>37</v>
      </c>
      <c r="K817" s="4" t="s">
        <v>37</v>
      </c>
      <c r="L817" s="4" t="s">
        <v>29</v>
      </c>
      <c r="M817" s="4" t="s">
        <v>39</v>
      </c>
      <c r="N817" s="4" t="s">
        <v>24</v>
      </c>
      <c r="O817">
        <v>35000</v>
      </c>
      <c r="P817">
        <v>1</v>
      </c>
      <c r="Q817">
        <v>1</v>
      </c>
      <c r="R817">
        <v>35000</v>
      </c>
      <c r="S817">
        <v>350</v>
      </c>
      <c r="T817">
        <v>34650</v>
      </c>
    </row>
    <row r="818" spans="1:20" x14ac:dyDescent="0.25">
      <c r="A818">
        <v>817</v>
      </c>
      <c r="B818" s="5">
        <v>45744</v>
      </c>
      <c r="C818">
        <v>55</v>
      </c>
      <c r="D818">
        <v>9</v>
      </c>
      <c r="E818">
        <v>104</v>
      </c>
      <c r="F818" s="4" t="s">
        <v>208</v>
      </c>
      <c r="G818" s="4" t="s">
        <v>209</v>
      </c>
      <c r="H818" s="4" t="s">
        <v>42</v>
      </c>
      <c r="I818" s="4" t="s">
        <v>631</v>
      </c>
      <c r="J818" s="4" t="s">
        <v>43</v>
      </c>
      <c r="K818" s="4" t="s">
        <v>43</v>
      </c>
      <c r="L818" s="4" t="s">
        <v>38</v>
      </c>
      <c r="M818" s="4" t="s">
        <v>46</v>
      </c>
      <c r="N818" s="4" t="s">
        <v>53</v>
      </c>
      <c r="O818">
        <v>750000</v>
      </c>
      <c r="P818">
        <v>2</v>
      </c>
      <c r="Q818">
        <v>1</v>
      </c>
      <c r="R818">
        <v>1500000</v>
      </c>
      <c r="S818">
        <v>15000</v>
      </c>
      <c r="T818">
        <v>1485000</v>
      </c>
    </row>
    <row r="819" spans="1:20" x14ac:dyDescent="0.25">
      <c r="A819">
        <v>818</v>
      </c>
      <c r="B819" s="5">
        <v>45745</v>
      </c>
      <c r="C819">
        <v>33</v>
      </c>
      <c r="D819">
        <v>13</v>
      </c>
      <c r="E819">
        <v>66</v>
      </c>
      <c r="F819" s="4" t="s">
        <v>373</v>
      </c>
      <c r="G819" s="4" t="s">
        <v>374</v>
      </c>
      <c r="H819" s="4" t="s">
        <v>19</v>
      </c>
      <c r="I819" s="4" t="s">
        <v>633</v>
      </c>
      <c r="J819" s="4" t="s">
        <v>101</v>
      </c>
      <c r="K819" s="4" t="s">
        <v>109</v>
      </c>
      <c r="L819" s="4" t="s">
        <v>38</v>
      </c>
      <c r="M819" s="4" t="s">
        <v>39</v>
      </c>
      <c r="N819" s="4" t="s">
        <v>24</v>
      </c>
      <c r="O819">
        <v>35000</v>
      </c>
      <c r="P819">
        <v>1</v>
      </c>
      <c r="Q819">
        <v>0</v>
      </c>
      <c r="R819">
        <v>35000</v>
      </c>
      <c r="S819">
        <v>0</v>
      </c>
      <c r="T819">
        <v>35000</v>
      </c>
    </row>
    <row r="820" spans="1:20" x14ac:dyDescent="0.25">
      <c r="A820">
        <v>819</v>
      </c>
      <c r="B820" s="5">
        <v>45746</v>
      </c>
      <c r="C820">
        <v>52</v>
      </c>
      <c r="D820">
        <v>0</v>
      </c>
      <c r="E820">
        <v>123</v>
      </c>
      <c r="F820" s="4" t="s">
        <v>158</v>
      </c>
      <c r="G820" s="4" t="s">
        <v>159</v>
      </c>
      <c r="H820" s="4" t="s">
        <v>19</v>
      </c>
      <c r="I820" s="4" t="s">
        <v>633</v>
      </c>
      <c r="J820" s="4" t="s">
        <v>27</v>
      </c>
      <c r="K820" s="4" t="s">
        <v>28</v>
      </c>
      <c r="L820" s="4" t="s">
        <v>22</v>
      </c>
      <c r="M820" s="4" t="s">
        <v>46</v>
      </c>
      <c r="N820" s="4" t="s">
        <v>53</v>
      </c>
      <c r="O820">
        <v>750000</v>
      </c>
      <c r="P820">
        <v>3</v>
      </c>
      <c r="Q820">
        <v>0</v>
      </c>
      <c r="R820">
        <v>2250000</v>
      </c>
      <c r="S820">
        <v>0</v>
      </c>
      <c r="T820">
        <v>2250000</v>
      </c>
    </row>
    <row r="821" spans="1:20" x14ac:dyDescent="0.25">
      <c r="A821">
        <v>820</v>
      </c>
      <c r="B821" s="5">
        <v>45747</v>
      </c>
      <c r="C821">
        <v>44</v>
      </c>
      <c r="D821">
        <v>7</v>
      </c>
      <c r="E821">
        <v>127</v>
      </c>
      <c r="F821" s="4" t="s">
        <v>117</v>
      </c>
      <c r="G821" s="4" t="s">
        <v>118</v>
      </c>
      <c r="H821" s="4" t="s">
        <v>42</v>
      </c>
      <c r="I821" s="4" t="s">
        <v>608</v>
      </c>
      <c r="J821" s="4" t="s">
        <v>43</v>
      </c>
      <c r="K821" s="4" t="s">
        <v>43</v>
      </c>
      <c r="L821" s="4" t="s">
        <v>22</v>
      </c>
      <c r="M821" s="4" t="s">
        <v>30</v>
      </c>
      <c r="N821" s="4" t="s">
        <v>31</v>
      </c>
      <c r="O821">
        <v>700000</v>
      </c>
      <c r="P821">
        <v>3</v>
      </c>
      <c r="Q821">
        <v>0</v>
      </c>
      <c r="R821">
        <v>2100000</v>
      </c>
      <c r="S821">
        <v>0</v>
      </c>
      <c r="T821">
        <v>2100000</v>
      </c>
    </row>
    <row r="822" spans="1:20" x14ac:dyDescent="0.25">
      <c r="A822">
        <v>821</v>
      </c>
      <c r="B822" s="5">
        <v>45748</v>
      </c>
      <c r="C822">
        <v>65</v>
      </c>
      <c r="D822">
        <v>0</v>
      </c>
      <c r="E822">
        <v>150</v>
      </c>
      <c r="F822" s="4" t="s">
        <v>571</v>
      </c>
      <c r="G822" s="4" t="s">
        <v>572</v>
      </c>
      <c r="H822" s="4" t="s">
        <v>19</v>
      </c>
      <c r="I822" s="4" t="s">
        <v>623</v>
      </c>
      <c r="J822" s="4" t="s">
        <v>101</v>
      </c>
      <c r="K822" s="4" t="s">
        <v>109</v>
      </c>
      <c r="L822" s="4" t="s">
        <v>22</v>
      </c>
      <c r="M822" s="4" t="s">
        <v>39</v>
      </c>
      <c r="N822" s="4" t="s">
        <v>24</v>
      </c>
      <c r="O822">
        <v>35000</v>
      </c>
      <c r="P822">
        <v>2</v>
      </c>
      <c r="Q822">
        <v>1</v>
      </c>
      <c r="R822">
        <v>70000</v>
      </c>
      <c r="S822">
        <v>700</v>
      </c>
      <c r="T822">
        <v>69300</v>
      </c>
    </row>
    <row r="823" spans="1:20" x14ac:dyDescent="0.25">
      <c r="A823">
        <v>822</v>
      </c>
      <c r="B823" s="5">
        <v>45749</v>
      </c>
      <c r="C823">
        <v>70</v>
      </c>
      <c r="D823">
        <v>6</v>
      </c>
      <c r="E823">
        <v>37</v>
      </c>
      <c r="F823" s="4" t="s">
        <v>250</v>
      </c>
      <c r="G823" s="4" t="s">
        <v>251</v>
      </c>
      <c r="H823" s="4" t="s">
        <v>19</v>
      </c>
      <c r="I823" s="4" t="s">
        <v>625</v>
      </c>
      <c r="J823" s="4" t="s">
        <v>27</v>
      </c>
      <c r="K823" s="4" t="s">
        <v>28</v>
      </c>
      <c r="L823" s="4" t="s">
        <v>38</v>
      </c>
      <c r="M823" s="4" t="s">
        <v>69</v>
      </c>
      <c r="N823" s="4" t="s">
        <v>53</v>
      </c>
      <c r="O823">
        <v>450000</v>
      </c>
      <c r="P823">
        <v>1</v>
      </c>
      <c r="Q823">
        <v>0</v>
      </c>
      <c r="R823">
        <v>450000</v>
      </c>
      <c r="S823">
        <v>0</v>
      </c>
      <c r="T823">
        <v>450000</v>
      </c>
    </row>
    <row r="824" spans="1:20" x14ac:dyDescent="0.25">
      <c r="A824">
        <v>823</v>
      </c>
      <c r="B824" s="5">
        <v>45750</v>
      </c>
      <c r="C824">
        <v>7</v>
      </c>
      <c r="D824">
        <v>8</v>
      </c>
      <c r="E824">
        <v>140</v>
      </c>
      <c r="F824" s="4" t="s">
        <v>585</v>
      </c>
      <c r="G824" s="4" t="s">
        <v>586</v>
      </c>
      <c r="H824" s="4" t="s">
        <v>19</v>
      </c>
      <c r="I824" s="4" t="s">
        <v>618</v>
      </c>
      <c r="J824" s="4" t="s">
        <v>37</v>
      </c>
      <c r="K824" s="4" t="s">
        <v>37</v>
      </c>
      <c r="L824" s="4" t="s">
        <v>38</v>
      </c>
      <c r="M824" s="4" t="s">
        <v>69</v>
      </c>
      <c r="N824" s="4" t="s">
        <v>53</v>
      </c>
      <c r="O824">
        <v>450000</v>
      </c>
      <c r="P824">
        <v>2</v>
      </c>
      <c r="Q824">
        <v>5</v>
      </c>
      <c r="R824">
        <v>900000</v>
      </c>
      <c r="S824">
        <v>45000</v>
      </c>
      <c r="T824">
        <v>855000</v>
      </c>
    </row>
    <row r="825" spans="1:20" x14ac:dyDescent="0.25">
      <c r="A825">
        <v>824</v>
      </c>
      <c r="B825" s="5">
        <v>45751</v>
      </c>
      <c r="C825">
        <v>6</v>
      </c>
      <c r="D825">
        <v>2</v>
      </c>
      <c r="E825">
        <v>234</v>
      </c>
      <c r="F825" s="4" t="s">
        <v>78</v>
      </c>
      <c r="G825" s="4" t="s">
        <v>79</v>
      </c>
      <c r="H825" s="4" t="s">
        <v>42</v>
      </c>
      <c r="I825" s="4" t="s">
        <v>643</v>
      </c>
      <c r="J825" s="4" t="s">
        <v>52</v>
      </c>
      <c r="K825" s="4" t="s">
        <v>28</v>
      </c>
      <c r="L825" s="4" t="s">
        <v>22</v>
      </c>
      <c r="M825" s="4" t="s">
        <v>46</v>
      </c>
      <c r="N825" s="4" t="s">
        <v>53</v>
      </c>
      <c r="O825">
        <v>750000</v>
      </c>
      <c r="P825">
        <v>1</v>
      </c>
      <c r="Q825">
        <v>0</v>
      </c>
      <c r="R825">
        <v>750000</v>
      </c>
      <c r="S825">
        <v>0</v>
      </c>
      <c r="T825">
        <v>750000</v>
      </c>
    </row>
    <row r="826" spans="1:20" x14ac:dyDescent="0.25">
      <c r="A826">
        <v>825</v>
      </c>
      <c r="B826" s="5">
        <v>45752</v>
      </c>
      <c r="C826">
        <v>49</v>
      </c>
      <c r="D826">
        <v>1</v>
      </c>
      <c r="E826">
        <v>265</v>
      </c>
      <c r="F826" s="4" t="s">
        <v>471</v>
      </c>
      <c r="G826" s="4" t="s">
        <v>472</v>
      </c>
      <c r="H826" s="4" t="s">
        <v>42</v>
      </c>
      <c r="I826" s="4" t="s">
        <v>611</v>
      </c>
      <c r="J826" s="4" t="s">
        <v>43</v>
      </c>
      <c r="K826" s="4" t="s">
        <v>43</v>
      </c>
      <c r="L826" s="4" t="s">
        <v>22</v>
      </c>
      <c r="M826" s="4" t="s">
        <v>62</v>
      </c>
      <c r="N826" s="4" t="s">
        <v>31</v>
      </c>
      <c r="O826">
        <v>650000</v>
      </c>
      <c r="P826">
        <v>1</v>
      </c>
      <c r="Q826">
        <v>5</v>
      </c>
      <c r="R826">
        <v>650000</v>
      </c>
      <c r="S826">
        <v>32500</v>
      </c>
      <c r="T826">
        <v>617500</v>
      </c>
    </row>
    <row r="827" spans="1:20" x14ac:dyDescent="0.25">
      <c r="A827">
        <v>826</v>
      </c>
      <c r="B827" s="5">
        <v>45753</v>
      </c>
      <c r="C827">
        <v>14</v>
      </c>
      <c r="D827">
        <v>0</v>
      </c>
      <c r="E827">
        <v>27</v>
      </c>
      <c r="F827" s="4" t="s">
        <v>515</v>
      </c>
      <c r="G827" s="4" t="s">
        <v>516</v>
      </c>
      <c r="H827" s="4" t="s">
        <v>42</v>
      </c>
      <c r="I827" s="4" t="s">
        <v>638</v>
      </c>
      <c r="J827" s="4" t="s">
        <v>34</v>
      </c>
      <c r="K827" s="4" t="s">
        <v>272</v>
      </c>
      <c r="L827" s="4" t="s">
        <v>38</v>
      </c>
      <c r="M827" s="4" t="s">
        <v>69</v>
      </c>
      <c r="N827" s="4" t="s">
        <v>53</v>
      </c>
      <c r="O827">
        <v>450000</v>
      </c>
      <c r="P827">
        <v>2</v>
      </c>
      <c r="Q827">
        <v>0</v>
      </c>
      <c r="R827">
        <v>900000</v>
      </c>
      <c r="S827">
        <v>0</v>
      </c>
      <c r="T827">
        <v>900000</v>
      </c>
    </row>
    <row r="828" spans="1:20" x14ac:dyDescent="0.25">
      <c r="A828">
        <v>827</v>
      </c>
      <c r="B828" s="5">
        <v>45754</v>
      </c>
      <c r="C828">
        <v>2</v>
      </c>
      <c r="D828">
        <v>2</v>
      </c>
      <c r="E828">
        <v>210</v>
      </c>
      <c r="F828" s="4" t="s">
        <v>465</v>
      </c>
      <c r="G828" s="4" t="s">
        <v>466</v>
      </c>
      <c r="H828" s="4" t="s">
        <v>19</v>
      </c>
      <c r="I828" s="4" t="s">
        <v>654</v>
      </c>
      <c r="J828" s="4" t="s">
        <v>101</v>
      </c>
      <c r="K828" s="4" t="s">
        <v>109</v>
      </c>
      <c r="L828" s="4" t="s">
        <v>38</v>
      </c>
      <c r="M828" s="4" t="s">
        <v>49</v>
      </c>
      <c r="N828" s="4" t="s">
        <v>31</v>
      </c>
      <c r="O828">
        <v>800000</v>
      </c>
      <c r="P828">
        <v>3</v>
      </c>
      <c r="Q828">
        <v>0</v>
      </c>
      <c r="R828">
        <v>2400000</v>
      </c>
      <c r="S828">
        <v>0</v>
      </c>
      <c r="T828">
        <v>2400000</v>
      </c>
    </row>
    <row r="829" spans="1:20" x14ac:dyDescent="0.25">
      <c r="A829">
        <v>828</v>
      </c>
      <c r="B829" s="5">
        <v>45755</v>
      </c>
      <c r="C829">
        <v>38</v>
      </c>
      <c r="D829">
        <v>8</v>
      </c>
      <c r="E829">
        <v>17</v>
      </c>
      <c r="F829" s="4" t="s">
        <v>393</v>
      </c>
      <c r="G829" s="4" t="s">
        <v>394</v>
      </c>
      <c r="H829" s="4" t="s">
        <v>42</v>
      </c>
      <c r="I829" s="4" t="s">
        <v>615</v>
      </c>
      <c r="J829" s="4" t="s">
        <v>52</v>
      </c>
      <c r="K829" s="4" t="s">
        <v>28</v>
      </c>
      <c r="L829" s="4" t="s">
        <v>38</v>
      </c>
      <c r="M829" s="4" t="s">
        <v>102</v>
      </c>
      <c r="N829" s="4" t="s">
        <v>57</v>
      </c>
      <c r="O829">
        <v>12000</v>
      </c>
      <c r="P829">
        <v>1</v>
      </c>
      <c r="Q829">
        <v>0</v>
      </c>
      <c r="R829">
        <v>12000</v>
      </c>
      <c r="S829">
        <v>0</v>
      </c>
      <c r="T829">
        <v>12000</v>
      </c>
    </row>
    <row r="830" spans="1:20" x14ac:dyDescent="0.25">
      <c r="A830">
        <v>829</v>
      </c>
      <c r="B830" s="5">
        <v>45756</v>
      </c>
      <c r="C830">
        <v>55</v>
      </c>
      <c r="D830">
        <v>9</v>
      </c>
      <c r="E830">
        <v>30</v>
      </c>
      <c r="F830" s="4" t="s">
        <v>143</v>
      </c>
      <c r="G830" s="4" t="s">
        <v>144</v>
      </c>
      <c r="H830" s="4" t="s">
        <v>19</v>
      </c>
      <c r="I830" s="4" t="s">
        <v>611</v>
      </c>
      <c r="J830" s="4" t="s">
        <v>43</v>
      </c>
      <c r="K830" s="4" t="s">
        <v>43</v>
      </c>
      <c r="L830" s="4" t="s">
        <v>22</v>
      </c>
      <c r="M830" s="4" t="s">
        <v>69</v>
      </c>
      <c r="N830" s="4" t="s">
        <v>53</v>
      </c>
      <c r="O830">
        <v>450000</v>
      </c>
      <c r="P830">
        <v>3</v>
      </c>
      <c r="Q830">
        <v>5</v>
      </c>
      <c r="R830">
        <v>1350000</v>
      </c>
      <c r="S830">
        <v>67500</v>
      </c>
      <c r="T830">
        <v>1282500</v>
      </c>
    </row>
    <row r="831" spans="1:20" x14ac:dyDescent="0.25">
      <c r="A831">
        <v>830</v>
      </c>
      <c r="B831" s="5">
        <v>45757</v>
      </c>
      <c r="C831">
        <v>4</v>
      </c>
      <c r="D831">
        <v>3</v>
      </c>
      <c r="E831">
        <v>78</v>
      </c>
      <c r="F831" s="4" t="s">
        <v>581</v>
      </c>
      <c r="G831" s="4" t="s">
        <v>582</v>
      </c>
      <c r="H831" s="4" t="s">
        <v>19</v>
      </c>
      <c r="I831" s="4" t="s">
        <v>611</v>
      </c>
      <c r="J831" s="4" t="s">
        <v>52</v>
      </c>
      <c r="K831" s="4" t="s">
        <v>28</v>
      </c>
      <c r="L831" s="4" t="s">
        <v>29</v>
      </c>
      <c r="M831" s="4" t="s">
        <v>56</v>
      </c>
      <c r="N831" s="4" t="s">
        <v>57</v>
      </c>
      <c r="O831">
        <v>25000</v>
      </c>
      <c r="P831">
        <v>2</v>
      </c>
      <c r="Q831">
        <v>0</v>
      </c>
      <c r="R831">
        <v>50000</v>
      </c>
      <c r="S831">
        <v>0</v>
      </c>
      <c r="T831">
        <v>50000</v>
      </c>
    </row>
    <row r="832" spans="1:20" x14ac:dyDescent="0.25">
      <c r="A832">
        <v>831</v>
      </c>
      <c r="B832" s="5">
        <v>45758</v>
      </c>
      <c r="C832">
        <v>20</v>
      </c>
      <c r="D832">
        <v>0</v>
      </c>
      <c r="E832">
        <v>32</v>
      </c>
      <c r="F832" s="4" t="s">
        <v>333</v>
      </c>
      <c r="G832" s="4" t="s">
        <v>334</v>
      </c>
      <c r="H832" s="4" t="s">
        <v>42</v>
      </c>
      <c r="I832" s="4" t="s">
        <v>651</v>
      </c>
      <c r="J832" s="4" t="s">
        <v>20</v>
      </c>
      <c r="K832" s="4" t="s">
        <v>21</v>
      </c>
      <c r="L832" s="4" t="s">
        <v>22</v>
      </c>
      <c r="M832" s="4" t="s">
        <v>39</v>
      </c>
      <c r="N832" s="4" t="s">
        <v>24</v>
      </c>
      <c r="O832">
        <v>35000</v>
      </c>
      <c r="P832">
        <v>2</v>
      </c>
      <c r="Q832">
        <v>5</v>
      </c>
      <c r="R832">
        <v>70000</v>
      </c>
      <c r="S832">
        <v>3500</v>
      </c>
      <c r="T832">
        <v>66500</v>
      </c>
    </row>
    <row r="833" spans="1:20" x14ac:dyDescent="0.25">
      <c r="A833">
        <v>832</v>
      </c>
      <c r="B833" s="5">
        <v>45759</v>
      </c>
      <c r="C833">
        <v>14</v>
      </c>
      <c r="D833">
        <v>0</v>
      </c>
      <c r="E833">
        <v>63</v>
      </c>
      <c r="F833" s="4" t="s">
        <v>365</v>
      </c>
      <c r="G833" s="4" t="s">
        <v>366</v>
      </c>
      <c r="H833" s="4" t="s">
        <v>42</v>
      </c>
      <c r="I833" s="4" t="s">
        <v>638</v>
      </c>
      <c r="J833" s="4" t="s">
        <v>34</v>
      </c>
      <c r="K833" s="4" t="s">
        <v>272</v>
      </c>
      <c r="L833" s="4" t="s">
        <v>22</v>
      </c>
      <c r="M833" s="4" t="s">
        <v>46</v>
      </c>
      <c r="N833" s="4" t="s">
        <v>53</v>
      </c>
      <c r="O833">
        <v>750000</v>
      </c>
      <c r="P833">
        <v>2</v>
      </c>
      <c r="Q833">
        <v>0</v>
      </c>
      <c r="R833">
        <v>1500000</v>
      </c>
      <c r="S833">
        <v>0</v>
      </c>
      <c r="T833">
        <v>1500000</v>
      </c>
    </row>
    <row r="834" spans="1:20" x14ac:dyDescent="0.25">
      <c r="A834">
        <v>833</v>
      </c>
      <c r="B834" s="5">
        <v>45760</v>
      </c>
      <c r="C834">
        <v>5</v>
      </c>
      <c r="D834">
        <v>1</v>
      </c>
      <c r="E834">
        <v>178</v>
      </c>
      <c r="F834" s="4" t="s">
        <v>125</v>
      </c>
      <c r="G834" s="4" t="s">
        <v>126</v>
      </c>
      <c r="H834" s="4" t="s">
        <v>42</v>
      </c>
      <c r="I834" s="4" t="s">
        <v>628</v>
      </c>
      <c r="J834" s="4" t="s">
        <v>27</v>
      </c>
      <c r="K834" s="4" t="s">
        <v>28</v>
      </c>
      <c r="L834" s="4" t="s">
        <v>22</v>
      </c>
      <c r="M834" s="4" t="s">
        <v>30</v>
      </c>
      <c r="N834" s="4" t="s">
        <v>31</v>
      </c>
      <c r="O834">
        <v>700000</v>
      </c>
      <c r="P834">
        <v>1</v>
      </c>
      <c r="Q834">
        <v>5</v>
      </c>
      <c r="R834">
        <v>700000</v>
      </c>
      <c r="S834">
        <v>35000</v>
      </c>
      <c r="T834">
        <v>665000</v>
      </c>
    </row>
    <row r="835" spans="1:20" x14ac:dyDescent="0.25">
      <c r="A835">
        <v>834</v>
      </c>
      <c r="B835" s="5">
        <v>45761</v>
      </c>
      <c r="C835">
        <v>42</v>
      </c>
      <c r="D835">
        <v>4</v>
      </c>
      <c r="E835">
        <v>91</v>
      </c>
      <c r="F835" s="4" t="s">
        <v>407</v>
      </c>
      <c r="G835" s="4" t="s">
        <v>408</v>
      </c>
      <c r="H835" s="4" t="s">
        <v>19</v>
      </c>
      <c r="I835" s="4" t="s">
        <v>622</v>
      </c>
      <c r="J835" s="4" t="s">
        <v>27</v>
      </c>
      <c r="K835" s="4" t="s">
        <v>28</v>
      </c>
      <c r="L835" s="4" t="s">
        <v>22</v>
      </c>
      <c r="M835" s="4" t="s">
        <v>46</v>
      </c>
      <c r="N835" s="4" t="s">
        <v>53</v>
      </c>
      <c r="O835">
        <v>750000</v>
      </c>
      <c r="P835">
        <v>1</v>
      </c>
      <c r="Q835">
        <v>0</v>
      </c>
      <c r="R835">
        <v>750000</v>
      </c>
      <c r="S835">
        <v>0</v>
      </c>
      <c r="T835">
        <v>750000</v>
      </c>
    </row>
    <row r="836" spans="1:20" x14ac:dyDescent="0.25">
      <c r="A836">
        <v>835</v>
      </c>
      <c r="B836" s="5">
        <v>45762</v>
      </c>
      <c r="C836">
        <v>54</v>
      </c>
      <c r="D836">
        <v>9</v>
      </c>
      <c r="E836">
        <v>108</v>
      </c>
      <c r="F836" s="4" t="s">
        <v>409</v>
      </c>
      <c r="G836" s="4" t="s">
        <v>410</v>
      </c>
      <c r="H836" s="4" t="s">
        <v>19</v>
      </c>
      <c r="I836" s="4" t="s">
        <v>625</v>
      </c>
      <c r="J836" s="4" t="s">
        <v>27</v>
      </c>
      <c r="K836" s="4" t="s">
        <v>28</v>
      </c>
      <c r="L836" s="4" t="s">
        <v>38</v>
      </c>
      <c r="M836" s="4" t="s">
        <v>23</v>
      </c>
      <c r="N836" s="4" t="s">
        <v>24</v>
      </c>
      <c r="O836">
        <v>15000</v>
      </c>
      <c r="P836">
        <v>1</v>
      </c>
      <c r="Q836">
        <v>1</v>
      </c>
      <c r="R836">
        <v>15000</v>
      </c>
      <c r="S836">
        <v>150</v>
      </c>
      <c r="T836">
        <v>14850</v>
      </c>
    </row>
    <row r="837" spans="1:20" x14ac:dyDescent="0.25">
      <c r="A837">
        <v>836</v>
      </c>
      <c r="B837" s="5">
        <v>45763</v>
      </c>
      <c r="C837">
        <v>41</v>
      </c>
      <c r="D837">
        <v>4</v>
      </c>
      <c r="E837">
        <v>144</v>
      </c>
      <c r="F837" s="4" t="s">
        <v>184</v>
      </c>
      <c r="G837" s="4" t="s">
        <v>185</v>
      </c>
      <c r="H837" s="4" t="s">
        <v>42</v>
      </c>
      <c r="I837" s="4" t="s">
        <v>625</v>
      </c>
      <c r="J837" s="4" t="s">
        <v>43</v>
      </c>
      <c r="K837" s="4" t="s">
        <v>43</v>
      </c>
      <c r="L837" s="4" t="s">
        <v>22</v>
      </c>
      <c r="M837" s="4" t="s">
        <v>23</v>
      </c>
      <c r="N837" s="4" t="s">
        <v>24</v>
      </c>
      <c r="O837">
        <v>15000</v>
      </c>
      <c r="P837">
        <v>2</v>
      </c>
      <c r="Q837">
        <v>0</v>
      </c>
      <c r="R837">
        <v>30000</v>
      </c>
      <c r="S837">
        <v>0</v>
      </c>
      <c r="T837">
        <v>30000</v>
      </c>
    </row>
    <row r="838" spans="1:20" x14ac:dyDescent="0.25">
      <c r="A838">
        <v>837</v>
      </c>
      <c r="B838" s="5">
        <v>45764</v>
      </c>
      <c r="C838">
        <v>13</v>
      </c>
      <c r="D838">
        <v>0</v>
      </c>
      <c r="E838">
        <v>101</v>
      </c>
      <c r="F838" s="4" t="s">
        <v>285</v>
      </c>
      <c r="G838" s="4" t="s">
        <v>286</v>
      </c>
      <c r="H838" s="4" t="s">
        <v>42</v>
      </c>
      <c r="I838" s="4" t="s">
        <v>629</v>
      </c>
      <c r="J838" s="4" t="s">
        <v>27</v>
      </c>
      <c r="K838" s="4" t="s">
        <v>28</v>
      </c>
      <c r="L838" s="4" t="s">
        <v>38</v>
      </c>
      <c r="M838" s="4" t="s">
        <v>62</v>
      </c>
      <c r="N838" s="4" t="s">
        <v>31</v>
      </c>
      <c r="O838">
        <v>650000</v>
      </c>
      <c r="P838">
        <v>3</v>
      </c>
      <c r="Q838">
        <v>5</v>
      </c>
      <c r="R838">
        <v>1950000</v>
      </c>
      <c r="S838">
        <v>97500</v>
      </c>
      <c r="T838">
        <v>1852500</v>
      </c>
    </row>
    <row r="839" spans="1:20" x14ac:dyDescent="0.25">
      <c r="A839">
        <v>838</v>
      </c>
      <c r="B839" s="5">
        <v>45765</v>
      </c>
      <c r="C839">
        <v>46</v>
      </c>
      <c r="D839">
        <v>5</v>
      </c>
      <c r="E839">
        <v>99</v>
      </c>
      <c r="F839" s="4" t="s">
        <v>147</v>
      </c>
      <c r="G839" s="4" t="s">
        <v>148</v>
      </c>
      <c r="H839" s="4" t="s">
        <v>19</v>
      </c>
      <c r="I839" s="4" t="s">
        <v>610</v>
      </c>
      <c r="J839" s="4" t="s">
        <v>84</v>
      </c>
      <c r="K839" s="4" t="s">
        <v>85</v>
      </c>
      <c r="L839" s="4" t="s">
        <v>22</v>
      </c>
      <c r="M839" s="4" t="s">
        <v>56</v>
      </c>
      <c r="N839" s="4" t="s">
        <v>57</v>
      </c>
      <c r="O839">
        <v>25000</v>
      </c>
      <c r="P839">
        <v>3</v>
      </c>
      <c r="Q839">
        <v>0</v>
      </c>
      <c r="R839">
        <v>75000</v>
      </c>
      <c r="S839">
        <v>0</v>
      </c>
      <c r="T839">
        <v>75000</v>
      </c>
    </row>
    <row r="840" spans="1:20" x14ac:dyDescent="0.25">
      <c r="A840">
        <v>839</v>
      </c>
      <c r="B840" s="5">
        <v>45766</v>
      </c>
      <c r="C840">
        <v>40</v>
      </c>
      <c r="D840">
        <v>1</v>
      </c>
      <c r="E840">
        <v>108</v>
      </c>
      <c r="F840" s="4" t="s">
        <v>409</v>
      </c>
      <c r="G840" s="4" t="s">
        <v>410</v>
      </c>
      <c r="H840" s="4" t="s">
        <v>19</v>
      </c>
      <c r="I840" s="4" t="s">
        <v>625</v>
      </c>
      <c r="J840" s="4" t="s">
        <v>27</v>
      </c>
      <c r="K840" s="4" t="s">
        <v>28</v>
      </c>
      <c r="L840" s="4" t="s">
        <v>38</v>
      </c>
      <c r="M840" s="4" t="s">
        <v>30</v>
      </c>
      <c r="N840" s="4" t="s">
        <v>31</v>
      </c>
      <c r="O840">
        <v>700000</v>
      </c>
      <c r="P840">
        <v>3</v>
      </c>
      <c r="Q840">
        <v>0</v>
      </c>
      <c r="R840">
        <v>2100000</v>
      </c>
      <c r="S840">
        <v>0</v>
      </c>
      <c r="T840">
        <v>2100000</v>
      </c>
    </row>
    <row r="841" spans="1:20" x14ac:dyDescent="0.25">
      <c r="A841">
        <v>840</v>
      </c>
      <c r="B841" s="5">
        <v>45767</v>
      </c>
      <c r="C841">
        <v>24</v>
      </c>
      <c r="D841">
        <v>3</v>
      </c>
      <c r="E841">
        <v>101</v>
      </c>
      <c r="F841" s="4" t="s">
        <v>285</v>
      </c>
      <c r="G841" s="4" t="s">
        <v>286</v>
      </c>
      <c r="H841" s="4" t="s">
        <v>42</v>
      </c>
      <c r="I841" s="4" t="s">
        <v>629</v>
      </c>
      <c r="J841" s="4" t="s">
        <v>84</v>
      </c>
      <c r="K841" s="4" t="s">
        <v>85</v>
      </c>
      <c r="L841" s="4" t="s">
        <v>29</v>
      </c>
      <c r="M841" s="4" t="s">
        <v>69</v>
      </c>
      <c r="N841" s="4" t="s">
        <v>53</v>
      </c>
      <c r="O841">
        <v>450000</v>
      </c>
      <c r="P841">
        <v>1</v>
      </c>
      <c r="Q841">
        <v>1</v>
      </c>
      <c r="R841">
        <v>450000</v>
      </c>
      <c r="S841">
        <v>4500</v>
      </c>
      <c r="T841">
        <v>445500</v>
      </c>
    </row>
    <row r="842" spans="1:20" x14ac:dyDescent="0.25">
      <c r="A842">
        <v>841</v>
      </c>
      <c r="B842" s="5">
        <v>45768</v>
      </c>
      <c r="C842">
        <v>64</v>
      </c>
      <c r="D842">
        <v>4</v>
      </c>
      <c r="E842">
        <v>36</v>
      </c>
      <c r="F842" s="4" t="s">
        <v>353</v>
      </c>
      <c r="G842" s="4" t="s">
        <v>354</v>
      </c>
      <c r="H842" s="4" t="s">
        <v>42</v>
      </c>
      <c r="I842" s="4" t="s">
        <v>618</v>
      </c>
      <c r="J842" s="4" t="s">
        <v>20</v>
      </c>
      <c r="K842" s="4" t="s">
        <v>21</v>
      </c>
      <c r="L842" s="4" t="s">
        <v>38</v>
      </c>
      <c r="M842" s="4" t="s">
        <v>102</v>
      </c>
      <c r="N842" s="4" t="s">
        <v>57</v>
      </c>
      <c r="O842">
        <v>12000</v>
      </c>
      <c r="P842">
        <v>3</v>
      </c>
      <c r="Q842">
        <v>1</v>
      </c>
      <c r="R842">
        <v>36000</v>
      </c>
      <c r="S842">
        <v>360</v>
      </c>
      <c r="T842">
        <v>35640</v>
      </c>
    </row>
    <row r="843" spans="1:20" x14ac:dyDescent="0.25">
      <c r="A843">
        <v>842</v>
      </c>
      <c r="B843" s="5">
        <v>45769</v>
      </c>
      <c r="C843">
        <v>14</v>
      </c>
      <c r="D843">
        <v>0</v>
      </c>
      <c r="E843">
        <v>257</v>
      </c>
      <c r="F843" s="4" t="s">
        <v>577</v>
      </c>
      <c r="G843" s="4" t="s">
        <v>578</v>
      </c>
      <c r="H843" s="4" t="s">
        <v>19</v>
      </c>
      <c r="I843" s="4" t="s">
        <v>650</v>
      </c>
      <c r="J843" s="4" t="s">
        <v>34</v>
      </c>
      <c r="K843" s="4" t="s">
        <v>272</v>
      </c>
      <c r="L843" s="4" t="s">
        <v>22</v>
      </c>
      <c r="M843" s="4" t="s">
        <v>23</v>
      </c>
      <c r="N843" s="4" t="s">
        <v>24</v>
      </c>
      <c r="O843">
        <v>15000</v>
      </c>
      <c r="P843">
        <v>3</v>
      </c>
      <c r="Q843">
        <v>1</v>
      </c>
      <c r="R843">
        <v>45000</v>
      </c>
      <c r="S843">
        <v>450</v>
      </c>
      <c r="T843">
        <v>44550</v>
      </c>
    </row>
    <row r="844" spans="1:20" x14ac:dyDescent="0.25">
      <c r="A844">
        <v>843</v>
      </c>
      <c r="B844" s="5">
        <v>45770</v>
      </c>
      <c r="C844">
        <v>65</v>
      </c>
      <c r="D844">
        <v>0</v>
      </c>
      <c r="E844">
        <v>81</v>
      </c>
      <c r="F844" s="4" t="s">
        <v>65</v>
      </c>
      <c r="G844" s="4" t="s">
        <v>66</v>
      </c>
      <c r="H844" s="4" t="s">
        <v>42</v>
      </c>
      <c r="I844" s="4" t="s">
        <v>613</v>
      </c>
      <c r="J844" s="4" t="s">
        <v>101</v>
      </c>
      <c r="K844" s="4" t="s">
        <v>109</v>
      </c>
      <c r="L844" s="4" t="s">
        <v>22</v>
      </c>
      <c r="M844" s="4" t="s">
        <v>46</v>
      </c>
      <c r="N844" s="4" t="s">
        <v>53</v>
      </c>
      <c r="O844">
        <v>750000</v>
      </c>
      <c r="P844">
        <v>3</v>
      </c>
      <c r="Q844">
        <v>0</v>
      </c>
      <c r="R844">
        <v>2250000</v>
      </c>
      <c r="S844">
        <v>0</v>
      </c>
      <c r="T844">
        <v>2250000</v>
      </c>
    </row>
    <row r="845" spans="1:20" x14ac:dyDescent="0.25">
      <c r="A845">
        <v>844</v>
      </c>
      <c r="B845" s="5">
        <v>45771</v>
      </c>
      <c r="C845">
        <v>48</v>
      </c>
      <c r="D845">
        <v>6</v>
      </c>
      <c r="E845">
        <v>27</v>
      </c>
      <c r="F845" s="4" t="s">
        <v>515</v>
      </c>
      <c r="G845" s="4" t="s">
        <v>516</v>
      </c>
      <c r="H845" s="4" t="s">
        <v>42</v>
      </c>
      <c r="I845" s="4" t="s">
        <v>638</v>
      </c>
      <c r="J845" s="4" t="s">
        <v>37</v>
      </c>
      <c r="K845" s="4" t="s">
        <v>37</v>
      </c>
      <c r="L845" s="4" t="s">
        <v>38</v>
      </c>
      <c r="M845" s="4" t="s">
        <v>56</v>
      </c>
      <c r="N845" s="4" t="s">
        <v>57</v>
      </c>
      <c r="O845">
        <v>25000</v>
      </c>
      <c r="P845">
        <v>3</v>
      </c>
      <c r="Q845">
        <v>0</v>
      </c>
      <c r="R845">
        <v>75000</v>
      </c>
      <c r="S845">
        <v>0</v>
      </c>
      <c r="T845">
        <v>75000</v>
      </c>
    </row>
    <row r="846" spans="1:20" x14ac:dyDescent="0.25">
      <c r="A846">
        <v>845</v>
      </c>
      <c r="B846" s="5">
        <v>45772</v>
      </c>
      <c r="C846">
        <v>49</v>
      </c>
      <c r="D846">
        <v>1</v>
      </c>
      <c r="E846">
        <v>76</v>
      </c>
      <c r="F846" s="4" t="s">
        <v>317</v>
      </c>
      <c r="G846" s="4" t="s">
        <v>318</v>
      </c>
      <c r="H846" s="4" t="s">
        <v>19</v>
      </c>
      <c r="I846" s="4" t="s">
        <v>621</v>
      </c>
      <c r="J846" s="4" t="s">
        <v>43</v>
      </c>
      <c r="K846" s="4" t="s">
        <v>43</v>
      </c>
      <c r="L846" s="4" t="s">
        <v>38</v>
      </c>
      <c r="M846" s="4" t="s">
        <v>46</v>
      </c>
      <c r="N846" s="4" t="s">
        <v>53</v>
      </c>
      <c r="O846">
        <v>750000</v>
      </c>
      <c r="P846">
        <v>1</v>
      </c>
      <c r="Q846">
        <v>5</v>
      </c>
      <c r="R846">
        <v>750000</v>
      </c>
      <c r="S846">
        <v>37500</v>
      </c>
      <c r="T846">
        <v>712500</v>
      </c>
    </row>
    <row r="847" spans="1:20" x14ac:dyDescent="0.25">
      <c r="A847">
        <v>846</v>
      </c>
      <c r="B847" s="5">
        <v>45773</v>
      </c>
      <c r="C847">
        <v>61</v>
      </c>
      <c r="D847">
        <v>3</v>
      </c>
      <c r="E847">
        <v>221</v>
      </c>
      <c r="F847" s="4" t="s">
        <v>145</v>
      </c>
      <c r="G847" s="4" t="s">
        <v>146</v>
      </c>
      <c r="H847" s="4" t="s">
        <v>42</v>
      </c>
      <c r="I847" s="4" t="s">
        <v>647</v>
      </c>
      <c r="J847" s="4" t="s">
        <v>52</v>
      </c>
      <c r="K847" s="4" t="s">
        <v>28</v>
      </c>
      <c r="L847" s="4" t="s">
        <v>38</v>
      </c>
      <c r="M847" s="4" t="s">
        <v>56</v>
      </c>
      <c r="N847" s="4" t="s">
        <v>57</v>
      </c>
      <c r="O847">
        <v>25000</v>
      </c>
      <c r="P847">
        <v>3</v>
      </c>
      <c r="Q847">
        <v>0</v>
      </c>
      <c r="R847">
        <v>75000</v>
      </c>
      <c r="S847">
        <v>0</v>
      </c>
      <c r="T847">
        <v>75000</v>
      </c>
    </row>
    <row r="848" spans="1:20" x14ac:dyDescent="0.25">
      <c r="A848">
        <v>847</v>
      </c>
      <c r="B848" s="5">
        <v>45774</v>
      </c>
      <c r="C848">
        <v>12</v>
      </c>
      <c r="D848">
        <v>0</v>
      </c>
      <c r="E848">
        <v>82</v>
      </c>
      <c r="F848" s="4" t="s">
        <v>447</v>
      </c>
      <c r="G848" s="4" t="s">
        <v>448</v>
      </c>
      <c r="H848" s="4" t="s">
        <v>19</v>
      </c>
      <c r="I848" s="4"/>
      <c r="J848" s="4" t="s">
        <v>116</v>
      </c>
      <c r="K848" s="4" t="s">
        <v>37</v>
      </c>
      <c r="L848" s="4" t="s">
        <v>38</v>
      </c>
      <c r="M848" s="4" t="s">
        <v>23</v>
      </c>
      <c r="N848" s="4" t="s">
        <v>24</v>
      </c>
      <c r="O848">
        <v>15000</v>
      </c>
      <c r="P848">
        <v>2</v>
      </c>
      <c r="Q848">
        <v>0</v>
      </c>
      <c r="R848">
        <v>30000</v>
      </c>
      <c r="S848">
        <v>0</v>
      </c>
      <c r="T848">
        <v>30000</v>
      </c>
    </row>
    <row r="849" spans="1:20" x14ac:dyDescent="0.25">
      <c r="A849">
        <v>848</v>
      </c>
      <c r="B849" s="5">
        <v>45775</v>
      </c>
      <c r="C849">
        <v>15</v>
      </c>
      <c r="D849">
        <v>0</v>
      </c>
      <c r="E849">
        <v>139</v>
      </c>
      <c r="F849" s="4" t="s">
        <v>413</v>
      </c>
      <c r="G849" s="4" t="s">
        <v>414</v>
      </c>
      <c r="H849" s="4" t="s">
        <v>19</v>
      </c>
      <c r="I849" s="4" t="s">
        <v>621</v>
      </c>
      <c r="J849" s="4" t="s">
        <v>34</v>
      </c>
      <c r="K849" s="4" t="s">
        <v>272</v>
      </c>
      <c r="L849" s="4" t="s">
        <v>22</v>
      </c>
      <c r="M849" s="4" t="s">
        <v>69</v>
      </c>
      <c r="N849" s="4" t="s">
        <v>53</v>
      </c>
      <c r="O849">
        <v>450000</v>
      </c>
      <c r="P849">
        <v>2</v>
      </c>
      <c r="Q849">
        <v>1</v>
      </c>
      <c r="R849">
        <v>900000</v>
      </c>
      <c r="S849">
        <v>9000</v>
      </c>
      <c r="T849">
        <v>891000</v>
      </c>
    </row>
    <row r="850" spans="1:20" x14ac:dyDescent="0.25">
      <c r="A850">
        <v>849</v>
      </c>
      <c r="B850" s="5">
        <v>45776</v>
      </c>
      <c r="C850">
        <v>42</v>
      </c>
      <c r="D850">
        <v>4</v>
      </c>
      <c r="E850">
        <v>271</v>
      </c>
      <c r="F850" s="4" t="s">
        <v>127</v>
      </c>
      <c r="G850" s="4" t="s">
        <v>128</v>
      </c>
      <c r="H850" s="4" t="s">
        <v>42</v>
      </c>
      <c r="I850" s="4" t="s">
        <v>628</v>
      </c>
      <c r="J850" s="4" t="s">
        <v>27</v>
      </c>
      <c r="K850" s="4" t="s">
        <v>28</v>
      </c>
      <c r="L850" s="4" t="s">
        <v>22</v>
      </c>
      <c r="M850" s="4" t="s">
        <v>56</v>
      </c>
      <c r="N850" s="4" t="s">
        <v>57</v>
      </c>
      <c r="O850">
        <v>25000</v>
      </c>
      <c r="P850">
        <v>2</v>
      </c>
      <c r="Q850">
        <v>0</v>
      </c>
      <c r="R850">
        <v>50000</v>
      </c>
      <c r="S850">
        <v>0</v>
      </c>
      <c r="T850">
        <v>50000</v>
      </c>
    </row>
    <row r="851" spans="1:20" x14ac:dyDescent="0.25">
      <c r="A851">
        <v>850</v>
      </c>
      <c r="B851" s="5">
        <v>45777</v>
      </c>
      <c r="C851">
        <v>59</v>
      </c>
      <c r="D851">
        <v>1</v>
      </c>
      <c r="E851">
        <v>164</v>
      </c>
      <c r="F851" s="4" t="s">
        <v>369</v>
      </c>
      <c r="G851" s="4" t="s">
        <v>370</v>
      </c>
      <c r="H851" s="4" t="s">
        <v>42</v>
      </c>
      <c r="I851" s="4" t="s">
        <v>631</v>
      </c>
      <c r="J851" s="4" t="s">
        <v>43</v>
      </c>
      <c r="K851" s="4" t="s">
        <v>43</v>
      </c>
      <c r="L851" s="4" t="s">
        <v>22</v>
      </c>
      <c r="M851" s="4" t="s">
        <v>98</v>
      </c>
      <c r="N851" s="4" t="s">
        <v>151</v>
      </c>
      <c r="O851">
        <v>55000</v>
      </c>
      <c r="P851">
        <v>1</v>
      </c>
      <c r="Q851">
        <v>1</v>
      </c>
      <c r="R851">
        <v>55000</v>
      </c>
      <c r="S851">
        <v>550</v>
      </c>
      <c r="T851">
        <v>54450</v>
      </c>
    </row>
    <row r="852" spans="1:20" x14ac:dyDescent="0.25">
      <c r="A852">
        <v>851</v>
      </c>
      <c r="B852" s="5">
        <v>45778</v>
      </c>
      <c r="C852">
        <v>56</v>
      </c>
      <c r="D852">
        <v>2</v>
      </c>
      <c r="E852">
        <v>34</v>
      </c>
      <c r="F852" s="4" t="s">
        <v>301</v>
      </c>
      <c r="G852" s="4" t="s">
        <v>302</v>
      </c>
      <c r="H852" s="4" t="s">
        <v>42</v>
      </c>
      <c r="I852" s="4" t="s">
        <v>615</v>
      </c>
      <c r="J852" s="4" t="s">
        <v>27</v>
      </c>
      <c r="K852" s="4" t="s">
        <v>28</v>
      </c>
      <c r="L852" s="4" t="s">
        <v>38</v>
      </c>
      <c r="M852" s="4" t="s">
        <v>56</v>
      </c>
      <c r="N852" s="4" t="s">
        <v>57</v>
      </c>
      <c r="O852">
        <v>25000</v>
      </c>
      <c r="P852">
        <v>3</v>
      </c>
      <c r="Q852">
        <v>5</v>
      </c>
      <c r="R852">
        <v>75000</v>
      </c>
      <c r="S852">
        <v>3750</v>
      </c>
      <c r="T852">
        <v>71250</v>
      </c>
    </row>
    <row r="853" spans="1:20" x14ac:dyDescent="0.25">
      <c r="A853">
        <v>852</v>
      </c>
      <c r="B853" s="5">
        <v>45779</v>
      </c>
      <c r="C853">
        <v>9</v>
      </c>
      <c r="D853">
        <v>9</v>
      </c>
      <c r="E853">
        <v>86</v>
      </c>
      <c r="F853" s="4" t="s">
        <v>214</v>
      </c>
      <c r="G853" s="4" t="s">
        <v>215</v>
      </c>
      <c r="H853" s="4" t="s">
        <v>19</v>
      </c>
      <c r="I853" s="4" t="s">
        <v>630</v>
      </c>
      <c r="J853" s="4" t="s">
        <v>37</v>
      </c>
      <c r="K853" s="4" t="s">
        <v>37</v>
      </c>
      <c r="L853" s="4" t="s">
        <v>22</v>
      </c>
      <c r="M853" s="4" t="s">
        <v>39</v>
      </c>
      <c r="N853" s="4" t="s">
        <v>24</v>
      </c>
      <c r="O853">
        <v>35000</v>
      </c>
      <c r="P853">
        <v>3</v>
      </c>
      <c r="Q853">
        <v>5</v>
      </c>
      <c r="R853">
        <v>105000</v>
      </c>
      <c r="S853">
        <v>5250</v>
      </c>
      <c r="T853">
        <v>99750</v>
      </c>
    </row>
    <row r="854" spans="1:20" x14ac:dyDescent="0.25">
      <c r="A854">
        <v>853</v>
      </c>
      <c r="B854" s="5">
        <v>45780</v>
      </c>
      <c r="C854">
        <v>14</v>
      </c>
      <c r="D854">
        <v>0</v>
      </c>
      <c r="E854">
        <v>254</v>
      </c>
      <c r="F854" s="4" t="s">
        <v>17</v>
      </c>
      <c r="G854" s="4" t="s">
        <v>18</v>
      </c>
      <c r="H854" s="4" t="s">
        <v>19</v>
      </c>
      <c r="I854" s="4" t="s">
        <v>619</v>
      </c>
      <c r="J854" s="4" t="s">
        <v>34</v>
      </c>
      <c r="K854" s="4" t="s">
        <v>272</v>
      </c>
      <c r="L854" s="4" t="s">
        <v>38</v>
      </c>
      <c r="M854" s="4" t="s">
        <v>69</v>
      </c>
      <c r="N854" s="4" t="s">
        <v>53</v>
      </c>
      <c r="O854">
        <v>450000</v>
      </c>
      <c r="P854">
        <v>3</v>
      </c>
      <c r="Q854">
        <v>1</v>
      </c>
      <c r="R854">
        <v>1350000</v>
      </c>
      <c r="S854">
        <v>13500</v>
      </c>
      <c r="T854">
        <v>1336500</v>
      </c>
    </row>
    <row r="855" spans="1:20" x14ac:dyDescent="0.25">
      <c r="A855">
        <v>854</v>
      </c>
      <c r="B855" s="5">
        <v>45781</v>
      </c>
      <c r="C855">
        <v>31</v>
      </c>
      <c r="D855">
        <v>4</v>
      </c>
      <c r="E855">
        <v>279</v>
      </c>
      <c r="F855" s="4" t="s">
        <v>381</v>
      </c>
      <c r="G855" s="4" t="s">
        <v>382</v>
      </c>
      <c r="H855" s="4" t="s">
        <v>42</v>
      </c>
      <c r="I855" s="4" t="s">
        <v>610</v>
      </c>
      <c r="J855" s="4" t="s">
        <v>101</v>
      </c>
      <c r="K855" s="4" t="s">
        <v>109</v>
      </c>
      <c r="L855" s="4" t="s">
        <v>38</v>
      </c>
      <c r="M855" s="4" t="s">
        <v>62</v>
      </c>
      <c r="N855" s="4" t="s">
        <v>31</v>
      </c>
      <c r="O855">
        <v>650000</v>
      </c>
      <c r="P855">
        <v>1</v>
      </c>
      <c r="Q855">
        <v>5</v>
      </c>
      <c r="R855">
        <v>650000</v>
      </c>
      <c r="S855">
        <v>32500</v>
      </c>
      <c r="T855">
        <v>617500</v>
      </c>
    </row>
    <row r="856" spans="1:20" x14ac:dyDescent="0.25">
      <c r="A856">
        <v>855</v>
      </c>
      <c r="B856" s="5">
        <v>45782</v>
      </c>
      <c r="C856">
        <v>33</v>
      </c>
      <c r="D856">
        <v>13</v>
      </c>
      <c r="E856">
        <v>108</v>
      </c>
      <c r="F856" s="4" t="s">
        <v>409</v>
      </c>
      <c r="G856" s="4" t="s">
        <v>410</v>
      </c>
      <c r="H856" s="4" t="s">
        <v>19</v>
      </c>
      <c r="I856" s="4" t="s">
        <v>625</v>
      </c>
      <c r="J856" s="4" t="s">
        <v>101</v>
      </c>
      <c r="K856" s="4" t="s">
        <v>109</v>
      </c>
      <c r="L856" s="4" t="s">
        <v>22</v>
      </c>
      <c r="M856" s="4" t="s">
        <v>102</v>
      </c>
      <c r="N856" s="4" t="s">
        <v>57</v>
      </c>
      <c r="O856">
        <v>12000</v>
      </c>
      <c r="P856">
        <v>3</v>
      </c>
      <c r="Q856">
        <v>5</v>
      </c>
      <c r="R856">
        <v>36000</v>
      </c>
      <c r="S856">
        <v>1800</v>
      </c>
      <c r="T856">
        <v>34200</v>
      </c>
    </row>
    <row r="857" spans="1:20" x14ac:dyDescent="0.25">
      <c r="A857">
        <v>856</v>
      </c>
      <c r="B857" s="5">
        <v>45783</v>
      </c>
      <c r="C857">
        <v>39</v>
      </c>
      <c r="D857">
        <v>6</v>
      </c>
      <c r="E857">
        <v>62</v>
      </c>
      <c r="F857" s="4" t="s">
        <v>329</v>
      </c>
      <c r="G857" s="4" t="s">
        <v>330</v>
      </c>
      <c r="H857" s="4" t="s">
        <v>42</v>
      </c>
      <c r="I857" s="4" t="s">
        <v>613</v>
      </c>
      <c r="J857" s="4" t="s">
        <v>43</v>
      </c>
      <c r="K857" s="4" t="s">
        <v>43</v>
      </c>
      <c r="L857" s="4" t="s">
        <v>38</v>
      </c>
      <c r="M857" s="4" t="s">
        <v>69</v>
      </c>
      <c r="N857" s="4" t="s">
        <v>53</v>
      </c>
      <c r="O857">
        <v>450000</v>
      </c>
      <c r="P857">
        <v>1</v>
      </c>
      <c r="Q857">
        <v>5</v>
      </c>
      <c r="R857">
        <v>450000</v>
      </c>
      <c r="S857">
        <v>22500</v>
      </c>
      <c r="T857">
        <v>427500</v>
      </c>
    </row>
    <row r="858" spans="1:20" x14ac:dyDescent="0.25">
      <c r="A858">
        <v>857</v>
      </c>
      <c r="B858" s="5">
        <v>45784</v>
      </c>
      <c r="C858">
        <v>16</v>
      </c>
      <c r="D858">
        <v>3</v>
      </c>
      <c r="E858">
        <v>22</v>
      </c>
      <c r="F858" s="4" t="s">
        <v>279</v>
      </c>
      <c r="G858" s="4" t="s">
        <v>280</v>
      </c>
      <c r="H858" s="4" t="s">
        <v>19</v>
      </c>
      <c r="I858" s="4" t="s">
        <v>613</v>
      </c>
      <c r="J858" s="4" t="s">
        <v>20</v>
      </c>
      <c r="K858" s="4" t="s">
        <v>21</v>
      </c>
      <c r="L858" s="4" t="s">
        <v>38</v>
      </c>
      <c r="M858" s="4" t="s">
        <v>46</v>
      </c>
      <c r="N858" s="4" t="s">
        <v>53</v>
      </c>
      <c r="O858">
        <v>750000</v>
      </c>
      <c r="P858">
        <v>3</v>
      </c>
      <c r="Q858">
        <v>0</v>
      </c>
      <c r="R858">
        <v>2250000</v>
      </c>
      <c r="S858">
        <v>0</v>
      </c>
      <c r="T858">
        <v>2250000</v>
      </c>
    </row>
    <row r="859" spans="1:20" x14ac:dyDescent="0.25">
      <c r="A859">
        <v>858</v>
      </c>
      <c r="B859" s="5">
        <v>45785</v>
      </c>
      <c r="C859">
        <v>17</v>
      </c>
      <c r="D859">
        <v>0</v>
      </c>
      <c r="E859">
        <v>10</v>
      </c>
      <c r="F859" s="4" t="s">
        <v>587</v>
      </c>
      <c r="G859" s="4" t="s">
        <v>588</v>
      </c>
      <c r="H859" s="4" t="s">
        <v>42</v>
      </c>
      <c r="I859" s="4" t="s">
        <v>620</v>
      </c>
      <c r="J859" s="4" t="s">
        <v>34</v>
      </c>
      <c r="K859" s="4" t="s">
        <v>272</v>
      </c>
      <c r="L859" s="4" t="s">
        <v>38</v>
      </c>
      <c r="M859" s="4" t="s">
        <v>102</v>
      </c>
      <c r="N859" s="4" t="s">
        <v>57</v>
      </c>
      <c r="O859">
        <v>12000</v>
      </c>
      <c r="P859">
        <v>2</v>
      </c>
      <c r="Q859">
        <v>0</v>
      </c>
      <c r="R859">
        <v>24000</v>
      </c>
      <c r="S859">
        <v>0</v>
      </c>
      <c r="T859">
        <v>24000</v>
      </c>
    </row>
    <row r="860" spans="1:20" x14ac:dyDescent="0.25">
      <c r="A860">
        <v>859</v>
      </c>
      <c r="B860" s="5">
        <v>45786</v>
      </c>
      <c r="C860">
        <v>51</v>
      </c>
      <c r="D860">
        <v>7</v>
      </c>
      <c r="E860">
        <v>30</v>
      </c>
      <c r="F860" s="4" t="s">
        <v>143</v>
      </c>
      <c r="G860" s="4" t="s">
        <v>144</v>
      </c>
      <c r="H860" s="4" t="s">
        <v>19</v>
      </c>
      <c r="I860" s="4" t="s">
        <v>611</v>
      </c>
      <c r="J860" s="4" t="s">
        <v>101</v>
      </c>
      <c r="K860" s="4" t="s">
        <v>109</v>
      </c>
      <c r="L860" s="4" t="s">
        <v>38</v>
      </c>
      <c r="M860" s="4" t="s">
        <v>98</v>
      </c>
      <c r="N860" s="4" t="s">
        <v>151</v>
      </c>
      <c r="O860">
        <v>55000</v>
      </c>
      <c r="P860">
        <v>3</v>
      </c>
      <c r="Q860">
        <v>1</v>
      </c>
      <c r="R860">
        <v>165000</v>
      </c>
      <c r="S860">
        <v>1650</v>
      </c>
      <c r="T860">
        <v>163350</v>
      </c>
    </row>
    <row r="861" spans="1:20" x14ac:dyDescent="0.25">
      <c r="A861">
        <v>860</v>
      </c>
      <c r="B861" s="5">
        <v>45787</v>
      </c>
      <c r="C861">
        <v>51</v>
      </c>
      <c r="D861">
        <v>7</v>
      </c>
      <c r="E861">
        <v>37</v>
      </c>
      <c r="F861" s="4" t="s">
        <v>250</v>
      </c>
      <c r="G861" s="4" t="s">
        <v>251</v>
      </c>
      <c r="H861" s="4" t="s">
        <v>19</v>
      </c>
      <c r="I861" s="4" t="s">
        <v>625</v>
      </c>
      <c r="J861" s="4" t="s">
        <v>101</v>
      </c>
      <c r="K861" s="4" t="s">
        <v>109</v>
      </c>
      <c r="L861" s="4" t="s">
        <v>22</v>
      </c>
      <c r="M861" s="4" t="s">
        <v>102</v>
      </c>
      <c r="N861" s="4" t="s">
        <v>57</v>
      </c>
      <c r="O861">
        <v>12000</v>
      </c>
      <c r="P861">
        <v>1</v>
      </c>
      <c r="Q861">
        <v>0</v>
      </c>
      <c r="R861">
        <v>12000</v>
      </c>
      <c r="S861">
        <v>0</v>
      </c>
      <c r="T861">
        <v>12000</v>
      </c>
    </row>
    <row r="862" spans="1:20" x14ac:dyDescent="0.25">
      <c r="A862">
        <v>861</v>
      </c>
      <c r="B862" s="5">
        <v>45788</v>
      </c>
      <c r="C862">
        <v>31</v>
      </c>
      <c r="D862">
        <v>4</v>
      </c>
      <c r="E862">
        <v>215</v>
      </c>
      <c r="F862" s="4" t="s">
        <v>371</v>
      </c>
      <c r="G862" s="4" t="s">
        <v>372</v>
      </c>
      <c r="H862" s="4" t="s">
        <v>19</v>
      </c>
      <c r="I862" s="4" t="s">
        <v>611</v>
      </c>
      <c r="J862" s="4" t="s">
        <v>101</v>
      </c>
      <c r="K862" s="4" t="s">
        <v>109</v>
      </c>
      <c r="L862" s="4" t="s">
        <v>38</v>
      </c>
      <c r="M862" s="4" t="s">
        <v>30</v>
      </c>
      <c r="N862" s="4" t="s">
        <v>31</v>
      </c>
      <c r="O862">
        <v>700000</v>
      </c>
      <c r="P862">
        <v>3</v>
      </c>
      <c r="Q862">
        <v>5</v>
      </c>
      <c r="R862">
        <v>2100000</v>
      </c>
      <c r="S862">
        <v>105000</v>
      </c>
      <c r="T862">
        <v>1995000</v>
      </c>
    </row>
    <row r="863" spans="1:20" x14ac:dyDescent="0.25">
      <c r="A863">
        <v>862</v>
      </c>
      <c r="B863" s="5">
        <v>45789</v>
      </c>
      <c r="C863">
        <v>41</v>
      </c>
      <c r="D863">
        <v>4</v>
      </c>
      <c r="E863">
        <v>185</v>
      </c>
      <c r="F863" s="4" t="s">
        <v>287</v>
      </c>
      <c r="G863" s="4" t="s">
        <v>288</v>
      </c>
      <c r="H863" s="4" t="s">
        <v>19</v>
      </c>
      <c r="I863" s="4" t="s">
        <v>613</v>
      </c>
      <c r="J863" s="4" t="s">
        <v>43</v>
      </c>
      <c r="K863" s="4" t="s">
        <v>43</v>
      </c>
      <c r="L863" s="4" t="s">
        <v>22</v>
      </c>
      <c r="M863" s="4" t="s">
        <v>30</v>
      </c>
      <c r="N863" s="4" t="s">
        <v>31</v>
      </c>
      <c r="O863">
        <v>700000</v>
      </c>
      <c r="P863">
        <v>2</v>
      </c>
      <c r="Q863">
        <v>0</v>
      </c>
      <c r="R863">
        <v>1400000</v>
      </c>
      <c r="S863">
        <v>0</v>
      </c>
      <c r="T863">
        <v>1400000</v>
      </c>
    </row>
    <row r="864" spans="1:20" x14ac:dyDescent="0.25">
      <c r="A864">
        <v>863</v>
      </c>
      <c r="B864" s="5">
        <v>45790</v>
      </c>
      <c r="C864">
        <v>2</v>
      </c>
      <c r="D864">
        <v>2</v>
      </c>
      <c r="E864">
        <v>270</v>
      </c>
      <c r="F864" s="4" t="s">
        <v>467</v>
      </c>
      <c r="G864" s="4" t="s">
        <v>468</v>
      </c>
      <c r="H864" s="4" t="s">
        <v>19</v>
      </c>
      <c r="I864" s="4" t="s">
        <v>622</v>
      </c>
      <c r="J864" s="4" t="s">
        <v>101</v>
      </c>
      <c r="K864" s="4" t="s">
        <v>109</v>
      </c>
      <c r="L864" s="4" t="s">
        <v>22</v>
      </c>
      <c r="M864" s="4" t="s">
        <v>62</v>
      </c>
      <c r="N864" s="4" t="s">
        <v>31</v>
      </c>
      <c r="O864">
        <v>650000</v>
      </c>
      <c r="P864">
        <v>2</v>
      </c>
      <c r="Q864">
        <v>1</v>
      </c>
      <c r="R864">
        <v>1300000</v>
      </c>
      <c r="S864">
        <v>13000</v>
      </c>
      <c r="T864">
        <v>1287000</v>
      </c>
    </row>
    <row r="865" spans="1:20" x14ac:dyDescent="0.25">
      <c r="A865">
        <v>864</v>
      </c>
      <c r="B865" s="5">
        <v>45791</v>
      </c>
      <c r="C865">
        <v>29</v>
      </c>
      <c r="D865">
        <v>1</v>
      </c>
      <c r="E865">
        <v>4</v>
      </c>
      <c r="F865" s="4" t="s">
        <v>220</v>
      </c>
      <c r="G865" s="4" t="s">
        <v>221</v>
      </c>
      <c r="H865" s="4" t="s">
        <v>19</v>
      </c>
      <c r="I865" s="4" t="s">
        <v>646</v>
      </c>
      <c r="J865" s="4" t="s">
        <v>116</v>
      </c>
      <c r="K865" s="4" t="s">
        <v>37</v>
      </c>
      <c r="L865" s="4" t="s">
        <v>38</v>
      </c>
      <c r="M865" s="4" t="s">
        <v>102</v>
      </c>
      <c r="N865" s="4" t="s">
        <v>57</v>
      </c>
      <c r="O865">
        <v>12000</v>
      </c>
      <c r="P865">
        <v>1</v>
      </c>
      <c r="Q865">
        <v>5</v>
      </c>
      <c r="R865">
        <v>12000</v>
      </c>
      <c r="S865">
        <v>600</v>
      </c>
      <c r="T865">
        <v>11400</v>
      </c>
    </row>
    <row r="866" spans="1:20" x14ac:dyDescent="0.25">
      <c r="A866">
        <v>865</v>
      </c>
      <c r="B866" s="5">
        <v>45792</v>
      </c>
      <c r="C866">
        <v>56</v>
      </c>
      <c r="D866">
        <v>2</v>
      </c>
      <c r="E866">
        <v>40</v>
      </c>
      <c r="F866" s="4" t="s">
        <v>88</v>
      </c>
      <c r="G866" s="4" t="s">
        <v>89</v>
      </c>
      <c r="H866" s="4" t="s">
        <v>19</v>
      </c>
      <c r="I866" s="4" t="s">
        <v>625</v>
      </c>
      <c r="J866" s="4" t="s">
        <v>27</v>
      </c>
      <c r="K866" s="4" t="s">
        <v>28</v>
      </c>
      <c r="L866" s="4" t="s">
        <v>38</v>
      </c>
      <c r="M866" s="4" t="s">
        <v>56</v>
      </c>
      <c r="N866" s="4" t="s">
        <v>57</v>
      </c>
      <c r="O866">
        <v>25000</v>
      </c>
      <c r="P866">
        <v>1</v>
      </c>
      <c r="Q866">
        <v>1</v>
      </c>
      <c r="R866">
        <v>25000</v>
      </c>
      <c r="S866">
        <v>250</v>
      </c>
      <c r="T866">
        <v>24750</v>
      </c>
    </row>
    <row r="867" spans="1:20" x14ac:dyDescent="0.25">
      <c r="A867">
        <v>866</v>
      </c>
      <c r="B867" s="5">
        <v>45793</v>
      </c>
      <c r="C867">
        <v>12</v>
      </c>
      <c r="D867">
        <v>0</v>
      </c>
      <c r="E867">
        <v>12</v>
      </c>
      <c r="F867" s="4" t="s">
        <v>331</v>
      </c>
      <c r="G867" s="4" t="s">
        <v>332</v>
      </c>
      <c r="H867" s="4" t="s">
        <v>42</v>
      </c>
      <c r="I867" s="4" t="s">
        <v>639</v>
      </c>
      <c r="J867" s="4" t="s">
        <v>116</v>
      </c>
      <c r="K867" s="4" t="s">
        <v>37</v>
      </c>
      <c r="L867" s="4" t="s">
        <v>22</v>
      </c>
      <c r="M867" s="4" t="s">
        <v>69</v>
      </c>
      <c r="N867" s="4" t="s">
        <v>53</v>
      </c>
      <c r="O867">
        <v>450000</v>
      </c>
      <c r="P867">
        <v>1</v>
      </c>
      <c r="Q867">
        <v>5</v>
      </c>
      <c r="R867">
        <v>450000</v>
      </c>
      <c r="S867">
        <v>22500</v>
      </c>
      <c r="T867">
        <v>427500</v>
      </c>
    </row>
    <row r="868" spans="1:20" x14ac:dyDescent="0.25">
      <c r="A868">
        <v>867</v>
      </c>
      <c r="B868" s="5">
        <v>45794</v>
      </c>
      <c r="C868">
        <v>15</v>
      </c>
      <c r="D868">
        <v>0</v>
      </c>
      <c r="E868">
        <v>155</v>
      </c>
      <c r="F868" s="4" t="s">
        <v>379</v>
      </c>
      <c r="G868" s="4" t="s">
        <v>380</v>
      </c>
      <c r="H868" s="4" t="s">
        <v>42</v>
      </c>
      <c r="I868" s="4" t="s">
        <v>623</v>
      </c>
      <c r="J868" s="4" t="s">
        <v>34</v>
      </c>
      <c r="K868" s="4" t="s">
        <v>272</v>
      </c>
      <c r="L868" s="4" t="s">
        <v>38</v>
      </c>
      <c r="M868" s="4" t="s">
        <v>39</v>
      </c>
      <c r="N868" s="4" t="s">
        <v>24</v>
      </c>
      <c r="O868">
        <v>35000</v>
      </c>
      <c r="P868">
        <v>2</v>
      </c>
      <c r="Q868">
        <v>0</v>
      </c>
      <c r="R868">
        <v>70000</v>
      </c>
      <c r="S868">
        <v>0</v>
      </c>
      <c r="T868">
        <v>70000</v>
      </c>
    </row>
    <row r="869" spans="1:20" x14ac:dyDescent="0.25">
      <c r="A869">
        <v>868</v>
      </c>
      <c r="B869" s="5">
        <v>45795</v>
      </c>
      <c r="C869">
        <v>12</v>
      </c>
      <c r="D869">
        <v>0</v>
      </c>
      <c r="E869">
        <v>264</v>
      </c>
      <c r="F869" s="4" t="s">
        <v>419</v>
      </c>
      <c r="G869" s="4" t="s">
        <v>420</v>
      </c>
      <c r="H869" s="4" t="s">
        <v>42</v>
      </c>
      <c r="I869" s="4" t="s">
        <v>615</v>
      </c>
      <c r="J869" s="4" t="s">
        <v>116</v>
      </c>
      <c r="K869" s="4" t="s">
        <v>37</v>
      </c>
      <c r="L869" s="4" t="s">
        <v>29</v>
      </c>
      <c r="M869" s="4" t="s">
        <v>56</v>
      </c>
      <c r="N869" s="4" t="s">
        <v>57</v>
      </c>
      <c r="O869">
        <v>25000</v>
      </c>
      <c r="P869">
        <v>3</v>
      </c>
      <c r="Q869">
        <v>0</v>
      </c>
      <c r="R869">
        <v>75000</v>
      </c>
      <c r="S869">
        <v>0</v>
      </c>
      <c r="T869">
        <v>75000</v>
      </c>
    </row>
    <row r="870" spans="1:20" x14ac:dyDescent="0.25">
      <c r="A870">
        <v>869</v>
      </c>
      <c r="B870" s="5">
        <v>45796</v>
      </c>
      <c r="C870">
        <v>16</v>
      </c>
      <c r="D870">
        <v>3</v>
      </c>
      <c r="E870">
        <v>56</v>
      </c>
      <c r="F870" s="4" t="s">
        <v>589</v>
      </c>
      <c r="G870" s="4" t="s">
        <v>590</v>
      </c>
      <c r="H870" s="4" t="s">
        <v>42</v>
      </c>
      <c r="I870" s="4" t="s">
        <v>637</v>
      </c>
      <c r="J870" s="4" t="s">
        <v>20</v>
      </c>
      <c r="K870" s="4" t="s">
        <v>21</v>
      </c>
      <c r="L870" s="4" t="s">
        <v>22</v>
      </c>
      <c r="M870" s="4" t="s">
        <v>46</v>
      </c>
      <c r="N870" s="4" t="s">
        <v>53</v>
      </c>
      <c r="O870">
        <v>750000</v>
      </c>
      <c r="P870">
        <v>3</v>
      </c>
      <c r="Q870">
        <v>0</v>
      </c>
      <c r="R870">
        <v>2250000</v>
      </c>
      <c r="S870">
        <v>0</v>
      </c>
      <c r="T870">
        <v>2250000</v>
      </c>
    </row>
    <row r="871" spans="1:20" x14ac:dyDescent="0.25">
      <c r="A871">
        <v>870</v>
      </c>
      <c r="B871" s="5">
        <v>45797</v>
      </c>
      <c r="C871">
        <v>36</v>
      </c>
      <c r="D871">
        <v>4</v>
      </c>
      <c r="E871">
        <v>70</v>
      </c>
      <c r="F871" s="4" t="s">
        <v>343</v>
      </c>
      <c r="G871" s="4" t="s">
        <v>344</v>
      </c>
      <c r="H871" s="4" t="s">
        <v>42</v>
      </c>
      <c r="I871" s="4" t="s">
        <v>643</v>
      </c>
      <c r="J871" s="4" t="s">
        <v>101</v>
      </c>
      <c r="K871" s="4" t="s">
        <v>109</v>
      </c>
      <c r="L871" s="4" t="s">
        <v>22</v>
      </c>
      <c r="M871" s="4" t="s">
        <v>49</v>
      </c>
      <c r="N871" s="4" t="s">
        <v>31</v>
      </c>
      <c r="O871">
        <v>800000</v>
      </c>
      <c r="P871">
        <v>1</v>
      </c>
      <c r="Q871">
        <v>5</v>
      </c>
      <c r="R871">
        <v>800000</v>
      </c>
      <c r="S871">
        <v>40000</v>
      </c>
      <c r="T871">
        <v>760000</v>
      </c>
    </row>
    <row r="872" spans="1:20" x14ac:dyDescent="0.25">
      <c r="A872">
        <v>871</v>
      </c>
      <c r="B872" s="5">
        <v>45798</v>
      </c>
      <c r="C872">
        <v>67</v>
      </c>
      <c r="D872">
        <v>0</v>
      </c>
      <c r="E872">
        <v>206</v>
      </c>
      <c r="F872" s="4" t="s">
        <v>258</v>
      </c>
      <c r="G872" s="4" t="s">
        <v>259</v>
      </c>
      <c r="H872" s="4" t="s">
        <v>42</v>
      </c>
      <c r="I872" s="4" t="s">
        <v>608</v>
      </c>
      <c r="J872" s="4" t="s">
        <v>27</v>
      </c>
      <c r="K872" s="4" t="s">
        <v>28</v>
      </c>
      <c r="L872" s="4" t="s">
        <v>22</v>
      </c>
      <c r="M872" s="4" t="s">
        <v>49</v>
      </c>
      <c r="N872" s="4" t="s">
        <v>31</v>
      </c>
      <c r="O872">
        <v>800000</v>
      </c>
      <c r="P872">
        <v>1</v>
      </c>
      <c r="Q872">
        <v>0</v>
      </c>
      <c r="R872">
        <v>800000</v>
      </c>
      <c r="S872">
        <v>0</v>
      </c>
      <c r="T872">
        <v>800000</v>
      </c>
    </row>
    <row r="873" spans="1:20" x14ac:dyDescent="0.25">
      <c r="A873">
        <v>872</v>
      </c>
      <c r="B873" s="5">
        <v>45799</v>
      </c>
      <c r="C873">
        <v>44</v>
      </c>
      <c r="D873">
        <v>7</v>
      </c>
      <c r="E873">
        <v>204</v>
      </c>
      <c r="F873" s="4" t="s">
        <v>139</v>
      </c>
      <c r="G873" s="4" t="s">
        <v>140</v>
      </c>
      <c r="H873" s="4" t="s">
        <v>19</v>
      </c>
      <c r="I873" s="4" t="s">
        <v>619</v>
      </c>
      <c r="J873" s="4" t="s">
        <v>43</v>
      </c>
      <c r="K873" s="4" t="s">
        <v>43</v>
      </c>
      <c r="L873" s="4" t="s">
        <v>22</v>
      </c>
      <c r="M873" s="4" t="s">
        <v>49</v>
      </c>
      <c r="N873" s="4" t="s">
        <v>31</v>
      </c>
      <c r="O873">
        <v>800000</v>
      </c>
      <c r="P873">
        <v>1</v>
      </c>
      <c r="Q873">
        <v>1</v>
      </c>
      <c r="R873">
        <v>800000</v>
      </c>
      <c r="S873">
        <v>8000</v>
      </c>
      <c r="T873">
        <v>792000</v>
      </c>
    </row>
    <row r="874" spans="1:20" x14ac:dyDescent="0.25">
      <c r="A874">
        <v>873</v>
      </c>
      <c r="B874" s="5">
        <v>45800</v>
      </c>
      <c r="C874">
        <v>9</v>
      </c>
      <c r="D874">
        <v>9</v>
      </c>
      <c r="E874">
        <v>109</v>
      </c>
      <c r="F874" s="4" t="s">
        <v>242</v>
      </c>
      <c r="G874" s="4" t="s">
        <v>243</v>
      </c>
      <c r="H874" s="4" t="s">
        <v>19</v>
      </c>
      <c r="I874" s="4" t="s">
        <v>623</v>
      </c>
      <c r="J874" s="4" t="s">
        <v>37</v>
      </c>
      <c r="K874" s="4" t="s">
        <v>37</v>
      </c>
      <c r="L874" s="4" t="s">
        <v>22</v>
      </c>
      <c r="M874" s="4" t="s">
        <v>62</v>
      </c>
      <c r="N874" s="4" t="s">
        <v>31</v>
      </c>
      <c r="O874">
        <v>650000</v>
      </c>
      <c r="P874">
        <v>2</v>
      </c>
      <c r="Q874">
        <v>0</v>
      </c>
      <c r="R874">
        <v>1300000</v>
      </c>
      <c r="S874">
        <v>0</v>
      </c>
      <c r="T874">
        <v>1300000</v>
      </c>
    </row>
    <row r="875" spans="1:20" x14ac:dyDescent="0.25">
      <c r="A875">
        <v>874</v>
      </c>
      <c r="B875" s="5">
        <v>45801</v>
      </c>
      <c r="C875">
        <v>41</v>
      </c>
      <c r="D875">
        <v>4</v>
      </c>
      <c r="E875">
        <v>155</v>
      </c>
      <c r="F875" s="4" t="s">
        <v>379</v>
      </c>
      <c r="G875" s="4" t="s">
        <v>380</v>
      </c>
      <c r="H875" s="4" t="s">
        <v>42</v>
      </c>
      <c r="I875" s="4" t="s">
        <v>623</v>
      </c>
      <c r="J875" s="4" t="s">
        <v>43</v>
      </c>
      <c r="K875" s="4" t="s">
        <v>43</v>
      </c>
      <c r="L875" s="4" t="s">
        <v>38</v>
      </c>
      <c r="M875" s="4" t="s">
        <v>102</v>
      </c>
      <c r="N875" s="4" t="s">
        <v>57</v>
      </c>
      <c r="O875">
        <v>12000</v>
      </c>
      <c r="P875">
        <v>1</v>
      </c>
      <c r="Q875">
        <v>5</v>
      </c>
      <c r="R875">
        <v>12000</v>
      </c>
      <c r="S875">
        <v>600</v>
      </c>
      <c r="T875">
        <v>11400</v>
      </c>
    </row>
    <row r="876" spans="1:20" x14ac:dyDescent="0.25">
      <c r="A876">
        <v>875</v>
      </c>
      <c r="B876" s="5">
        <v>45802</v>
      </c>
      <c r="C876">
        <v>17</v>
      </c>
      <c r="D876">
        <v>0</v>
      </c>
      <c r="E876">
        <v>279</v>
      </c>
      <c r="F876" s="4" t="s">
        <v>381</v>
      </c>
      <c r="G876" s="4" t="s">
        <v>382</v>
      </c>
      <c r="H876" s="4" t="s">
        <v>42</v>
      </c>
      <c r="I876" s="4" t="s">
        <v>610</v>
      </c>
      <c r="J876" s="4" t="s">
        <v>34</v>
      </c>
      <c r="K876" s="4" t="s">
        <v>272</v>
      </c>
      <c r="L876" s="4" t="s">
        <v>29</v>
      </c>
      <c r="M876" s="4" t="s">
        <v>62</v>
      </c>
      <c r="N876" s="4" t="s">
        <v>31</v>
      </c>
      <c r="O876">
        <v>650000</v>
      </c>
      <c r="P876">
        <v>1</v>
      </c>
      <c r="Q876">
        <v>5</v>
      </c>
      <c r="R876">
        <v>650000</v>
      </c>
      <c r="S876">
        <v>32500</v>
      </c>
      <c r="T876">
        <v>617500</v>
      </c>
    </row>
    <row r="877" spans="1:20" x14ac:dyDescent="0.25">
      <c r="A877">
        <v>876</v>
      </c>
      <c r="B877" s="5">
        <v>45803</v>
      </c>
      <c r="C877">
        <v>64</v>
      </c>
      <c r="D877">
        <v>4</v>
      </c>
      <c r="E877">
        <v>280</v>
      </c>
      <c r="F877" s="4" t="s">
        <v>591</v>
      </c>
      <c r="G877" s="4" t="s">
        <v>592</v>
      </c>
      <c r="H877" s="4" t="s">
        <v>42</v>
      </c>
      <c r="I877" s="4" t="s">
        <v>626</v>
      </c>
      <c r="J877" s="4" t="s">
        <v>20</v>
      </c>
      <c r="K877" s="4" t="s">
        <v>21</v>
      </c>
      <c r="L877" s="4" t="s">
        <v>22</v>
      </c>
      <c r="M877" s="4" t="s">
        <v>30</v>
      </c>
      <c r="N877" s="4" t="s">
        <v>31</v>
      </c>
      <c r="O877">
        <v>700000</v>
      </c>
      <c r="P877">
        <v>1</v>
      </c>
      <c r="Q877">
        <v>0</v>
      </c>
      <c r="R877">
        <v>700000</v>
      </c>
      <c r="S877">
        <v>0</v>
      </c>
      <c r="T877">
        <v>700000</v>
      </c>
    </row>
    <row r="878" spans="1:20" x14ac:dyDescent="0.25">
      <c r="A878">
        <v>877</v>
      </c>
      <c r="B878" s="5">
        <v>45804</v>
      </c>
      <c r="C878">
        <v>2</v>
      </c>
      <c r="D878">
        <v>2</v>
      </c>
      <c r="E878">
        <v>128</v>
      </c>
      <c r="F878" s="4" t="s">
        <v>425</v>
      </c>
      <c r="G878" s="4" t="s">
        <v>426</v>
      </c>
      <c r="H878" s="4" t="s">
        <v>42</v>
      </c>
      <c r="I878" s="4" t="s">
        <v>630</v>
      </c>
      <c r="J878" s="4" t="s">
        <v>101</v>
      </c>
      <c r="K878" s="4" t="s">
        <v>109</v>
      </c>
      <c r="L878" s="4" t="s">
        <v>38</v>
      </c>
      <c r="M878" s="4" t="s">
        <v>69</v>
      </c>
      <c r="N878" s="4" t="s">
        <v>53</v>
      </c>
      <c r="O878">
        <v>450000</v>
      </c>
      <c r="P878">
        <v>2</v>
      </c>
      <c r="Q878">
        <v>5</v>
      </c>
      <c r="R878">
        <v>900000</v>
      </c>
      <c r="S878">
        <v>45000</v>
      </c>
      <c r="T878">
        <v>855000</v>
      </c>
    </row>
    <row r="879" spans="1:20" x14ac:dyDescent="0.25">
      <c r="A879">
        <v>878</v>
      </c>
      <c r="B879" s="5">
        <v>45805</v>
      </c>
      <c r="C879">
        <v>17</v>
      </c>
      <c r="D879">
        <v>0</v>
      </c>
      <c r="E879">
        <v>164</v>
      </c>
      <c r="F879" s="4" t="s">
        <v>369</v>
      </c>
      <c r="G879" s="4" t="s">
        <v>370</v>
      </c>
      <c r="H879" s="4" t="s">
        <v>42</v>
      </c>
      <c r="I879" s="4" t="s">
        <v>631</v>
      </c>
      <c r="J879" s="4" t="s">
        <v>34</v>
      </c>
      <c r="K879" s="4" t="s">
        <v>272</v>
      </c>
      <c r="L879" s="4" t="s">
        <v>22</v>
      </c>
      <c r="M879" s="4" t="s">
        <v>62</v>
      </c>
      <c r="N879" s="4" t="s">
        <v>31</v>
      </c>
      <c r="O879">
        <v>650000</v>
      </c>
      <c r="P879">
        <v>1</v>
      </c>
      <c r="Q879">
        <v>0</v>
      </c>
      <c r="R879">
        <v>650000</v>
      </c>
      <c r="S879">
        <v>0</v>
      </c>
      <c r="T879">
        <v>650000</v>
      </c>
    </row>
    <row r="880" spans="1:20" x14ac:dyDescent="0.25">
      <c r="A880">
        <v>879</v>
      </c>
      <c r="B880" s="5">
        <v>45806</v>
      </c>
      <c r="C880">
        <v>49</v>
      </c>
      <c r="D880">
        <v>1</v>
      </c>
      <c r="E880">
        <v>198</v>
      </c>
      <c r="F880" s="4" t="s">
        <v>593</v>
      </c>
      <c r="G880" s="4" t="s">
        <v>594</v>
      </c>
      <c r="H880" s="4" t="s">
        <v>42</v>
      </c>
      <c r="I880" s="4" t="s">
        <v>622</v>
      </c>
      <c r="J880" s="4" t="s">
        <v>43</v>
      </c>
      <c r="K880" s="4" t="s">
        <v>43</v>
      </c>
      <c r="L880" s="4" t="s">
        <v>38</v>
      </c>
      <c r="M880" s="4" t="s">
        <v>39</v>
      </c>
      <c r="N880" s="4" t="s">
        <v>24</v>
      </c>
      <c r="O880">
        <v>35000</v>
      </c>
      <c r="P880">
        <v>2</v>
      </c>
      <c r="Q880">
        <v>0</v>
      </c>
      <c r="R880">
        <v>70000</v>
      </c>
      <c r="S880">
        <v>0</v>
      </c>
      <c r="T880">
        <v>70000</v>
      </c>
    </row>
    <row r="881" spans="1:20" x14ac:dyDescent="0.25">
      <c r="A881">
        <v>880</v>
      </c>
      <c r="B881" s="5">
        <v>45807</v>
      </c>
      <c r="C881">
        <v>5</v>
      </c>
      <c r="D881">
        <v>1</v>
      </c>
      <c r="E881">
        <v>130</v>
      </c>
      <c r="F881" s="4" t="s">
        <v>212</v>
      </c>
      <c r="G881" s="4" t="s">
        <v>213</v>
      </c>
      <c r="H881" s="4" t="s">
        <v>19</v>
      </c>
      <c r="I881" s="4" t="s">
        <v>630</v>
      </c>
      <c r="J881" s="4" t="s">
        <v>27</v>
      </c>
      <c r="K881" s="4" t="s">
        <v>28</v>
      </c>
      <c r="L881" s="4" t="s">
        <v>38</v>
      </c>
      <c r="M881" s="4" t="s">
        <v>49</v>
      </c>
      <c r="N881" s="4" t="s">
        <v>31</v>
      </c>
      <c r="O881">
        <v>800000</v>
      </c>
      <c r="P881">
        <v>3</v>
      </c>
      <c r="Q881">
        <v>5</v>
      </c>
      <c r="R881">
        <v>2400000</v>
      </c>
      <c r="S881">
        <v>120000</v>
      </c>
      <c r="T881">
        <v>2280000</v>
      </c>
    </row>
    <row r="882" spans="1:20" x14ac:dyDescent="0.25">
      <c r="A882">
        <v>881</v>
      </c>
      <c r="B882" s="5">
        <v>45808</v>
      </c>
      <c r="C882">
        <v>70</v>
      </c>
      <c r="D882">
        <v>6</v>
      </c>
      <c r="E882">
        <v>101</v>
      </c>
      <c r="F882" s="4" t="s">
        <v>285</v>
      </c>
      <c r="G882" s="4" t="s">
        <v>286</v>
      </c>
      <c r="H882" s="4" t="s">
        <v>42</v>
      </c>
      <c r="I882" s="4" t="s">
        <v>629</v>
      </c>
      <c r="J882" s="4" t="s">
        <v>27</v>
      </c>
      <c r="K882" s="4" t="s">
        <v>28</v>
      </c>
      <c r="L882" s="4" t="s">
        <v>29</v>
      </c>
      <c r="M882" s="4" t="s">
        <v>69</v>
      </c>
      <c r="N882" s="4" t="s">
        <v>53</v>
      </c>
      <c r="O882">
        <v>450000</v>
      </c>
      <c r="P882">
        <v>1</v>
      </c>
      <c r="Q882">
        <v>1</v>
      </c>
      <c r="R882">
        <v>450000</v>
      </c>
      <c r="S882">
        <v>4500</v>
      </c>
      <c r="T882">
        <v>445500</v>
      </c>
    </row>
    <row r="883" spans="1:20" x14ac:dyDescent="0.25">
      <c r="A883">
        <v>882</v>
      </c>
      <c r="B883" s="5">
        <v>45809</v>
      </c>
      <c r="C883">
        <v>13</v>
      </c>
      <c r="D883">
        <v>0</v>
      </c>
      <c r="E883">
        <v>230</v>
      </c>
      <c r="F883" s="4" t="s">
        <v>495</v>
      </c>
      <c r="G883" s="4" t="s">
        <v>496</v>
      </c>
      <c r="H883" s="4" t="s">
        <v>19</v>
      </c>
      <c r="I883" s="4" t="s">
        <v>636</v>
      </c>
      <c r="J883" s="4" t="s">
        <v>27</v>
      </c>
      <c r="K883" s="4" t="s">
        <v>28</v>
      </c>
      <c r="L883" s="4" t="s">
        <v>38</v>
      </c>
      <c r="M883" s="4" t="s">
        <v>30</v>
      </c>
      <c r="N883" s="4" t="s">
        <v>31</v>
      </c>
      <c r="O883">
        <v>700000</v>
      </c>
      <c r="P883">
        <v>1</v>
      </c>
      <c r="Q883">
        <v>5</v>
      </c>
      <c r="R883">
        <v>700000</v>
      </c>
      <c r="S883">
        <v>35000</v>
      </c>
      <c r="T883">
        <v>665000</v>
      </c>
    </row>
    <row r="884" spans="1:20" x14ac:dyDescent="0.25">
      <c r="A884">
        <v>883</v>
      </c>
      <c r="B884" s="5">
        <v>45810</v>
      </c>
      <c r="C884">
        <v>13</v>
      </c>
      <c r="D884">
        <v>0</v>
      </c>
      <c r="E884">
        <v>154</v>
      </c>
      <c r="F884" s="4" t="s">
        <v>595</v>
      </c>
      <c r="G884" s="4" t="s">
        <v>596</v>
      </c>
      <c r="H884" s="4" t="s">
        <v>19</v>
      </c>
      <c r="I884" s="4" t="s">
        <v>625</v>
      </c>
      <c r="J884" s="4" t="s">
        <v>27</v>
      </c>
      <c r="K884" s="4" t="s">
        <v>28</v>
      </c>
      <c r="L884" s="4" t="s">
        <v>22</v>
      </c>
      <c r="M884" s="4" t="s">
        <v>102</v>
      </c>
      <c r="N884" s="4" t="s">
        <v>57</v>
      </c>
      <c r="O884">
        <v>12000</v>
      </c>
      <c r="P884">
        <v>2</v>
      </c>
      <c r="Q884">
        <v>1</v>
      </c>
      <c r="R884">
        <v>24000</v>
      </c>
      <c r="S884">
        <v>240</v>
      </c>
      <c r="T884">
        <v>23760</v>
      </c>
    </row>
    <row r="885" spans="1:20" x14ac:dyDescent="0.25">
      <c r="A885">
        <v>884</v>
      </c>
      <c r="B885" s="5">
        <v>45811</v>
      </c>
      <c r="C885">
        <v>19</v>
      </c>
      <c r="D885">
        <v>5</v>
      </c>
      <c r="E885">
        <v>16</v>
      </c>
      <c r="F885" s="4" t="s">
        <v>391</v>
      </c>
      <c r="G885" s="4" t="s">
        <v>392</v>
      </c>
      <c r="H885" s="4" t="s">
        <v>42</v>
      </c>
      <c r="I885" s="4" t="s">
        <v>630</v>
      </c>
      <c r="J885" s="4" t="s">
        <v>20</v>
      </c>
      <c r="K885" s="4" t="s">
        <v>21</v>
      </c>
      <c r="L885" s="4" t="s">
        <v>38</v>
      </c>
      <c r="M885" s="4" t="s">
        <v>62</v>
      </c>
      <c r="N885" s="4" t="s">
        <v>31</v>
      </c>
      <c r="O885">
        <v>650000</v>
      </c>
      <c r="P885">
        <v>1</v>
      </c>
      <c r="Q885">
        <v>5</v>
      </c>
      <c r="R885">
        <v>650000</v>
      </c>
      <c r="S885">
        <v>32500</v>
      </c>
      <c r="T885">
        <v>617500</v>
      </c>
    </row>
    <row r="886" spans="1:20" x14ac:dyDescent="0.25">
      <c r="A886">
        <v>885</v>
      </c>
      <c r="B886" s="5">
        <v>45812</v>
      </c>
      <c r="C886">
        <v>57</v>
      </c>
      <c r="D886">
        <v>3</v>
      </c>
      <c r="E886">
        <v>70</v>
      </c>
      <c r="F886" s="4" t="s">
        <v>343</v>
      </c>
      <c r="G886" s="4" t="s">
        <v>344</v>
      </c>
      <c r="H886" s="4" t="s">
        <v>42</v>
      </c>
      <c r="I886" s="4" t="s">
        <v>643</v>
      </c>
      <c r="J886" s="4" t="s">
        <v>52</v>
      </c>
      <c r="K886" s="4" t="s">
        <v>28</v>
      </c>
      <c r="L886" s="4" t="s">
        <v>38</v>
      </c>
      <c r="M886" s="4" t="s">
        <v>23</v>
      </c>
      <c r="N886" s="4" t="s">
        <v>24</v>
      </c>
      <c r="O886">
        <v>15000</v>
      </c>
      <c r="P886">
        <v>2</v>
      </c>
      <c r="Q886">
        <v>0</v>
      </c>
      <c r="R886">
        <v>30000</v>
      </c>
      <c r="S886">
        <v>0</v>
      </c>
      <c r="T886">
        <v>30000</v>
      </c>
    </row>
    <row r="887" spans="1:20" x14ac:dyDescent="0.25">
      <c r="A887">
        <v>886</v>
      </c>
      <c r="B887" s="5">
        <v>45813</v>
      </c>
      <c r="C887">
        <v>48</v>
      </c>
      <c r="D887">
        <v>6</v>
      </c>
      <c r="E887">
        <v>190</v>
      </c>
      <c r="F887" s="4" t="s">
        <v>563</v>
      </c>
      <c r="G887" s="4" t="s">
        <v>564</v>
      </c>
      <c r="H887" s="4" t="s">
        <v>19</v>
      </c>
      <c r="I887" s="4" t="s">
        <v>652</v>
      </c>
      <c r="J887" s="4" t="s">
        <v>37</v>
      </c>
      <c r="K887" s="4" t="s">
        <v>37</v>
      </c>
      <c r="L887" s="4" t="s">
        <v>29</v>
      </c>
      <c r="M887" s="4" t="s">
        <v>62</v>
      </c>
      <c r="N887" s="4" t="s">
        <v>31</v>
      </c>
      <c r="O887">
        <v>650000</v>
      </c>
      <c r="P887">
        <v>2</v>
      </c>
      <c r="Q887">
        <v>5</v>
      </c>
      <c r="R887">
        <v>1300000</v>
      </c>
      <c r="S887">
        <v>65000</v>
      </c>
      <c r="T887">
        <v>1235000</v>
      </c>
    </row>
    <row r="888" spans="1:20" x14ac:dyDescent="0.25">
      <c r="A888">
        <v>887</v>
      </c>
      <c r="B888" s="5">
        <v>45814</v>
      </c>
      <c r="C888">
        <v>69</v>
      </c>
      <c r="D888">
        <v>1</v>
      </c>
      <c r="E888">
        <v>85</v>
      </c>
      <c r="F888" s="4" t="s">
        <v>491</v>
      </c>
      <c r="G888" s="4" t="s">
        <v>492</v>
      </c>
      <c r="H888" s="4" t="s">
        <v>19</v>
      </c>
      <c r="I888" s="4" t="s">
        <v>631</v>
      </c>
      <c r="J888" s="4" t="s">
        <v>76</v>
      </c>
      <c r="K888" s="4" t="s">
        <v>77</v>
      </c>
      <c r="L888" s="4" t="s">
        <v>38</v>
      </c>
      <c r="M888" s="4" t="s">
        <v>56</v>
      </c>
      <c r="N888" s="4" t="s">
        <v>57</v>
      </c>
      <c r="O888">
        <v>25000</v>
      </c>
      <c r="P888">
        <v>2</v>
      </c>
      <c r="Q888">
        <v>0</v>
      </c>
      <c r="R888">
        <v>50000</v>
      </c>
      <c r="S888">
        <v>0</v>
      </c>
      <c r="T888">
        <v>50000</v>
      </c>
    </row>
    <row r="889" spans="1:20" x14ac:dyDescent="0.25">
      <c r="A889">
        <v>888</v>
      </c>
      <c r="B889" s="5">
        <v>45815</v>
      </c>
      <c r="C889">
        <v>70</v>
      </c>
      <c r="D889">
        <v>6</v>
      </c>
      <c r="E889">
        <v>98</v>
      </c>
      <c r="F889" s="4" t="s">
        <v>463</v>
      </c>
      <c r="G889" s="4" t="s">
        <v>464</v>
      </c>
      <c r="H889" s="4" t="s">
        <v>19</v>
      </c>
      <c r="I889" s="4" t="s">
        <v>623</v>
      </c>
      <c r="J889" s="4" t="s">
        <v>27</v>
      </c>
      <c r="K889" s="4" t="s">
        <v>28</v>
      </c>
      <c r="L889" s="4" t="s">
        <v>38</v>
      </c>
      <c r="M889" s="4" t="s">
        <v>39</v>
      </c>
      <c r="N889" s="4" t="s">
        <v>24</v>
      </c>
      <c r="O889">
        <v>35000</v>
      </c>
      <c r="P889">
        <v>3</v>
      </c>
      <c r="Q889">
        <v>1</v>
      </c>
      <c r="R889">
        <v>105000</v>
      </c>
      <c r="S889">
        <v>1050</v>
      </c>
      <c r="T889">
        <v>103950</v>
      </c>
    </row>
    <row r="890" spans="1:20" x14ac:dyDescent="0.25">
      <c r="A890">
        <v>889</v>
      </c>
      <c r="B890" s="5">
        <v>45816</v>
      </c>
      <c r="C890">
        <v>9</v>
      </c>
      <c r="D890">
        <v>9</v>
      </c>
      <c r="E890">
        <v>199</v>
      </c>
      <c r="F890" s="4" t="s">
        <v>573</v>
      </c>
      <c r="G890" s="4" t="s">
        <v>574</v>
      </c>
      <c r="H890" s="4" t="s">
        <v>19</v>
      </c>
      <c r="I890" s="4" t="s">
        <v>610</v>
      </c>
      <c r="J890" s="4" t="s">
        <v>37</v>
      </c>
      <c r="K890" s="4" t="s">
        <v>37</v>
      </c>
      <c r="L890" s="4" t="s">
        <v>22</v>
      </c>
      <c r="M890" s="4" t="s">
        <v>30</v>
      </c>
      <c r="N890" s="4" t="s">
        <v>31</v>
      </c>
      <c r="O890">
        <v>700000</v>
      </c>
      <c r="P890">
        <v>1</v>
      </c>
      <c r="Q890">
        <v>0</v>
      </c>
      <c r="R890">
        <v>700000</v>
      </c>
      <c r="S890">
        <v>0</v>
      </c>
      <c r="T890">
        <v>700000</v>
      </c>
    </row>
    <row r="891" spans="1:20" x14ac:dyDescent="0.25">
      <c r="A891">
        <v>890</v>
      </c>
      <c r="B891" s="5">
        <v>45817</v>
      </c>
      <c r="C891">
        <v>53</v>
      </c>
      <c r="D891">
        <v>1</v>
      </c>
      <c r="E891">
        <v>169</v>
      </c>
      <c r="F891" s="4" t="s">
        <v>230</v>
      </c>
      <c r="G891" s="4" t="s">
        <v>231</v>
      </c>
      <c r="H891" s="4" t="s">
        <v>42</v>
      </c>
      <c r="I891" s="4" t="s">
        <v>613</v>
      </c>
      <c r="J891" s="4" t="s">
        <v>76</v>
      </c>
      <c r="K891" s="4" t="s">
        <v>77</v>
      </c>
      <c r="L891" s="4" t="s">
        <v>38</v>
      </c>
      <c r="M891" s="4" t="s">
        <v>102</v>
      </c>
      <c r="N891" s="4" t="s">
        <v>57</v>
      </c>
      <c r="O891">
        <v>12000</v>
      </c>
      <c r="P891">
        <v>1</v>
      </c>
      <c r="Q891">
        <v>5</v>
      </c>
      <c r="R891">
        <v>12000</v>
      </c>
      <c r="S891">
        <v>600</v>
      </c>
      <c r="T891">
        <v>11400</v>
      </c>
    </row>
    <row r="892" spans="1:20" x14ac:dyDescent="0.25">
      <c r="A892">
        <v>891</v>
      </c>
      <c r="B892" s="5">
        <v>45818</v>
      </c>
      <c r="C892">
        <v>7</v>
      </c>
      <c r="D892">
        <v>8</v>
      </c>
      <c r="E892">
        <v>116</v>
      </c>
      <c r="F892" s="4" t="s">
        <v>256</v>
      </c>
      <c r="G892" s="4" t="s">
        <v>257</v>
      </c>
      <c r="H892" s="4" t="s">
        <v>42</v>
      </c>
      <c r="I892" s="4" t="s">
        <v>623</v>
      </c>
      <c r="J892" s="4" t="s">
        <v>37</v>
      </c>
      <c r="K892" s="4" t="s">
        <v>37</v>
      </c>
      <c r="L892" s="4" t="s">
        <v>38</v>
      </c>
      <c r="M892" s="4" t="s">
        <v>23</v>
      </c>
      <c r="N892" s="4" t="s">
        <v>24</v>
      </c>
      <c r="O892">
        <v>15000</v>
      </c>
      <c r="P892">
        <v>2</v>
      </c>
      <c r="Q892">
        <v>1</v>
      </c>
      <c r="R892">
        <v>30000</v>
      </c>
      <c r="S892">
        <v>300</v>
      </c>
      <c r="T892">
        <v>29700</v>
      </c>
    </row>
    <row r="893" spans="1:20" x14ac:dyDescent="0.25">
      <c r="A893">
        <v>892</v>
      </c>
      <c r="B893" s="5">
        <v>45819</v>
      </c>
      <c r="C893">
        <v>21</v>
      </c>
      <c r="D893">
        <v>5</v>
      </c>
      <c r="E893">
        <v>275</v>
      </c>
      <c r="F893" s="4" t="s">
        <v>597</v>
      </c>
      <c r="G893" s="4" t="s">
        <v>598</v>
      </c>
      <c r="H893" s="4" t="s">
        <v>19</v>
      </c>
      <c r="I893" s="4" t="s">
        <v>608</v>
      </c>
      <c r="J893" s="4" t="s">
        <v>76</v>
      </c>
      <c r="K893" s="4" t="s">
        <v>77</v>
      </c>
      <c r="L893" s="4" t="s">
        <v>38</v>
      </c>
      <c r="M893" s="4" t="s">
        <v>39</v>
      </c>
      <c r="N893" s="4" t="s">
        <v>24</v>
      </c>
      <c r="O893">
        <v>35000</v>
      </c>
      <c r="P893">
        <v>1</v>
      </c>
      <c r="Q893">
        <v>5</v>
      </c>
      <c r="R893">
        <v>35000</v>
      </c>
      <c r="S893">
        <v>1750</v>
      </c>
      <c r="T893">
        <v>33250</v>
      </c>
    </row>
    <row r="894" spans="1:20" x14ac:dyDescent="0.25">
      <c r="A894">
        <v>893</v>
      </c>
      <c r="B894" s="5">
        <v>45820</v>
      </c>
      <c r="C894">
        <v>27</v>
      </c>
      <c r="D894">
        <v>4</v>
      </c>
      <c r="E894">
        <v>39</v>
      </c>
      <c r="F894" s="4" t="s">
        <v>80</v>
      </c>
      <c r="G894" s="4" t="s">
        <v>81</v>
      </c>
      <c r="H894" s="4" t="s">
        <v>19</v>
      </c>
      <c r="I894" s="4" t="s">
        <v>624</v>
      </c>
      <c r="J894" s="4" t="s">
        <v>116</v>
      </c>
      <c r="K894" s="4" t="s">
        <v>37</v>
      </c>
      <c r="L894" s="4" t="s">
        <v>22</v>
      </c>
      <c r="M894" s="4" t="s">
        <v>98</v>
      </c>
      <c r="N894" s="4" t="s">
        <v>151</v>
      </c>
      <c r="O894">
        <v>55000</v>
      </c>
      <c r="P894">
        <v>3</v>
      </c>
      <c r="Q894">
        <v>5</v>
      </c>
      <c r="R894">
        <v>165000</v>
      </c>
      <c r="S894">
        <v>8250</v>
      </c>
      <c r="T894">
        <v>156750</v>
      </c>
    </row>
    <row r="895" spans="1:20" x14ac:dyDescent="0.25">
      <c r="A895">
        <v>894</v>
      </c>
      <c r="B895" s="5">
        <v>45821</v>
      </c>
      <c r="C895">
        <v>30</v>
      </c>
      <c r="D895">
        <v>0</v>
      </c>
      <c r="E895">
        <v>207</v>
      </c>
      <c r="F895" s="4" t="s">
        <v>74</v>
      </c>
      <c r="G895" s="4" t="s">
        <v>75</v>
      </c>
      <c r="H895" s="4" t="s">
        <v>42</v>
      </c>
      <c r="I895" s="4" t="s">
        <v>620</v>
      </c>
      <c r="J895" s="4" t="s">
        <v>37</v>
      </c>
      <c r="K895" s="4" t="s">
        <v>37</v>
      </c>
      <c r="L895" s="4" t="s">
        <v>38</v>
      </c>
      <c r="M895" s="4" t="s">
        <v>62</v>
      </c>
      <c r="N895" s="4" t="s">
        <v>31</v>
      </c>
      <c r="O895">
        <v>650000</v>
      </c>
      <c r="P895">
        <v>1</v>
      </c>
      <c r="Q895">
        <v>0</v>
      </c>
      <c r="R895">
        <v>650000</v>
      </c>
      <c r="S895">
        <v>0</v>
      </c>
      <c r="T895">
        <v>650000</v>
      </c>
    </row>
    <row r="896" spans="1:20" x14ac:dyDescent="0.25">
      <c r="A896">
        <v>895</v>
      </c>
      <c r="B896" s="5">
        <v>45822</v>
      </c>
      <c r="C896">
        <v>29</v>
      </c>
      <c r="D896">
        <v>1</v>
      </c>
      <c r="E896">
        <v>83</v>
      </c>
      <c r="F896" s="4" t="s">
        <v>487</v>
      </c>
      <c r="G896" s="4" t="s">
        <v>488</v>
      </c>
      <c r="H896" s="4" t="s">
        <v>19</v>
      </c>
      <c r="I896" s="4" t="s">
        <v>628</v>
      </c>
      <c r="J896" s="4" t="s">
        <v>116</v>
      </c>
      <c r="K896" s="4" t="s">
        <v>37</v>
      </c>
      <c r="L896" s="4" t="s">
        <v>29</v>
      </c>
      <c r="M896" s="4" t="s">
        <v>98</v>
      </c>
      <c r="N896" s="4" t="s">
        <v>151</v>
      </c>
      <c r="O896">
        <v>55000</v>
      </c>
      <c r="P896">
        <v>1</v>
      </c>
      <c r="Q896">
        <v>0</v>
      </c>
      <c r="R896">
        <v>55000</v>
      </c>
      <c r="S896">
        <v>0</v>
      </c>
      <c r="T896">
        <v>55000</v>
      </c>
    </row>
    <row r="897" spans="1:20" x14ac:dyDescent="0.25">
      <c r="A897">
        <v>896</v>
      </c>
      <c r="B897" s="5">
        <v>45823</v>
      </c>
      <c r="C897">
        <v>54</v>
      </c>
      <c r="D897">
        <v>9</v>
      </c>
      <c r="E897">
        <v>164</v>
      </c>
      <c r="F897" s="4" t="s">
        <v>369</v>
      </c>
      <c r="G897" s="4" t="s">
        <v>370</v>
      </c>
      <c r="H897" s="4" t="s">
        <v>42</v>
      </c>
      <c r="I897" s="4" t="s">
        <v>631</v>
      </c>
      <c r="J897" s="4" t="s">
        <v>27</v>
      </c>
      <c r="K897" s="4" t="s">
        <v>28</v>
      </c>
      <c r="L897" s="4" t="s">
        <v>22</v>
      </c>
      <c r="M897" s="4" t="s">
        <v>49</v>
      </c>
      <c r="N897" s="4" t="s">
        <v>31</v>
      </c>
      <c r="O897">
        <v>800000</v>
      </c>
      <c r="P897">
        <v>1</v>
      </c>
      <c r="Q897">
        <v>1</v>
      </c>
      <c r="R897">
        <v>800000</v>
      </c>
      <c r="S897">
        <v>8000</v>
      </c>
      <c r="T897">
        <v>792000</v>
      </c>
    </row>
    <row r="898" spans="1:20" x14ac:dyDescent="0.25">
      <c r="A898">
        <v>897</v>
      </c>
      <c r="B898" s="5">
        <v>45824</v>
      </c>
      <c r="C898">
        <v>33</v>
      </c>
      <c r="D898">
        <v>13</v>
      </c>
      <c r="E898">
        <v>155</v>
      </c>
      <c r="F898" s="4" t="s">
        <v>379</v>
      </c>
      <c r="G898" s="4" t="s">
        <v>380</v>
      </c>
      <c r="H898" s="4" t="s">
        <v>42</v>
      </c>
      <c r="I898" s="4" t="s">
        <v>623</v>
      </c>
      <c r="J898" s="4" t="s">
        <v>101</v>
      </c>
      <c r="K898" s="4" t="s">
        <v>109</v>
      </c>
      <c r="L898" s="4" t="s">
        <v>38</v>
      </c>
      <c r="M898" s="4" t="s">
        <v>46</v>
      </c>
      <c r="N898" s="4" t="s">
        <v>53</v>
      </c>
      <c r="O898">
        <v>750000</v>
      </c>
      <c r="P898">
        <v>3</v>
      </c>
      <c r="Q898">
        <v>5</v>
      </c>
      <c r="R898">
        <v>2250000</v>
      </c>
      <c r="S898">
        <v>112500</v>
      </c>
      <c r="T898">
        <v>2137500</v>
      </c>
    </row>
    <row r="899" spans="1:20" x14ac:dyDescent="0.25">
      <c r="A899">
        <v>898</v>
      </c>
      <c r="B899" s="5">
        <v>45825</v>
      </c>
      <c r="C899">
        <v>69</v>
      </c>
      <c r="D899">
        <v>1</v>
      </c>
      <c r="E899">
        <v>153</v>
      </c>
      <c r="F899" s="4" t="s">
        <v>453</v>
      </c>
      <c r="G899" s="4" t="s">
        <v>454</v>
      </c>
      <c r="H899" s="4" t="s">
        <v>19</v>
      </c>
      <c r="I899" s="4" t="s">
        <v>614</v>
      </c>
      <c r="J899" s="4" t="s">
        <v>76</v>
      </c>
      <c r="K899" s="4" t="s">
        <v>77</v>
      </c>
      <c r="L899" s="4" t="s">
        <v>22</v>
      </c>
      <c r="M899" s="4" t="s">
        <v>30</v>
      </c>
      <c r="N899" s="4" t="s">
        <v>31</v>
      </c>
      <c r="O899">
        <v>700000</v>
      </c>
      <c r="P899">
        <v>3</v>
      </c>
      <c r="Q899">
        <v>0</v>
      </c>
      <c r="R899">
        <v>2100000</v>
      </c>
      <c r="S899">
        <v>0</v>
      </c>
      <c r="T899">
        <v>2100000</v>
      </c>
    </row>
    <row r="900" spans="1:20" x14ac:dyDescent="0.25">
      <c r="A900">
        <v>899</v>
      </c>
      <c r="B900" s="5">
        <v>45826</v>
      </c>
      <c r="C900">
        <v>52</v>
      </c>
      <c r="D900">
        <v>0</v>
      </c>
      <c r="E900">
        <v>152</v>
      </c>
      <c r="F900" s="4" t="s">
        <v>543</v>
      </c>
      <c r="G900" s="4" t="s">
        <v>544</v>
      </c>
      <c r="H900" s="4" t="s">
        <v>42</v>
      </c>
      <c r="I900" s="4" t="s">
        <v>627</v>
      </c>
      <c r="J900" s="4" t="s">
        <v>27</v>
      </c>
      <c r="K900" s="4" t="s">
        <v>28</v>
      </c>
      <c r="L900" s="4" t="s">
        <v>22</v>
      </c>
      <c r="M900" s="4" t="s">
        <v>62</v>
      </c>
      <c r="N900" s="4" t="s">
        <v>31</v>
      </c>
      <c r="O900">
        <v>650000</v>
      </c>
      <c r="P900">
        <v>3</v>
      </c>
      <c r="Q900">
        <v>1</v>
      </c>
      <c r="R900">
        <v>1950000</v>
      </c>
      <c r="S900">
        <v>19500</v>
      </c>
      <c r="T900">
        <v>1930500</v>
      </c>
    </row>
    <row r="901" spans="1:20" x14ac:dyDescent="0.25">
      <c r="A901">
        <v>900</v>
      </c>
      <c r="B901" s="5">
        <v>45827</v>
      </c>
      <c r="C901">
        <v>67</v>
      </c>
      <c r="D901">
        <v>0</v>
      </c>
      <c r="E901">
        <v>241</v>
      </c>
      <c r="F901" s="4" t="s">
        <v>297</v>
      </c>
      <c r="G901" s="4" t="s">
        <v>298</v>
      </c>
      <c r="H901" s="4" t="s">
        <v>42</v>
      </c>
      <c r="I901" s="4" t="s">
        <v>631</v>
      </c>
      <c r="J901" s="4" t="s">
        <v>27</v>
      </c>
      <c r="K901" s="4" t="s">
        <v>28</v>
      </c>
      <c r="L901" s="4" t="s">
        <v>38</v>
      </c>
      <c r="M901" s="4" t="s">
        <v>69</v>
      </c>
      <c r="N901" s="4" t="s">
        <v>53</v>
      </c>
      <c r="O901">
        <v>450000</v>
      </c>
      <c r="P901">
        <v>3</v>
      </c>
      <c r="Q901">
        <v>1</v>
      </c>
      <c r="R901">
        <v>1350000</v>
      </c>
      <c r="S901">
        <v>13500</v>
      </c>
      <c r="T901">
        <v>1336500</v>
      </c>
    </row>
    <row r="902" spans="1:20" x14ac:dyDescent="0.25">
      <c r="A902">
        <v>901</v>
      </c>
      <c r="B902" s="5">
        <v>45828</v>
      </c>
      <c r="C902">
        <v>27</v>
      </c>
      <c r="D902">
        <v>4</v>
      </c>
      <c r="E902">
        <v>191</v>
      </c>
      <c r="F902" s="4" t="s">
        <v>202</v>
      </c>
      <c r="G902" s="4" t="s">
        <v>203</v>
      </c>
      <c r="H902" s="4" t="s">
        <v>42</v>
      </c>
      <c r="I902" s="4" t="s">
        <v>639</v>
      </c>
      <c r="J902" s="4" t="s">
        <v>116</v>
      </c>
      <c r="K902" s="4" t="s">
        <v>37</v>
      </c>
      <c r="L902" s="4" t="s">
        <v>22</v>
      </c>
      <c r="M902" s="4" t="s">
        <v>102</v>
      </c>
      <c r="N902" s="4" t="s">
        <v>57</v>
      </c>
      <c r="O902">
        <v>12000</v>
      </c>
      <c r="P902">
        <v>3</v>
      </c>
      <c r="Q902">
        <v>0</v>
      </c>
      <c r="R902">
        <v>36000</v>
      </c>
      <c r="S902">
        <v>0</v>
      </c>
      <c r="T902">
        <v>36000</v>
      </c>
    </row>
    <row r="903" spans="1:20" x14ac:dyDescent="0.25">
      <c r="A903">
        <v>902</v>
      </c>
      <c r="B903" s="5">
        <v>45829</v>
      </c>
      <c r="C903">
        <v>53</v>
      </c>
      <c r="D903">
        <v>1</v>
      </c>
      <c r="E903">
        <v>184</v>
      </c>
      <c r="F903" s="4" t="s">
        <v>164</v>
      </c>
      <c r="G903" s="4" t="s">
        <v>165</v>
      </c>
      <c r="H903" s="4" t="s">
        <v>19</v>
      </c>
      <c r="I903" s="4" t="s">
        <v>609</v>
      </c>
      <c r="J903" s="4" t="s">
        <v>76</v>
      </c>
      <c r="K903" s="4" t="s">
        <v>77</v>
      </c>
      <c r="L903" s="4" t="s">
        <v>38</v>
      </c>
      <c r="M903" s="4" t="s">
        <v>62</v>
      </c>
      <c r="N903" s="4" t="s">
        <v>31</v>
      </c>
      <c r="O903">
        <v>650000</v>
      </c>
      <c r="P903">
        <v>1</v>
      </c>
      <c r="Q903">
        <v>1</v>
      </c>
      <c r="R903">
        <v>650000</v>
      </c>
      <c r="S903">
        <v>6500</v>
      </c>
      <c r="T903">
        <v>643500</v>
      </c>
    </row>
    <row r="904" spans="1:20" x14ac:dyDescent="0.25">
      <c r="A904">
        <v>903</v>
      </c>
      <c r="B904" s="5">
        <v>45830</v>
      </c>
      <c r="C904">
        <v>50</v>
      </c>
      <c r="D904">
        <v>0</v>
      </c>
      <c r="E904">
        <v>264</v>
      </c>
      <c r="F904" s="4" t="s">
        <v>419</v>
      </c>
      <c r="G904" s="4" t="s">
        <v>420</v>
      </c>
      <c r="H904" s="4" t="s">
        <v>42</v>
      </c>
      <c r="I904" s="4" t="s">
        <v>615</v>
      </c>
      <c r="J904" s="4" t="s">
        <v>20</v>
      </c>
      <c r="K904" s="4" t="s">
        <v>21</v>
      </c>
      <c r="L904" s="4" t="s">
        <v>38</v>
      </c>
      <c r="M904" s="4" t="s">
        <v>56</v>
      </c>
      <c r="N904" s="4" t="s">
        <v>57</v>
      </c>
      <c r="O904">
        <v>25000</v>
      </c>
      <c r="P904">
        <v>3</v>
      </c>
      <c r="Q904">
        <v>0</v>
      </c>
      <c r="R904">
        <v>75000</v>
      </c>
      <c r="S904">
        <v>0</v>
      </c>
      <c r="T904">
        <v>75000</v>
      </c>
    </row>
    <row r="905" spans="1:20" x14ac:dyDescent="0.25">
      <c r="A905">
        <v>904</v>
      </c>
      <c r="B905" s="5">
        <v>45831</v>
      </c>
      <c r="C905">
        <v>64</v>
      </c>
      <c r="D905">
        <v>4</v>
      </c>
      <c r="E905">
        <v>279</v>
      </c>
      <c r="F905" s="4" t="s">
        <v>381</v>
      </c>
      <c r="G905" s="4" t="s">
        <v>382</v>
      </c>
      <c r="H905" s="4" t="s">
        <v>42</v>
      </c>
      <c r="I905" s="4" t="s">
        <v>610</v>
      </c>
      <c r="J905" s="4" t="s">
        <v>20</v>
      </c>
      <c r="K905" s="4" t="s">
        <v>21</v>
      </c>
      <c r="L905" s="4" t="s">
        <v>38</v>
      </c>
      <c r="M905" s="4" t="s">
        <v>56</v>
      </c>
      <c r="N905" s="4" t="s">
        <v>57</v>
      </c>
      <c r="O905">
        <v>25000</v>
      </c>
      <c r="P905">
        <v>2</v>
      </c>
      <c r="Q905">
        <v>0</v>
      </c>
      <c r="R905">
        <v>50000</v>
      </c>
      <c r="S905">
        <v>0</v>
      </c>
      <c r="T905">
        <v>50000</v>
      </c>
    </row>
    <row r="906" spans="1:20" x14ac:dyDescent="0.25">
      <c r="A906">
        <v>905</v>
      </c>
      <c r="B906" s="5">
        <v>45832</v>
      </c>
      <c r="C906">
        <v>68</v>
      </c>
      <c r="D906">
        <v>2</v>
      </c>
      <c r="E906">
        <v>58</v>
      </c>
      <c r="F906" s="4" t="s">
        <v>204</v>
      </c>
      <c r="G906" s="4" t="s">
        <v>205</v>
      </c>
      <c r="H906" s="4" t="s">
        <v>19</v>
      </c>
      <c r="I906" s="4" t="s">
        <v>611</v>
      </c>
      <c r="J906" s="4" t="s">
        <v>34</v>
      </c>
      <c r="K906" s="4" t="s">
        <v>272</v>
      </c>
      <c r="L906" s="4" t="s">
        <v>38</v>
      </c>
      <c r="M906" s="4" t="s">
        <v>46</v>
      </c>
      <c r="N906" s="4" t="s">
        <v>53</v>
      </c>
      <c r="O906">
        <v>750000</v>
      </c>
      <c r="P906">
        <v>3</v>
      </c>
      <c r="Q906">
        <v>1</v>
      </c>
      <c r="R906">
        <v>2250000</v>
      </c>
      <c r="S906">
        <v>22500</v>
      </c>
      <c r="T906">
        <v>2227500</v>
      </c>
    </row>
    <row r="907" spans="1:20" x14ac:dyDescent="0.25">
      <c r="A907">
        <v>906</v>
      </c>
      <c r="B907" s="5">
        <v>45833</v>
      </c>
      <c r="C907">
        <v>25</v>
      </c>
      <c r="D907">
        <v>3</v>
      </c>
      <c r="E907">
        <v>165</v>
      </c>
      <c r="F907" s="4" t="s">
        <v>182</v>
      </c>
      <c r="G907" s="4" t="s">
        <v>183</v>
      </c>
      <c r="H907" s="4" t="s">
        <v>42</v>
      </c>
      <c r="I907" s="4" t="s">
        <v>637</v>
      </c>
      <c r="J907" s="4" t="s">
        <v>76</v>
      </c>
      <c r="K907" s="4" t="s">
        <v>77</v>
      </c>
      <c r="L907" s="4" t="s">
        <v>29</v>
      </c>
      <c r="M907" s="4" t="s">
        <v>98</v>
      </c>
      <c r="N907" s="4" t="s">
        <v>151</v>
      </c>
      <c r="O907">
        <v>55000</v>
      </c>
      <c r="P907">
        <v>3</v>
      </c>
      <c r="Q907">
        <v>1</v>
      </c>
      <c r="R907">
        <v>165000</v>
      </c>
      <c r="S907">
        <v>1650</v>
      </c>
      <c r="T907">
        <v>163350</v>
      </c>
    </row>
    <row r="908" spans="1:20" x14ac:dyDescent="0.25">
      <c r="A908">
        <v>907</v>
      </c>
      <c r="B908" s="5">
        <v>45834</v>
      </c>
      <c r="C908">
        <v>48</v>
      </c>
      <c r="D908">
        <v>6</v>
      </c>
      <c r="E908">
        <v>145</v>
      </c>
      <c r="F908" s="4" t="s">
        <v>196</v>
      </c>
      <c r="G908" s="4" t="s">
        <v>197</v>
      </c>
      <c r="H908" s="4" t="s">
        <v>19</v>
      </c>
      <c r="I908" s="4" t="s">
        <v>623</v>
      </c>
      <c r="J908" s="4" t="s">
        <v>37</v>
      </c>
      <c r="K908" s="4" t="s">
        <v>37</v>
      </c>
      <c r="L908" s="4" t="s">
        <v>38</v>
      </c>
      <c r="M908" s="4" t="s">
        <v>23</v>
      </c>
      <c r="N908" s="4" t="s">
        <v>24</v>
      </c>
      <c r="O908">
        <v>15000</v>
      </c>
      <c r="P908">
        <v>2</v>
      </c>
      <c r="Q908">
        <v>0</v>
      </c>
      <c r="R908">
        <v>30000</v>
      </c>
      <c r="S908">
        <v>0</v>
      </c>
      <c r="T908">
        <v>30000</v>
      </c>
    </row>
    <row r="909" spans="1:20" x14ac:dyDescent="0.25">
      <c r="A909">
        <v>908</v>
      </c>
      <c r="B909" s="5">
        <v>45835</v>
      </c>
      <c r="C909">
        <v>6</v>
      </c>
      <c r="D909">
        <v>2</v>
      </c>
      <c r="E909">
        <v>60</v>
      </c>
      <c r="F909" s="4" t="s">
        <v>307</v>
      </c>
      <c r="G909" s="4" t="s">
        <v>308</v>
      </c>
      <c r="H909" s="4" t="s">
        <v>19</v>
      </c>
      <c r="I909" s="4" t="s">
        <v>637</v>
      </c>
      <c r="J909" s="4" t="s">
        <v>52</v>
      </c>
      <c r="K909" s="4" t="s">
        <v>28</v>
      </c>
      <c r="L909" s="4" t="s">
        <v>22</v>
      </c>
      <c r="M909" s="4" t="s">
        <v>102</v>
      </c>
      <c r="N909" s="4" t="s">
        <v>57</v>
      </c>
      <c r="O909">
        <v>12000</v>
      </c>
      <c r="P909">
        <v>3</v>
      </c>
      <c r="Q909">
        <v>0</v>
      </c>
      <c r="R909">
        <v>36000</v>
      </c>
      <c r="S909">
        <v>0</v>
      </c>
      <c r="T909">
        <v>36000</v>
      </c>
    </row>
    <row r="910" spans="1:20" x14ac:dyDescent="0.25">
      <c r="A910">
        <v>909</v>
      </c>
      <c r="B910" s="5">
        <v>45836</v>
      </c>
      <c r="C910">
        <v>53</v>
      </c>
      <c r="D910">
        <v>1</v>
      </c>
      <c r="E910">
        <v>272</v>
      </c>
      <c r="F910" s="4" t="s">
        <v>403</v>
      </c>
      <c r="G910" s="4" t="s">
        <v>404</v>
      </c>
      <c r="H910" s="4" t="s">
        <v>19</v>
      </c>
      <c r="I910" s="4" t="s">
        <v>642</v>
      </c>
      <c r="J910" s="4" t="s">
        <v>76</v>
      </c>
      <c r="K910" s="4" t="s">
        <v>77</v>
      </c>
      <c r="L910" s="4" t="s">
        <v>38</v>
      </c>
      <c r="M910" s="4" t="s">
        <v>62</v>
      </c>
      <c r="N910" s="4" t="s">
        <v>31</v>
      </c>
      <c r="O910">
        <v>650000</v>
      </c>
      <c r="P910">
        <v>2</v>
      </c>
      <c r="Q910">
        <v>5</v>
      </c>
      <c r="R910">
        <v>1300000</v>
      </c>
      <c r="S910">
        <v>65000</v>
      </c>
      <c r="T910">
        <v>1235000</v>
      </c>
    </row>
    <row r="911" spans="1:20" x14ac:dyDescent="0.25">
      <c r="A911">
        <v>910</v>
      </c>
      <c r="B911" s="5">
        <v>45837</v>
      </c>
      <c r="C911">
        <v>43</v>
      </c>
      <c r="D911">
        <v>0</v>
      </c>
      <c r="E911">
        <v>22</v>
      </c>
      <c r="F911" s="4" t="s">
        <v>279</v>
      </c>
      <c r="G911" s="4" t="s">
        <v>280</v>
      </c>
      <c r="H911" s="4" t="s">
        <v>19</v>
      </c>
      <c r="I911" s="4" t="s">
        <v>613</v>
      </c>
      <c r="J911" s="4" t="s">
        <v>34</v>
      </c>
      <c r="K911" s="4" t="s">
        <v>272</v>
      </c>
      <c r="L911" s="4" t="s">
        <v>38</v>
      </c>
      <c r="M911" s="4" t="s">
        <v>62</v>
      </c>
      <c r="N911" s="4" t="s">
        <v>31</v>
      </c>
      <c r="O911">
        <v>650000</v>
      </c>
      <c r="P911">
        <v>2</v>
      </c>
      <c r="Q911">
        <v>0</v>
      </c>
      <c r="R911">
        <v>1300000</v>
      </c>
      <c r="S911">
        <v>0</v>
      </c>
      <c r="T911">
        <v>1300000</v>
      </c>
    </row>
    <row r="912" spans="1:20" x14ac:dyDescent="0.25">
      <c r="A912">
        <v>911</v>
      </c>
      <c r="B912" s="5">
        <v>45838</v>
      </c>
      <c r="C912">
        <v>40</v>
      </c>
      <c r="D912">
        <v>1</v>
      </c>
      <c r="E912">
        <v>40</v>
      </c>
      <c r="F912" s="4" t="s">
        <v>88</v>
      </c>
      <c r="G912" s="4" t="s">
        <v>89</v>
      </c>
      <c r="H912" s="4" t="s">
        <v>19</v>
      </c>
      <c r="I912" s="4" t="s">
        <v>625</v>
      </c>
      <c r="J912" s="4" t="s">
        <v>27</v>
      </c>
      <c r="K912" s="4" t="s">
        <v>28</v>
      </c>
      <c r="L912" s="4" t="s">
        <v>29</v>
      </c>
      <c r="M912" s="4" t="s">
        <v>49</v>
      </c>
      <c r="N912" s="4" t="s">
        <v>31</v>
      </c>
      <c r="O912">
        <v>800000</v>
      </c>
      <c r="P912">
        <v>2</v>
      </c>
      <c r="Q912">
        <v>0</v>
      </c>
      <c r="R912">
        <v>1600000</v>
      </c>
      <c r="S912">
        <v>0</v>
      </c>
      <c r="T912">
        <v>1600000</v>
      </c>
    </row>
    <row r="913" spans="1:20" x14ac:dyDescent="0.25">
      <c r="A913">
        <v>912</v>
      </c>
      <c r="B913" s="5">
        <v>45839</v>
      </c>
      <c r="C913">
        <v>55</v>
      </c>
      <c r="D913">
        <v>9</v>
      </c>
      <c r="E913">
        <v>26</v>
      </c>
      <c r="F913" s="4" t="s">
        <v>186</v>
      </c>
      <c r="G913" s="4" t="s">
        <v>187</v>
      </c>
      <c r="H913" s="4" t="s">
        <v>42</v>
      </c>
      <c r="I913" s="4" t="s">
        <v>622</v>
      </c>
      <c r="J913" s="4" t="s">
        <v>43</v>
      </c>
      <c r="K913" s="4" t="s">
        <v>43</v>
      </c>
      <c r="L913" s="4" t="s">
        <v>38</v>
      </c>
      <c r="M913" s="4" t="s">
        <v>56</v>
      </c>
      <c r="N913" s="4" t="s">
        <v>57</v>
      </c>
      <c r="O913">
        <v>25000</v>
      </c>
      <c r="P913">
        <v>2</v>
      </c>
      <c r="Q913">
        <v>0</v>
      </c>
      <c r="R913">
        <v>50000</v>
      </c>
      <c r="S913">
        <v>0</v>
      </c>
      <c r="T913">
        <v>50000</v>
      </c>
    </row>
    <row r="914" spans="1:20" x14ac:dyDescent="0.25">
      <c r="A914">
        <v>913</v>
      </c>
      <c r="B914" s="5">
        <v>45840</v>
      </c>
      <c r="C914">
        <v>60</v>
      </c>
      <c r="D914">
        <v>1</v>
      </c>
      <c r="E914">
        <v>2</v>
      </c>
      <c r="F914" s="4" t="s">
        <v>114</v>
      </c>
      <c r="G914" s="4" t="s">
        <v>115</v>
      </c>
      <c r="H914" s="4" t="s">
        <v>19</v>
      </c>
      <c r="I914" s="4" t="s">
        <v>635</v>
      </c>
      <c r="J914" s="4" t="s">
        <v>37</v>
      </c>
      <c r="K914" s="4" t="s">
        <v>37</v>
      </c>
      <c r="L914" s="4" t="s">
        <v>38</v>
      </c>
      <c r="M914" s="4" t="s">
        <v>102</v>
      </c>
      <c r="N914" s="4" t="s">
        <v>57</v>
      </c>
      <c r="O914">
        <v>12000</v>
      </c>
      <c r="P914">
        <v>2</v>
      </c>
      <c r="Q914">
        <v>5</v>
      </c>
      <c r="R914">
        <v>24000</v>
      </c>
      <c r="S914">
        <v>1200</v>
      </c>
      <c r="T914">
        <v>22800</v>
      </c>
    </row>
    <row r="915" spans="1:20" x14ac:dyDescent="0.25">
      <c r="A915">
        <v>914</v>
      </c>
      <c r="B915" s="5">
        <v>45841</v>
      </c>
      <c r="C915">
        <v>11</v>
      </c>
      <c r="D915">
        <v>0</v>
      </c>
      <c r="E915">
        <v>159</v>
      </c>
      <c r="F915" s="4" t="s">
        <v>349</v>
      </c>
      <c r="G915" s="4" t="s">
        <v>350</v>
      </c>
      <c r="H915" s="4" t="s">
        <v>42</v>
      </c>
      <c r="I915" s="4"/>
      <c r="J915" s="4" t="s">
        <v>43</v>
      </c>
      <c r="K915" s="4" t="s">
        <v>43</v>
      </c>
      <c r="L915" s="4" t="s">
        <v>38</v>
      </c>
      <c r="M915" s="4" t="s">
        <v>30</v>
      </c>
      <c r="N915" s="4" t="s">
        <v>31</v>
      </c>
      <c r="O915">
        <v>700000</v>
      </c>
      <c r="P915">
        <v>1</v>
      </c>
      <c r="Q915">
        <v>1</v>
      </c>
      <c r="R915">
        <v>700000</v>
      </c>
      <c r="S915">
        <v>7000</v>
      </c>
      <c r="T915">
        <v>693000</v>
      </c>
    </row>
    <row r="916" spans="1:20" x14ac:dyDescent="0.25">
      <c r="A916">
        <v>915</v>
      </c>
      <c r="B916" s="5">
        <v>45842</v>
      </c>
      <c r="C916">
        <v>2</v>
      </c>
      <c r="D916">
        <v>2</v>
      </c>
      <c r="E916">
        <v>74</v>
      </c>
      <c r="F916" s="4" t="s">
        <v>415</v>
      </c>
      <c r="G916" s="4" t="s">
        <v>416</v>
      </c>
      <c r="H916" s="4" t="s">
        <v>19</v>
      </c>
      <c r="I916" s="4" t="s">
        <v>646</v>
      </c>
      <c r="J916" s="4" t="s">
        <v>101</v>
      </c>
      <c r="K916" s="4" t="s">
        <v>109</v>
      </c>
      <c r="L916" s="4" t="s">
        <v>38</v>
      </c>
      <c r="M916" s="4" t="s">
        <v>46</v>
      </c>
      <c r="N916" s="4" t="s">
        <v>53</v>
      </c>
      <c r="O916">
        <v>750000</v>
      </c>
      <c r="P916">
        <v>1</v>
      </c>
      <c r="Q916">
        <v>0</v>
      </c>
      <c r="R916">
        <v>750000</v>
      </c>
      <c r="S916">
        <v>0</v>
      </c>
      <c r="T916">
        <v>750000</v>
      </c>
    </row>
    <row r="917" spans="1:20" x14ac:dyDescent="0.25">
      <c r="A917">
        <v>916</v>
      </c>
      <c r="B917" s="5">
        <v>45843</v>
      </c>
      <c r="C917">
        <v>48</v>
      </c>
      <c r="D917">
        <v>6</v>
      </c>
      <c r="E917">
        <v>104</v>
      </c>
      <c r="F917" s="4" t="s">
        <v>208</v>
      </c>
      <c r="G917" s="4" t="s">
        <v>209</v>
      </c>
      <c r="H917" s="4" t="s">
        <v>42</v>
      </c>
      <c r="I917" s="4" t="s">
        <v>631</v>
      </c>
      <c r="J917" s="4" t="s">
        <v>37</v>
      </c>
      <c r="K917" s="4" t="s">
        <v>37</v>
      </c>
      <c r="L917" s="4" t="s">
        <v>22</v>
      </c>
      <c r="M917" s="4" t="s">
        <v>56</v>
      </c>
      <c r="N917" s="4" t="s">
        <v>57</v>
      </c>
      <c r="O917">
        <v>25000</v>
      </c>
      <c r="P917">
        <v>2</v>
      </c>
      <c r="Q917">
        <v>5</v>
      </c>
      <c r="R917">
        <v>50000</v>
      </c>
      <c r="S917">
        <v>2500</v>
      </c>
      <c r="T917">
        <v>47500</v>
      </c>
    </row>
    <row r="918" spans="1:20" x14ac:dyDescent="0.25">
      <c r="A918">
        <v>917</v>
      </c>
      <c r="B918" s="5">
        <v>45844</v>
      </c>
      <c r="C918">
        <v>6</v>
      </c>
      <c r="D918">
        <v>2</v>
      </c>
      <c r="E918">
        <v>235</v>
      </c>
      <c r="F918" s="4" t="s">
        <v>599</v>
      </c>
      <c r="G918" s="4" t="s">
        <v>600</v>
      </c>
      <c r="H918" s="4" t="s">
        <v>42</v>
      </c>
      <c r="I918" s="4" t="s">
        <v>645</v>
      </c>
      <c r="J918" s="4" t="s">
        <v>52</v>
      </c>
      <c r="K918" s="4" t="s">
        <v>28</v>
      </c>
      <c r="L918" s="4" t="s">
        <v>38</v>
      </c>
      <c r="M918" s="4" t="s">
        <v>49</v>
      </c>
      <c r="N918" s="4" t="s">
        <v>31</v>
      </c>
      <c r="O918">
        <v>800000</v>
      </c>
      <c r="P918">
        <v>1</v>
      </c>
      <c r="Q918">
        <v>5</v>
      </c>
      <c r="R918">
        <v>800000</v>
      </c>
      <c r="S918">
        <v>40000</v>
      </c>
      <c r="T918">
        <v>760000</v>
      </c>
    </row>
    <row r="919" spans="1:20" x14ac:dyDescent="0.25">
      <c r="A919">
        <v>918</v>
      </c>
      <c r="B919" s="5">
        <v>45845</v>
      </c>
      <c r="C919">
        <v>9</v>
      </c>
      <c r="D919">
        <v>9</v>
      </c>
      <c r="E919">
        <v>133</v>
      </c>
      <c r="F919" s="4" t="s">
        <v>565</v>
      </c>
      <c r="G919" s="4" t="s">
        <v>566</v>
      </c>
      <c r="H919" s="4" t="s">
        <v>19</v>
      </c>
      <c r="I919" s="4" t="s">
        <v>615</v>
      </c>
      <c r="J919" s="4" t="s">
        <v>37</v>
      </c>
      <c r="K919" s="4" t="s">
        <v>37</v>
      </c>
      <c r="L919" s="4" t="s">
        <v>38</v>
      </c>
      <c r="M919" s="4" t="s">
        <v>39</v>
      </c>
      <c r="N919" s="4" t="s">
        <v>24</v>
      </c>
      <c r="O919">
        <v>35000</v>
      </c>
      <c r="P919">
        <v>2</v>
      </c>
      <c r="Q919">
        <v>5</v>
      </c>
      <c r="R919">
        <v>70000</v>
      </c>
      <c r="S919">
        <v>3500</v>
      </c>
      <c r="T919">
        <v>66500</v>
      </c>
    </row>
    <row r="920" spans="1:20" x14ac:dyDescent="0.25">
      <c r="A920">
        <v>919</v>
      </c>
      <c r="B920" s="5">
        <v>45846</v>
      </c>
      <c r="C920">
        <v>48</v>
      </c>
      <c r="D920">
        <v>6</v>
      </c>
      <c r="E920">
        <v>26</v>
      </c>
      <c r="F920" s="4" t="s">
        <v>186</v>
      </c>
      <c r="G920" s="4" t="s">
        <v>187</v>
      </c>
      <c r="H920" s="4" t="s">
        <v>42</v>
      </c>
      <c r="I920" s="4" t="s">
        <v>622</v>
      </c>
      <c r="J920" s="4" t="s">
        <v>37</v>
      </c>
      <c r="K920" s="4" t="s">
        <v>37</v>
      </c>
      <c r="L920" s="4" t="s">
        <v>29</v>
      </c>
      <c r="M920" s="4" t="s">
        <v>56</v>
      </c>
      <c r="N920" s="4" t="s">
        <v>57</v>
      </c>
      <c r="O920">
        <v>25000</v>
      </c>
      <c r="P920">
        <v>3</v>
      </c>
      <c r="Q920">
        <v>1</v>
      </c>
      <c r="R920">
        <v>75000</v>
      </c>
      <c r="S920">
        <v>750</v>
      </c>
      <c r="T920">
        <v>74250</v>
      </c>
    </row>
    <row r="921" spans="1:20" x14ac:dyDescent="0.25">
      <c r="A921">
        <v>920</v>
      </c>
      <c r="B921" s="5">
        <v>45847</v>
      </c>
      <c r="C921">
        <v>5</v>
      </c>
      <c r="D921">
        <v>1</v>
      </c>
      <c r="E921">
        <v>130</v>
      </c>
      <c r="F921" s="4" t="s">
        <v>212</v>
      </c>
      <c r="G921" s="4" t="s">
        <v>213</v>
      </c>
      <c r="H921" s="4" t="s">
        <v>19</v>
      </c>
      <c r="I921" s="4" t="s">
        <v>630</v>
      </c>
      <c r="J921" s="4" t="s">
        <v>27</v>
      </c>
      <c r="K921" s="4" t="s">
        <v>28</v>
      </c>
      <c r="L921" s="4" t="s">
        <v>29</v>
      </c>
      <c r="M921" s="4" t="s">
        <v>46</v>
      </c>
      <c r="N921" s="4" t="s">
        <v>53</v>
      </c>
      <c r="O921">
        <v>750000</v>
      </c>
      <c r="P921">
        <v>3</v>
      </c>
      <c r="Q921">
        <v>5</v>
      </c>
      <c r="R921">
        <v>2250000</v>
      </c>
      <c r="S921">
        <v>112500</v>
      </c>
      <c r="T921">
        <v>2137500</v>
      </c>
    </row>
    <row r="922" spans="1:20" x14ac:dyDescent="0.25">
      <c r="A922">
        <v>921</v>
      </c>
      <c r="B922" s="5">
        <v>45848</v>
      </c>
      <c r="C922">
        <v>66</v>
      </c>
      <c r="D922">
        <v>2</v>
      </c>
      <c r="E922">
        <v>96</v>
      </c>
      <c r="F922" s="4" t="s">
        <v>493</v>
      </c>
      <c r="G922" s="4" t="s">
        <v>494</v>
      </c>
      <c r="H922" s="4" t="s">
        <v>19</v>
      </c>
      <c r="I922" s="4" t="s">
        <v>642</v>
      </c>
      <c r="J922" s="4" t="s">
        <v>27</v>
      </c>
      <c r="K922" s="4" t="s">
        <v>28</v>
      </c>
      <c r="L922" s="4" t="s">
        <v>38</v>
      </c>
      <c r="M922" s="4" t="s">
        <v>56</v>
      </c>
      <c r="N922" s="4" t="s">
        <v>57</v>
      </c>
      <c r="O922">
        <v>25000</v>
      </c>
      <c r="P922">
        <v>3</v>
      </c>
      <c r="Q922">
        <v>0</v>
      </c>
      <c r="R922">
        <v>75000</v>
      </c>
      <c r="S922">
        <v>0</v>
      </c>
      <c r="T922">
        <v>75000</v>
      </c>
    </row>
    <row r="923" spans="1:20" x14ac:dyDescent="0.25">
      <c r="A923">
        <v>922</v>
      </c>
      <c r="B923" s="5">
        <v>45849</v>
      </c>
      <c r="C923">
        <v>50</v>
      </c>
      <c r="D923">
        <v>0</v>
      </c>
      <c r="E923">
        <v>85</v>
      </c>
      <c r="F923" s="4" t="s">
        <v>491</v>
      </c>
      <c r="G923" s="4" t="s">
        <v>492</v>
      </c>
      <c r="H923" s="4" t="s">
        <v>19</v>
      </c>
      <c r="I923" s="4" t="s">
        <v>631</v>
      </c>
      <c r="J923" s="4" t="s">
        <v>20</v>
      </c>
      <c r="K923" s="4" t="s">
        <v>21</v>
      </c>
      <c r="L923" s="4" t="s">
        <v>22</v>
      </c>
      <c r="M923" s="4" t="s">
        <v>23</v>
      </c>
      <c r="N923" s="4" t="s">
        <v>24</v>
      </c>
      <c r="O923">
        <v>15000</v>
      </c>
      <c r="P923">
        <v>3</v>
      </c>
      <c r="Q923">
        <v>0</v>
      </c>
      <c r="R923">
        <v>45000</v>
      </c>
      <c r="S923">
        <v>0</v>
      </c>
      <c r="T923">
        <v>45000</v>
      </c>
    </row>
    <row r="924" spans="1:20" x14ac:dyDescent="0.25">
      <c r="A924">
        <v>923</v>
      </c>
      <c r="B924" s="5">
        <v>45850</v>
      </c>
      <c r="C924">
        <v>7</v>
      </c>
      <c r="D924">
        <v>8</v>
      </c>
      <c r="E924">
        <v>69</v>
      </c>
      <c r="F924" s="4" t="s">
        <v>188</v>
      </c>
      <c r="G924" s="4" t="s">
        <v>189</v>
      </c>
      <c r="H924" s="4" t="s">
        <v>42</v>
      </c>
      <c r="I924" s="4" t="s">
        <v>627</v>
      </c>
      <c r="J924" s="4" t="s">
        <v>37</v>
      </c>
      <c r="K924" s="4" t="s">
        <v>37</v>
      </c>
      <c r="L924" s="4" t="s">
        <v>38</v>
      </c>
      <c r="M924" s="4" t="s">
        <v>46</v>
      </c>
      <c r="N924" s="4" t="s">
        <v>53</v>
      </c>
      <c r="O924">
        <v>750000</v>
      </c>
      <c r="P924">
        <v>3</v>
      </c>
      <c r="Q924">
        <v>1</v>
      </c>
      <c r="R924">
        <v>2250000</v>
      </c>
      <c r="S924">
        <v>22500</v>
      </c>
      <c r="T924">
        <v>2227500</v>
      </c>
    </row>
    <row r="925" spans="1:20" x14ac:dyDescent="0.25">
      <c r="A925">
        <v>924</v>
      </c>
      <c r="B925" s="5">
        <v>45851</v>
      </c>
      <c r="C925">
        <v>33</v>
      </c>
      <c r="D925">
        <v>13</v>
      </c>
      <c r="E925">
        <v>137</v>
      </c>
      <c r="F925" s="4" t="s">
        <v>190</v>
      </c>
      <c r="G925" s="4" t="s">
        <v>191</v>
      </c>
      <c r="H925" s="4" t="s">
        <v>19</v>
      </c>
      <c r="I925" s="4" t="s">
        <v>631</v>
      </c>
      <c r="J925" s="4" t="s">
        <v>101</v>
      </c>
      <c r="K925" s="4" t="s">
        <v>109</v>
      </c>
      <c r="L925" s="4" t="s">
        <v>29</v>
      </c>
      <c r="M925" s="4" t="s">
        <v>23</v>
      </c>
      <c r="N925" s="4" t="s">
        <v>24</v>
      </c>
      <c r="O925">
        <v>15000</v>
      </c>
      <c r="P925">
        <v>1</v>
      </c>
      <c r="Q925">
        <v>1</v>
      </c>
      <c r="R925">
        <v>15000</v>
      </c>
      <c r="S925">
        <v>150</v>
      </c>
      <c r="T925">
        <v>14850</v>
      </c>
    </row>
    <row r="926" spans="1:20" x14ac:dyDescent="0.25">
      <c r="A926">
        <v>925</v>
      </c>
      <c r="B926" s="5">
        <v>45852</v>
      </c>
      <c r="C926">
        <v>40</v>
      </c>
      <c r="D926">
        <v>1</v>
      </c>
      <c r="E926">
        <v>15</v>
      </c>
      <c r="F926" s="4" t="s">
        <v>529</v>
      </c>
      <c r="G926" s="4" t="s">
        <v>530</v>
      </c>
      <c r="H926" s="4" t="s">
        <v>19</v>
      </c>
      <c r="I926" s="4" t="s">
        <v>612</v>
      </c>
      <c r="J926" s="4" t="s">
        <v>27</v>
      </c>
      <c r="K926" s="4" t="s">
        <v>28</v>
      </c>
      <c r="L926" s="4" t="s">
        <v>29</v>
      </c>
      <c r="M926" s="4" t="s">
        <v>56</v>
      </c>
      <c r="N926" s="4" t="s">
        <v>57</v>
      </c>
      <c r="O926">
        <v>25000</v>
      </c>
      <c r="P926">
        <v>2</v>
      </c>
      <c r="Q926">
        <v>0</v>
      </c>
      <c r="R926">
        <v>50000</v>
      </c>
      <c r="S926">
        <v>0</v>
      </c>
      <c r="T926">
        <v>50000</v>
      </c>
    </row>
    <row r="927" spans="1:20" x14ac:dyDescent="0.25">
      <c r="A927">
        <v>926</v>
      </c>
      <c r="B927" s="5">
        <v>45853</v>
      </c>
      <c r="C927">
        <v>68</v>
      </c>
      <c r="D927">
        <v>2</v>
      </c>
      <c r="E927">
        <v>124</v>
      </c>
      <c r="F927" s="4" t="s">
        <v>475</v>
      </c>
      <c r="G927" s="4" t="s">
        <v>476</v>
      </c>
      <c r="H927" s="4" t="s">
        <v>42</v>
      </c>
      <c r="I927" s="4" t="s">
        <v>629</v>
      </c>
      <c r="J927" s="4" t="s">
        <v>34</v>
      </c>
      <c r="K927" s="4" t="s">
        <v>272</v>
      </c>
      <c r="L927" s="4" t="s">
        <v>38</v>
      </c>
      <c r="M927" s="4" t="s">
        <v>39</v>
      </c>
      <c r="N927" s="4" t="s">
        <v>24</v>
      </c>
      <c r="O927">
        <v>35000</v>
      </c>
      <c r="P927">
        <v>3</v>
      </c>
      <c r="Q927">
        <v>0</v>
      </c>
      <c r="R927">
        <v>105000</v>
      </c>
      <c r="S927">
        <v>0</v>
      </c>
      <c r="T927">
        <v>105000</v>
      </c>
    </row>
    <row r="928" spans="1:20" x14ac:dyDescent="0.25">
      <c r="A928">
        <v>927</v>
      </c>
      <c r="B928" s="5">
        <v>45854</v>
      </c>
      <c r="C928">
        <v>20</v>
      </c>
      <c r="D928">
        <v>0</v>
      </c>
      <c r="E928">
        <v>24</v>
      </c>
      <c r="F928" s="4" t="s">
        <v>579</v>
      </c>
      <c r="G928" s="4" t="s">
        <v>580</v>
      </c>
      <c r="H928" s="4" t="s">
        <v>42</v>
      </c>
      <c r="I928" s="4" t="s">
        <v>642</v>
      </c>
      <c r="J928" s="4" t="s">
        <v>20</v>
      </c>
      <c r="K928" s="4" t="s">
        <v>21</v>
      </c>
      <c r="L928" s="4" t="s">
        <v>22</v>
      </c>
      <c r="M928" s="4" t="s">
        <v>56</v>
      </c>
      <c r="N928" s="4" t="s">
        <v>57</v>
      </c>
      <c r="O928">
        <v>25000</v>
      </c>
      <c r="P928">
        <v>2</v>
      </c>
      <c r="Q928">
        <v>5</v>
      </c>
      <c r="R928">
        <v>50000</v>
      </c>
      <c r="S928">
        <v>2500</v>
      </c>
      <c r="T928">
        <v>47500</v>
      </c>
    </row>
    <row r="929" spans="1:20" x14ac:dyDescent="0.25">
      <c r="A929">
        <v>928</v>
      </c>
      <c r="B929" s="5">
        <v>45855</v>
      </c>
      <c r="C929">
        <v>27</v>
      </c>
      <c r="D929">
        <v>4</v>
      </c>
      <c r="E929">
        <v>38</v>
      </c>
      <c r="F929" s="4" t="s">
        <v>200</v>
      </c>
      <c r="G929" s="4" t="s">
        <v>201</v>
      </c>
      <c r="H929" s="4" t="s">
        <v>19</v>
      </c>
      <c r="I929" s="4" t="s">
        <v>612</v>
      </c>
      <c r="J929" s="4" t="s">
        <v>116</v>
      </c>
      <c r="K929" s="4" t="s">
        <v>37</v>
      </c>
      <c r="L929" s="4" t="s">
        <v>38</v>
      </c>
      <c r="M929" s="4" t="s">
        <v>98</v>
      </c>
      <c r="N929" s="4" t="s">
        <v>151</v>
      </c>
      <c r="O929">
        <v>55000</v>
      </c>
      <c r="P929">
        <v>2</v>
      </c>
      <c r="Q929">
        <v>1</v>
      </c>
      <c r="R929">
        <v>110000</v>
      </c>
      <c r="S929">
        <v>1100</v>
      </c>
      <c r="T929">
        <v>108900</v>
      </c>
    </row>
    <row r="930" spans="1:20" x14ac:dyDescent="0.25">
      <c r="A930">
        <v>929</v>
      </c>
      <c r="B930" s="5">
        <v>45856</v>
      </c>
      <c r="C930">
        <v>32</v>
      </c>
      <c r="D930">
        <v>5</v>
      </c>
      <c r="E930">
        <v>212</v>
      </c>
      <c r="F930" s="4" t="s">
        <v>123</v>
      </c>
      <c r="G930" s="4" t="s">
        <v>124</v>
      </c>
      <c r="H930" s="4" t="s">
        <v>19</v>
      </c>
      <c r="I930" s="4" t="s">
        <v>644</v>
      </c>
      <c r="J930" s="4" t="s">
        <v>76</v>
      </c>
      <c r="K930" s="4" t="s">
        <v>77</v>
      </c>
      <c r="L930" s="4" t="s">
        <v>38</v>
      </c>
      <c r="M930" s="4" t="s">
        <v>49</v>
      </c>
      <c r="N930" s="4" t="s">
        <v>31</v>
      </c>
      <c r="O930">
        <v>800000</v>
      </c>
      <c r="P930">
        <v>2</v>
      </c>
      <c r="Q930">
        <v>0</v>
      </c>
      <c r="R930">
        <v>1600000</v>
      </c>
      <c r="S930">
        <v>0</v>
      </c>
      <c r="T930">
        <v>1600000</v>
      </c>
    </row>
    <row r="931" spans="1:20" x14ac:dyDescent="0.25">
      <c r="A931">
        <v>930</v>
      </c>
      <c r="B931" s="5">
        <v>45857</v>
      </c>
      <c r="C931">
        <v>52</v>
      </c>
      <c r="D931">
        <v>0</v>
      </c>
      <c r="E931">
        <v>30</v>
      </c>
      <c r="F931" s="4" t="s">
        <v>143</v>
      </c>
      <c r="G931" s="4" t="s">
        <v>144</v>
      </c>
      <c r="H931" s="4" t="s">
        <v>19</v>
      </c>
      <c r="I931" s="4" t="s">
        <v>611</v>
      </c>
      <c r="J931" s="4" t="s">
        <v>27</v>
      </c>
      <c r="K931" s="4" t="s">
        <v>28</v>
      </c>
      <c r="L931" s="4" t="s">
        <v>22</v>
      </c>
      <c r="M931" s="4" t="s">
        <v>39</v>
      </c>
      <c r="N931" s="4" t="s">
        <v>24</v>
      </c>
      <c r="O931">
        <v>35000</v>
      </c>
      <c r="P931">
        <v>2</v>
      </c>
      <c r="Q931">
        <v>5</v>
      </c>
      <c r="R931">
        <v>70000</v>
      </c>
      <c r="S931">
        <v>3500</v>
      </c>
      <c r="T931">
        <v>66500</v>
      </c>
    </row>
    <row r="932" spans="1:20" x14ac:dyDescent="0.25">
      <c r="A932">
        <v>931</v>
      </c>
      <c r="B932" s="5">
        <v>45858</v>
      </c>
      <c r="C932">
        <v>63</v>
      </c>
      <c r="D932">
        <v>5</v>
      </c>
      <c r="E932">
        <v>133</v>
      </c>
      <c r="F932" s="4" t="s">
        <v>565</v>
      </c>
      <c r="G932" s="4" t="s">
        <v>566</v>
      </c>
      <c r="H932" s="4" t="s">
        <v>19</v>
      </c>
      <c r="I932" s="4" t="s">
        <v>615</v>
      </c>
      <c r="J932" s="4" t="s">
        <v>101</v>
      </c>
      <c r="K932" s="4" t="s">
        <v>109</v>
      </c>
      <c r="L932" s="4" t="s">
        <v>38</v>
      </c>
      <c r="M932" s="4" t="s">
        <v>30</v>
      </c>
      <c r="N932" s="4" t="s">
        <v>31</v>
      </c>
      <c r="O932">
        <v>700000</v>
      </c>
      <c r="P932">
        <v>3</v>
      </c>
      <c r="Q932">
        <v>0</v>
      </c>
      <c r="R932">
        <v>2100000</v>
      </c>
      <c r="S932">
        <v>0</v>
      </c>
      <c r="T932">
        <v>2100000</v>
      </c>
    </row>
    <row r="933" spans="1:20" x14ac:dyDescent="0.25">
      <c r="A933">
        <v>932</v>
      </c>
      <c r="B933" s="5">
        <v>45859</v>
      </c>
      <c r="C933">
        <v>14</v>
      </c>
      <c r="D933">
        <v>0</v>
      </c>
      <c r="E933">
        <v>38</v>
      </c>
      <c r="F933" s="4" t="s">
        <v>200</v>
      </c>
      <c r="G933" s="4" t="s">
        <v>201</v>
      </c>
      <c r="H933" s="4" t="s">
        <v>19</v>
      </c>
      <c r="I933" s="4" t="s">
        <v>612</v>
      </c>
      <c r="J933" s="4" t="s">
        <v>34</v>
      </c>
      <c r="K933" s="4" t="s">
        <v>272</v>
      </c>
      <c r="L933" s="4" t="s">
        <v>38</v>
      </c>
      <c r="M933" s="4" t="s">
        <v>30</v>
      </c>
      <c r="N933" s="4" t="s">
        <v>31</v>
      </c>
      <c r="O933">
        <v>700000</v>
      </c>
      <c r="P933">
        <v>3</v>
      </c>
      <c r="Q933">
        <v>0</v>
      </c>
      <c r="R933">
        <v>2100000</v>
      </c>
      <c r="S933">
        <v>0</v>
      </c>
      <c r="T933">
        <v>2100000</v>
      </c>
    </row>
    <row r="934" spans="1:20" x14ac:dyDescent="0.25">
      <c r="A934">
        <v>933</v>
      </c>
      <c r="B934" s="5">
        <v>45860</v>
      </c>
      <c r="C934">
        <v>8</v>
      </c>
      <c r="D934">
        <v>1</v>
      </c>
      <c r="E934">
        <v>155</v>
      </c>
      <c r="F934" s="4" t="s">
        <v>379</v>
      </c>
      <c r="G934" s="4" t="s">
        <v>380</v>
      </c>
      <c r="H934" s="4" t="s">
        <v>42</v>
      </c>
      <c r="I934" s="4" t="s">
        <v>623</v>
      </c>
      <c r="J934" s="4" t="s">
        <v>76</v>
      </c>
      <c r="K934" s="4" t="s">
        <v>77</v>
      </c>
      <c r="L934" s="4" t="s">
        <v>22</v>
      </c>
      <c r="M934" s="4" t="s">
        <v>62</v>
      </c>
      <c r="N934" s="4" t="s">
        <v>31</v>
      </c>
      <c r="O934">
        <v>650000</v>
      </c>
      <c r="P934">
        <v>3</v>
      </c>
      <c r="Q934">
        <v>0</v>
      </c>
      <c r="R934">
        <v>1950000</v>
      </c>
      <c r="S934">
        <v>0</v>
      </c>
      <c r="T934">
        <v>1950000</v>
      </c>
    </row>
    <row r="935" spans="1:20" x14ac:dyDescent="0.25">
      <c r="A935">
        <v>934</v>
      </c>
      <c r="B935" s="5">
        <v>45861</v>
      </c>
      <c r="C935">
        <v>68</v>
      </c>
      <c r="D935">
        <v>2</v>
      </c>
      <c r="E935">
        <v>115</v>
      </c>
      <c r="F935" s="4" t="s">
        <v>521</v>
      </c>
      <c r="G935" s="4" t="s">
        <v>522</v>
      </c>
      <c r="H935" s="4" t="s">
        <v>42</v>
      </c>
      <c r="I935" s="4" t="s">
        <v>613</v>
      </c>
      <c r="J935" s="4" t="s">
        <v>34</v>
      </c>
      <c r="K935" s="4" t="s">
        <v>272</v>
      </c>
      <c r="L935" s="4" t="s">
        <v>38</v>
      </c>
      <c r="M935" s="4" t="s">
        <v>39</v>
      </c>
      <c r="N935" s="4" t="s">
        <v>24</v>
      </c>
      <c r="O935">
        <v>35000</v>
      </c>
      <c r="P935">
        <v>2</v>
      </c>
      <c r="Q935">
        <v>0</v>
      </c>
      <c r="R935">
        <v>70000</v>
      </c>
      <c r="S935">
        <v>0</v>
      </c>
      <c r="T935">
        <v>70000</v>
      </c>
    </row>
    <row r="936" spans="1:20" x14ac:dyDescent="0.25">
      <c r="A936">
        <v>935</v>
      </c>
      <c r="B936" s="5">
        <v>45862</v>
      </c>
      <c r="C936">
        <v>27</v>
      </c>
      <c r="D936">
        <v>4</v>
      </c>
      <c r="E936">
        <v>89</v>
      </c>
      <c r="F936" s="4" t="s">
        <v>525</v>
      </c>
      <c r="G936" s="4" t="s">
        <v>526</v>
      </c>
      <c r="H936" s="4" t="s">
        <v>19</v>
      </c>
      <c r="I936" s="4" t="s">
        <v>630</v>
      </c>
      <c r="J936" s="4" t="s">
        <v>116</v>
      </c>
      <c r="K936" s="4" t="s">
        <v>37</v>
      </c>
      <c r="L936" s="4" t="s">
        <v>38</v>
      </c>
      <c r="M936" s="4" t="s">
        <v>56</v>
      </c>
      <c r="N936" s="4" t="s">
        <v>57</v>
      </c>
      <c r="O936">
        <v>25000</v>
      </c>
      <c r="P936">
        <v>3</v>
      </c>
      <c r="Q936">
        <v>1</v>
      </c>
      <c r="R936">
        <v>75000</v>
      </c>
      <c r="S936">
        <v>750</v>
      </c>
      <c r="T936">
        <v>74250</v>
      </c>
    </row>
    <row r="937" spans="1:20" x14ac:dyDescent="0.25">
      <c r="A937">
        <v>936</v>
      </c>
      <c r="B937" s="5">
        <v>45863</v>
      </c>
      <c r="C937">
        <v>55</v>
      </c>
      <c r="D937">
        <v>9</v>
      </c>
      <c r="E937">
        <v>249</v>
      </c>
      <c r="F937" s="4" t="s">
        <v>162</v>
      </c>
      <c r="G937" s="4" t="s">
        <v>163</v>
      </c>
      <c r="H937" s="4" t="s">
        <v>42</v>
      </c>
      <c r="I937" s="4" t="s">
        <v>634</v>
      </c>
      <c r="J937" s="4" t="s">
        <v>43</v>
      </c>
      <c r="K937" s="4" t="s">
        <v>43</v>
      </c>
      <c r="L937" s="4" t="s">
        <v>38</v>
      </c>
      <c r="M937" s="4" t="s">
        <v>46</v>
      </c>
      <c r="N937" s="4" t="s">
        <v>53</v>
      </c>
      <c r="O937">
        <v>750000</v>
      </c>
      <c r="P937">
        <v>3</v>
      </c>
      <c r="Q937">
        <v>1</v>
      </c>
      <c r="R937">
        <v>2250000</v>
      </c>
      <c r="S937">
        <v>22500</v>
      </c>
      <c r="T937">
        <v>2227500</v>
      </c>
    </row>
    <row r="938" spans="1:20" x14ac:dyDescent="0.25">
      <c r="A938">
        <v>937</v>
      </c>
      <c r="B938" s="5">
        <v>45864</v>
      </c>
      <c r="C938">
        <v>50</v>
      </c>
      <c r="D938">
        <v>0</v>
      </c>
      <c r="E938">
        <v>104</v>
      </c>
      <c r="F938" s="4" t="s">
        <v>208</v>
      </c>
      <c r="G938" s="4" t="s">
        <v>209</v>
      </c>
      <c r="H938" s="4" t="s">
        <v>42</v>
      </c>
      <c r="I938" s="4" t="s">
        <v>631</v>
      </c>
      <c r="J938" s="4" t="s">
        <v>20</v>
      </c>
      <c r="K938" s="4" t="s">
        <v>21</v>
      </c>
      <c r="L938" s="4" t="s">
        <v>29</v>
      </c>
      <c r="M938" s="4" t="s">
        <v>46</v>
      </c>
      <c r="N938" s="4" t="s">
        <v>53</v>
      </c>
      <c r="O938">
        <v>750000</v>
      </c>
      <c r="P938">
        <v>2</v>
      </c>
      <c r="Q938">
        <v>0</v>
      </c>
      <c r="R938">
        <v>1500000</v>
      </c>
      <c r="S938">
        <v>0</v>
      </c>
      <c r="T938">
        <v>1500000</v>
      </c>
    </row>
    <row r="939" spans="1:20" x14ac:dyDescent="0.25">
      <c r="A939">
        <v>938</v>
      </c>
      <c r="B939" s="5">
        <v>45865</v>
      </c>
      <c r="C939">
        <v>41</v>
      </c>
      <c r="D939">
        <v>4</v>
      </c>
      <c r="E939">
        <v>57</v>
      </c>
      <c r="F939" s="4" t="s">
        <v>541</v>
      </c>
      <c r="G939" s="4" t="s">
        <v>542</v>
      </c>
      <c r="H939" s="4" t="s">
        <v>42</v>
      </c>
      <c r="I939" s="4" t="s">
        <v>616</v>
      </c>
      <c r="J939" s="4" t="s">
        <v>43</v>
      </c>
      <c r="K939" s="4" t="s">
        <v>43</v>
      </c>
      <c r="L939" s="4" t="s">
        <v>38</v>
      </c>
      <c r="M939" s="4" t="s">
        <v>46</v>
      </c>
      <c r="N939" s="4" t="s">
        <v>53</v>
      </c>
      <c r="O939">
        <v>750000</v>
      </c>
      <c r="P939">
        <v>2</v>
      </c>
      <c r="Q939">
        <v>1</v>
      </c>
      <c r="R939">
        <v>1500000</v>
      </c>
      <c r="S939">
        <v>15000</v>
      </c>
      <c r="T939">
        <v>1485000</v>
      </c>
    </row>
    <row r="940" spans="1:20" x14ac:dyDescent="0.25">
      <c r="A940">
        <v>939</v>
      </c>
      <c r="B940" s="5">
        <v>45866</v>
      </c>
      <c r="C940">
        <v>12</v>
      </c>
      <c r="D940">
        <v>0</v>
      </c>
      <c r="E940">
        <v>142</v>
      </c>
      <c r="F940" s="4" t="s">
        <v>277</v>
      </c>
      <c r="G940" s="4" t="s">
        <v>278</v>
      </c>
      <c r="H940" s="4" t="s">
        <v>19</v>
      </c>
      <c r="I940" s="4" t="s">
        <v>650</v>
      </c>
      <c r="J940" s="4" t="s">
        <v>116</v>
      </c>
      <c r="K940" s="4" t="s">
        <v>37</v>
      </c>
      <c r="L940" s="4" t="s">
        <v>29</v>
      </c>
      <c r="M940" s="4" t="s">
        <v>30</v>
      </c>
      <c r="N940" s="4" t="s">
        <v>31</v>
      </c>
      <c r="O940">
        <v>700000</v>
      </c>
      <c r="P940">
        <v>2</v>
      </c>
      <c r="Q940">
        <v>0</v>
      </c>
      <c r="R940">
        <v>1400000</v>
      </c>
      <c r="S940">
        <v>0</v>
      </c>
      <c r="T940">
        <v>1400000</v>
      </c>
    </row>
    <row r="941" spans="1:20" x14ac:dyDescent="0.25">
      <c r="A941">
        <v>940</v>
      </c>
      <c r="B941" s="5">
        <v>45867</v>
      </c>
      <c r="C941">
        <v>69</v>
      </c>
      <c r="D941">
        <v>1</v>
      </c>
      <c r="E941">
        <v>205</v>
      </c>
      <c r="F941" s="4" t="s">
        <v>210</v>
      </c>
      <c r="G941" s="4" t="s">
        <v>211</v>
      </c>
      <c r="H941" s="4" t="s">
        <v>19</v>
      </c>
      <c r="I941" s="4" t="s">
        <v>629</v>
      </c>
      <c r="J941" s="4" t="s">
        <v>76</v>
      </c>
      <c r="K941" s="4" t="s">
        <v>77</v>
      </c>
      <c r="L941" s="4" t="s">
        <v>38</v>
      </c>
      <c r="M941" s="4" t="s">
        <v>46</v>
      </c>
      <c r="N941" s="4" t="s">
        <v>53</v>
      </c>
      <c r="O941">
        <v>750000</v>
      </c>
      <c r="P941">
        <v>2</v>
      </c>
      <c r="Q941">
        <v>0</v>
      </c>
      <c r="R941">
        <v>1500000</v>
      </c>
      <c r="S941">
        <v>0</v>
      </c>
      <c r="T941">
        <v>1500000</v>
      </c>
    </row>
    <row r="942" spans="1:20" x14ac:dyDescent="0.25">
      <c r="A942">
        <v>941</v>
      </c>
      <c r="B942" s="5">
        <v>45868</v>
      </c>
      <c r="C942">
        <v>41</v>
      </c>
      <c r="D942">
        <v>4</v>
      </c>
      <c r="E942">
        <v>79</v>
      </c>
      <c r="F942" s="4" t="s">
        <v>523</v>
      </c>
      <c r="G942" s="4" t="s">
        <v>524</v>
      </c>
      <c r="H942" s="4" t="s">
        <v>42</v>
      </c>
      <c r="I942" s="4" t="s">
        <v>622</v>
      </c>
      <c r="J942" s="4" t="s">
        <v>43</v>
      </c>
      <c r="K942" s="4" t="s">
        <v>43</v>
      </c>
      <c r="L942" s="4" t="s">
        <v>29</v>
      </c>
      <c r="M942" s="4" t="s">
        <v>69</v>
      </c>
      <c r="N942" s="4" t="s">
        <v>53</v>
      </c>
      <c r="O942">
        <v>450000</v>
      </c>
      <c r="P942">
        <v>1</v>
      </c>
      <c r="Q942">
        <v>5</v>
      </c>
      <c r="R942">
        <v>450000</v>
      </c>
      <c r="S942">
        <v>22500</v>
      </c>
      <c r="T942">
        <v>427500</v>
      </c>
    </row>
    <row r="943" spans="1:20" x14ac:dyDescent="0.25">
      <c r="A943">
        <v>942</v>
      </c>
      <c r="B943" s="5">
        <v>45869</v>
      </c>
      <c r="C943">
        <v>58</v>
      </c>
      <c r="D943">
        <v>1</v>
      </c>
      <c r="E943">
        <v>254</v>
      </c>
      <c r="F943" s="4" t="s">
        <v>17</v>
      </c>
      <c r="G943" s="4" t="s">
        <v>18</v>
      </c>
      <c r="H943" s="4" t="s">
        <v>19</v>
      </c>
      <c r="I943" s="4" t="s">
        <v>619</v>
      </c>
      <c r="J943" s="4" t="s">
        <v>76</v>
      </c>
      <c r="K943" s="4" t="s">
        <v>77</v>
      </c>
      <c r="L943" s="4" t="s">
        <v>29</v>
      </c>
      <c r="M943" s="4" t="s">
        <v>62</v>
      </c>
      <c r="N943" s="4" t="s">
        <v>31</v>
      </c>
      <c r="O943">
        <v>650000</v>
      </c>
      <c r="P943">
        <v>3</v>
      </c>
      <c r="Q943">
        <v>0</v>
      </c>
      <c r="R943">
        <v>1950000</v>
      </c>
      <c r="S943">
        <v>0</v>
      </c>
      <c r="T943">
        <v>1950000</v>
      </c>
    </row>
    <row r="944" spans="1:20" x14ac:dyDescent="0.25">
      <c r="A944">
        <v>943</v>
      </c>
      <c r="B944" s="5">
        <v>45870</v>
      </c>
      <c r="C944">
        <v>50</v>
      </c>
      <c r="D944">
        <v>0</v>
      </c>
      <c r="E944">
        <v>171</v>
      </c>
      <c r="F944" s="4" t="s">
        <v>325</v>
      </c>
      <c r="G944" s="4" t="s">
        <v>326</v>
      </c>
      <c r="H944" s="4" t="s">
        <v>19</v>
      </c>
      <c r="I944" s="4" t="s">
        <v>616</v>
      </c>
      <c r="J944" s="4" t="s">
        <v>20</v>
      </c>
      <c r="K944" s="4" t="s">
        <v>21</v>
      </c>
      <c r="L944" s="4" t="s">
        <v>22</v>
      </c>
      <c r="M944" s="4" t="s">
        <v>69</v>
      </c>
      <c r="N944" s="4" t="s">
        <v>53</v>
      </c>
      <c r="O944">
        <v>450000</v>
      </c>
      <c r="P944">
        <v>3</v>
      </c>
      <c r="Q944">
        <v>5</v>
      </c>
      <c r="R944">
        <v>1350000</v>
      </c>
      <c r="S944">
        <v>67500</v>
      </c>
      <c r="T944">
        <v>1282500</v>
      </c>
    </row>
    <row r="945" spans="1:20" x14ac:dyDescent="0.25">
      <c r="A945">
        <v>944</v>
      </c>
      <c r="B945" s="5">
        <v>45871</v>
      </c>
      <c r="C945">
        <v>49</v>
      </c>
      <c r="D945">
        <v>1</v>
      </c>
      <c r="E945">
        <v>174</v>
      </c>
      <c r="F945" s="4" t="s">
        <v>303</v>
      </c>
      <c r="G945" s="4" t="s">
        <v>304</v>
      </c>
      <c r="H945" s="4" t="s">
        <v>42</v>
      </c>
      <c r="I945" s="4" t="s">
        <v>627</v>
      </c>
      <c r="J945" s="4" t="s">
        <v>43</v>
      </c>
      <c r="K945" s="4" t="s">
        <v>43</v>
      </c>
      <c r="L945" s="4" t="s">
        <v>38</v>
      </c>
      <c r="M945" s="4" t="s">
        <v>102</v>
      </c>
      <c r="N945" s="4" t="s">
        <v>57</v>
      </c>
      <c r="O945">
        <v>12000</v>
      </c>
      <c r="P945">
        <v>3</v>
      </c>
      <c r="Q945">
        <v>0</v>
      </c>
      <c r="R945">
        <v>36000</v>
      </c>
      <c r="S945">
        <v>0</v>
      </c>
      <c r="T945">
        <v>36000</v>
      </c>
    </row>
    <row r="946" spans="1:20" x14ac:dyDescent="0.25">
      <c r="A946">
        <v>945</v>
      </c>
      <c r="B946" s="5">
        <v>45872</v>
      </c>
      <c r="C946">
        <v>52</v>
      </c>
      <c r="D946">
        <v>0</v>
      </c>
      <c r="E946">
        <v>180</v>
      </c>
      <c r="F946" s="4" t="s">
        <v>449</v>
      </c>
      <c r="G946" s="4" t="s">
        <v>450</v>
      </c>
      <c r="H946" s="4" t="s">
        <v>19</v>
      </c>
      <c r="I946" s="4" t="s">
        <v>632</v>
      </c>
      <c r="J946" s="4" t="s">
        <v>27</v>
      </c>
      <c r="K946" s="4" t="s">
        <v>28</v>
      </c>
      <c r="L946" s="4" t="s">
        <v>38</v>
      </c>
      <c r="M946" s="4" t="s">
        <v>39</v>
      </c>
      <c r="N946" s="4" t="s">
        <v>24</v>
      </c>
      <c r="O946">
        <v>35000</v>
      </c>
      <c r="P946">
        <v>3</v>
      </c>
      <c r="Q946">
        <v>0</v>
      </c>
      <c r="R946">
        <v>105000</v>
      </c>
      <c r="S946">
        <v>0</v>
      </c>
      <c r="T946">
        <v>105000</v>
      </c>
    </row>
    <row r="947" spans="1:20" x14ac:dyDescent="0.25">
      <c r="A947">
        <v>946</v>
      </c>
      <c r="B947" s="5">
        <v>45873</v>
      </c>
      <c r="C947">
        <v>1</v>
      </c>
      <c r="D947">
        <v>8</v>
      </c>
      <c r="E947">
        <v>160</v>
      </c>
      <c r="F947" s="4" t="s">
        <v>47</v>
      </c>
      <c r="G947" s="4" t="s">
        <v>48</v>
      </c>
      <c r="H947" s="4" t="s">
        <v>42</v>
      </c>
      <c r="I947" s="4" t="s">
        <v>617</v>
      </c>
      <c r="J947" s="4" t="s">
        <v>34</v>
      </c>
      <c r="K947" s="4" t="s">
        <v>272</v>
      </c>
      <c r="L947" s="4" t="s">
        <v>38</v>
      </c>
      <c r="M947" s="4" t="s">
        <v>62</v>
      </c>
      <c r="N947" s="4" t="s">
        <v>31</v>
      </c>
      <c r="O947">
        <v>650000</v>
      </c>
      <c r="P947">
        <v>3</v>
      </c>
      <c r="Q947">
        <v>0</v>
      </c>
      <c r="R947">
        <v>1950000</v>
      </c>
      <c r="S947">
        <v>0</v>
      </c>
      <c r="T947">
        <v>1950000</v>
      </c>
    </row>
    <row r="948" spans="1:20" x14ac:dyDescent="0.25">
      <c r="A948">
        <v>947</v>
      </c>
      <c r="B948" s="5">
        <v>45874</v>
      </c>
      <c r="C948">
        <v>41</v>
      </c>
      <c r="D948">
        <v>4</v>
      </c>
      <c r="E948">
        <v>130</v>
      </c>
      <c r="F948" s="4" t="s">
        <v>212</v>
      </c>
      <c r="G948" s="4" t="s">
        <v>213</v>
      </c>
      <c r="H948" s="4" t="s">
        <v>19</v>
      </c>
      <c r="I948" s="4" t="s">
        <v>630</v>
      </c>
      <c r="J948" s="4" t="s">
        <v>43</v>
      </c>
      <c r="K948" s="4" t="s">
        <v>43</v>
      </c>
      <c r="L948" s="4" t="s">
        <v>38</v>
      </c>
      <c r="M948" s="4" t="s">
        <v>46</v>
      </c>
      <c r="N948" s="4" t="s">
        <v>53</v>
      </c>
      <c r="O948">
        <v>750000</v>
      </c>
      <c r="P948">
        <v>1</v>
      </c>
      <c r="Q948">
        <v>5</v>
      </c>
      <c r="R948">
        <v>750000</v>
      </c>
      <c r="S948">
        <v>37500</v>
      </c>
      <c r="T948">
        <v>712500</v>
      </c>
    </row>
    <row r="949" spans="1:20" x14ac:dyDescent="0.25">
      <c r="A949">
        <v>948</v>
      </c>
      <c r="B949" s="5">
        <v>45875</v>
      </c>
      <c r="C949">
        <v>58</v>
      </c>
      <c r="D949">
        <v>1</v>
      </c>
      <c r="E949">
        <v>149</v>
      </c>
      <c r="F949" s="4" t="s">
        <v>439</v>
      </c>
      <c r="G949" s="4" t="s">
        <v>440</v>
      </c>
      <c r="H949" s="4" t="s">
        <v>42</v>
      </c>
      <c r="I949" s="4" t="s">
        <v>620</v>
      </c>
      <c r="J949" s="4" t="s">
        <v>76</v>
      </c>
      <c r="K949" s="4" t="s">
        <v>77</v>
      </c>
      <c r="L949" s="4" t="s">
        <v>22</v>
      </c>
      <c r="M949" s="4" t="s">
        <v>102</v>
      </c>
      <c r="N949" s="4" t="s">
        <v>57</v>
      </c>
      <c r="O949">
        <v>12000</v>
      </c>
      <c r="P949">
        <v>3</v>
      </c>
      <c r="Q949">
        <v>0</v>
      </c>
      <c r="R949">
        <v>36000</v>
      </c>
      <c r="S949">
        <v>0</v>
      </c>
      <c r="T949">
        <v>36000</v>
      </c>
    </row>
    <row r="950" spans="1:20" x14ac:dyDescent="0.25">
      <c r="A950">
        <v>949</v>
      </c>
      <c r="B950" s="5">
        <v>45876</v>
      </c>
      <c r="C950">
        <v>11</v>
      </c>
      <c r="D950">
        <v>0</v>
      </c>
      <c r="E950">
        <v>121</v>
      </c>
      <c r="F950" s="4" t="s">
        <v>194</v>
      </c>
      <c r="G950" s="4" t="s">
        <v>195</v>
      </c>
      <c r="H950" s="4" t="s">
        <v>19</v>
      </c>
      <c r="I950" s="4" t="s">
        <v>621</v>
      </c>
      <c r="J950" s="4" t="s">
        <v>43</v>
      </c>
      <c r="K950" s="4" t="s">
        <v>43</v>
      </c>
      <c r="L950" s="4" t="s">
        <v>38</v>
      </c>
      <c r="M950" s="4" t="s">
        <v>102</v>
      </c>
      <c r="N950" s="4" t="s">
        <v>57</v>
      </c>
      <c r="O950">
        <v>12000</v>
      </c>
      <c r="P950">
        <v>2</v>
      </c>
      <c r="Q950">
        <v>0</v>
      </c>
      <c r="R950">
        <v>24000</v>
      </c>
      <c r="S950">
        <v>0</v>
      </c>
      <c r="T950">
        <v>24000</v>
      </c>
    </row>
    <row r="951" spans="1:20" x14ac:dyDescent="0.25">
      <c r="A951">
        <v>950</v>
      </c>
      <c r="B951" s="5">
        <v>45877</v>
      </c>
      <c r="C951">
        <v>13</v>
      </c>
      <c r="D951">
        <v>0</v>
      </c>
      <c r="E951">
        <v>217</v>
      </c>
      <c r="F951" s="4" t="s">
        <v>505</v>
      </c>
      <c r="G951" s="4" t="s">
        <v>506</v>
      </c>
      <c r="H951" s="4" t="s">
        <v>19</v>
      </c>
      <c r="I951" s="4" t="s">
        <v>631</v>
      </c>
      <c r="J951" s="4" t="s">
        <v>27</v>
      </c>
      <c r="K951" s="4" t="s">
        <v>28</v>
      </c>
      <c r="L951" s="4" t="s">
        <v>22</v>
      </c>
      <c r="M951" s="4" t="s">
        <v>30</v>
      </c>
      <c r="N951" s="4" t="s">
        <v>31</v>
      </c>
      <c r="O951">
        <v>700000</v>
      </c>
      <c r="P951">
        <v>3</v>
      </c>
      <c r="Q951">
        <v>1</v>
      </c>
      <c r="R951">
        <v>2100000</v>
      </c>
      <c r="S951">
        <v>21000</v>
      </c>
      <c r="T951">
        <v>2079000</v>
      </c>
    </row>
    <row r="952" spans="1:20" x14ac:dyDescent="0.25">
      <c r="A952">
        <v>951</v>
      </c>
      <c r="B952" s="5">
        <v>45878</v>
      </c>
      <c r="C952">
        <v>3</v>
      </c>
      <c r="D952">
        <v>1</v>
      </c>
      <c r="E952">
        <v>35</v>
      </c>
      <c r="F952" s="4" t="s">
        <v>58</v>
      </c>
      <c r="G952" s="4" t="s">
        <v>59</v>
      </c>
      <c r="H952" s="4" t="s">
        <v>42</v>
      </c>
      <c r="I952" s="4" t="s">
        <v>621</v>
      </c>
      <c r="J952" s="4" t="s">
        <v>37</v>
      </c>
      <c r="K952" s="4" t="s">
        <v>37</v>
      </c>
      <c r="L952" s="4" t="s">
        <v>29</v>
      </c>
      <c r="M952" s="4" t="s">
        <v>98</v>
      </c>
      <c r="N952" s="4" t="s">
        <v>151</v>
      </c>
      <c r="O952">
        <v>55000</v>
      </c>
      <c r="P952">
        <v>2</v>
      </c>
      <c r="Q952">
        <v>0</v>
      </c>
      <c r="R952">
        <v>110000</v>
      </c>
      <c r="S952">
        <v>0</v>
      </c>
      <c r="T952">
        <v>110000</v>
      </c>
    </row>
    <row r="953" spans="1:20" x14ac:dyDescent="0.25">
      <c r="A953">
        <v>952</v>
      </c>
      <c r="B953" s="5">
        <v>45879</v>
      </c>
      <c r="C953">
        <v>8</v>
      </c>
      <c r="D953">
        <v>1</v>
      </c>
      <c r="E953">
        <v>227</v>
      </c>
      <c r="F953" s="4" t="s">
        <v>309</v>
      </c>
      <c r="G953" s="4" t="s">
        <v>310</v>
      </c>
      <c r="H953" s="4" t="s">
        <v>42</v>
      </c>
      <c r="I953" s="4" t="s">
        <v>610</v>
      </c>
      <c r="J953" s="4" t="s">
        <v>76</v>
      </c>
      <c r="K953" s="4" t="s">
        <v>77</v>
      </c>
      <c r="L953" s="4" t="s">
        <v>29</v>
      </c>
      <c r="M953" s="4" t="s">
        <v>46</v>
      </c>
      <c r="N953" s="4" t="s">
        <v>53</v>
      </c>
      <c r="O953">
        <v>750000</v>
      </c>
      <c r="P953">
        <v>3</v>
      </c>
      <c r="Q953">
        <v>0</v>
      </c>
      <c r="R953">
        <v>2250000</v>
      </c>
      <c r="S953">
        <v>0</v>
      </c>
      <c r="T953">
        <v>2250000</v>
      </c>
    </row>
    <row r="954" spans="1:20" x14ac:dyDescent="0.25">
      <c r="A954">
        <v>953</v>
      </c>
      <c r="B954" s="5">
        <v>45880</v>
      </c>
      <c r="C954">
        <v>20</v>
      </c>
      <c r="D954">
        <v>0</v>
      </c>
      <c r="E954">
        <v>86</v>
      </c>
      <c r="F954" s="4" t="s">
        <v>214</v>
      </c>
      <c r="G954" s="4" t="s">
        <v>215</v>
      </c>
      <c r="H954" s="4" t="s">
        <v>19</v>
      </c>
      <c r="I954" s="4" t="s">
        <v>630</v>
      </c>
      <c r="J954" s="4" t="s">
        <v>20</v>
      </c>
      <c r="K954" s="4" t="s">
        <v>21</v>
      </c>
      <c r="L954" s="4" t="s">
        <v>38</v>
      </c>
      <c r="M954" s="4" t="s">
        <v>102</v>
      </c>
      <c r="N954" s="4" t="s">
        <v>57</v>
      </c>
      <c r="O954">
        <v>12000</v>
      </c>
      <c r="P954">
        <v>3</v>
      </c>
      <c r="Q954">
        <v>0</v>
      </c>
      <c r="R954">
        <v>36000</v>
      </c>
      <c r="S954">
        <v>0</v>
      </c>
      <c r="T954">
        <v>36000</v>
      </c>
    </row>
    <row r="955" spans="1:20" x14ac:dyDescent="0.25">
      <c r="A955">
        <v>954</v>
      </c>
      <c r="B955" s="5">
        <v>45881</v>
      </c>
      <c r="C955">
        <v>59</v>
      </c>
      <c r="D955">
        <v>1</v>
      </c>
      <c r="E955">
        <v>270</v>
      </c>
      <c r="F955" s="4" t="s">
        <v>467</v>
      </c>
      <c r="G955" s="4" t="s">
        <v>468</v>
      </c>
      <c r="H955" s="4" t="s">
        <v>19</v>
      </c>
      <c r="I955" s="4" t="s">
        <v>622</v>
      </c>
      <c r="J955" s="4" t="s">
        <v>43</v>
      </c>
      <c r="K955" s="4" t="s">
        <v>43</v>
      </c>
      <c r="L955" s="4" t="s">
        <v>38</v>
      </c>
      <c r="M955" s="4" t="s">
        <v>23</v>
      </c>
      <c r="N955" s="4" t="s">
        <v>24</v>
      </c>
      <c r="O955">
        <v>15000</v>
      </c>
      <c r="P955">
        <v>2</v>
      </c>
      <c r="Q955">
        <v>0</v>
      </c>
      <c r="R955">
        <v>30000</v>
      </c>
      <c r="S955">
        <v>0</v>
      </c>
      <c r="T955">
        <v>30000</v>
      </c>
    </row>
    <row r="956" spans="1:20" x14ac:dyDescent="0.25">
      <c r="A956">
        <v>955</v>
      </c>
      <c r="B956" s="5">
        <v>45882</v>
      </c>
      <c r="C956">
        <v>59</v>
      </c>
      <c r="D956">
        <v>1</v>
      </c>
      <c r="E956">
        <v>58</v>
      </c>
      <c r="F956" s="4" t="s">
        <v>204</v>
      </c>
      <c r="G956" s="4" t="s">
        <v>205</v>
      </c>
      <c r="H956" s="4" t="s">
        <v>19</v>
      </c>
      <c r="I956" s="4" t="s">
        <v>611</v>
      </c>
      <c r="J956" s="4" t="s">
        <v>43</v>
      </c>
      <c r="K956" s="4" t="s">
        <v>43</v>
      </c>
      <c r="L956" s="4" t="s">
        <v>38</v>
      </c>
      <c r="M956" s="4" t="s">
        <v>98</v>
      </c>
      <c r="N956" s="4" t="s">
        <v>151</v>
      </c>
      <c r="O956">
        <v>55000</v>
      </c>
      <c r="P956">
        <v>3</v>
      </c>
      <c r="Q956">
        <v>0</v>
      </c>
      <c r="R956">
        <v>165000</v>
      </c>
      <c r="S956">
        <v>0</v>
      </c>
      <c r="T956">
        <v>165000</v>
      </c>
    </row>
    <row r="957" spans="1:20" x14ac:dyDescent="0.25">
      <c r="A957">
        <v>956</v>
      </c>
      <c r="B957" s="5">
        <v>45883</v>
      </c>
      <c r="C957">
        <v>28</v>
      </c>
      <c r="D957">
        <v>5</v>
      </c>
      <c r="E957">
        <v>128</v>
      </c>
      <c r="F957" s="4" t="s">
        <v>425</v>
      </c>
      <c r="G957" s="4" t="s">
        <v>426</v>
      </c>
      <c r="H957" s="4" t="s">
        <v>42</v>
      </c>
      <c r="I957" s="4" t="s">
        <v>630</v>
      </c>
      <c r="J957" s="4" t="s">
        <v>116</v>
      </c>
      <c r="K957" s="4" t="s">
        <v>37</v>
      </c>
      <c r="L957" s="4" t="s">
        <v>22</v>
      </c>
      <c r="M957" s="4" t="s">
        <v>46</v>
      </c>
      <c r="N957" s="4" t="s">
        <v>53</v>
      </c>
      <c r="O957">
        <v>750000</v>
      </c>
      <c r="P957">
        <v>2</v>
      </c>
      <c r="Q957">
        <v>5</v>
      </c>
      <c r="R957">
        <v>1500000</v>
      </c>
      <c r="S957">
        <v>75000</v>
      </c>
      <c r="T957">
        <v>1425000</v>
      </c>
    </row>
    <row r="958" spans="1:20" x14ac:dyDescent="0.25">
      <c r="A958">
        <v>957</v>
      </c>
      <c r="B958" s="5">
        <v>45884</v>
      </c>
      <c r="C958">
        <v>26</v>
      </c>
      <c r="D958">
        <v>6</v>
      </c>
      <c r="E958">
        <v>23</v>
      </c>
      <c r="F958" s="4" t="s">
        <v>92</v>
      </c>
      <c r="G958" s="4" t="s">
        <v>93</v>
      </c>
      <c r="H958" s="4" t="s">
        <v>42</v>
      </c>
      <c r="I958" s="4" t="s">
        <v>610</v>
      </c>
      <c r="J958" s="4" t="s">
        <v>101</v>
      </c>
      <c r="K958" s="4" t="s">
        <v>109</v>
      </c>
      <c r="L958" s="4" t="s">
        <v>29</v>
      </c>
      <c r="M958" s="4" t="s">
        <v>102</v>
      </c>
      <c r="N958" s="4" t="s">
        <v>57</v>
      </c>
      <c r="O958">
        <v>12000</v>
      </c>
      <c r="P958">
        <v>2</v>
      </c>
      <c r="Q958">
        <v>1</v>
      </c>
      <c r="R958">
        <v>24000</v>
      </c>
      <c r="S958">
        <v>240</v>
      </c>
      <c r="T958">
        <v>23760</v>
      </c>
    </row>
    <row r="959" spans="1:20" x14ac:dyDescent="0.25">
      <c r="A959">
        <v>958</v>
      </c>
      <c r="B959" s="5">
        <v>45885</v>
      </c>
      <c r="C959">
        <v>52</v>
      </c>
      <c r="D959">
        <v>0</v>
      </c>
      <c r="E959">
        <v>185</v>
      </c>
      <c r="F959" s="4" t="s">
        <v>287</v>
      </c>
      <c r="G959" s="4" t="s">
        <v>288</v>
      </c>
      <c r="H959" s="4" t="s">
        <v>19</v>
      </c>
      <c r="I959" s="4" t="s">
        <v>613</v>
      </c>
      <c r="J959" s="4" t="s">
        <v>27</v>
      </c>
      <c r="K959" s="4" t="s">
        <v>28</v>
      </c>
      <c r="L959" s="4" t="s">
        <v>22</v>
      </c>
      <c r="M959" s="4" t="s">
        <v>69</v>
      </c>
      <c r="N959" s="4" t="s">
        <v>53</v>
      </c>
      <c r="O959">
        <v>450000</v>
      </c>
      <c r="P959">
        <v>3</v>
      </c>
      <c r="Q959">
        <v>5</v>
      </c>
      <c r="R959">
        <v>1350000</v>
      </c>
      <c r="S959">
        <v>67500</v>
      </c>
      <c r="T959">
        <v>1282500</v>
      </c>
    </row>
    <row r="960" spans="1:20" x14ac:dyDescent="0.25">
      <c r="A960">
        <v>959</v>
      </c>
      <c r="B960" s="5">
        <v>45886</v>
      </c>
      <c r="C960">
        <v>33</v>
      </c>
      <c r="D960">
        <v>13</v>
      </c>
      <c r="E960">
        <v>76</v>
      </c>
      <c r="F960" s="4" t="s">
        <v>317</v>
      </c>
      <c r="G960" s="4" t="s">
        <v>318</v>
      </c>
      <c r="H960" s="4" t="s">
        <v>19</v>
      </c>
      <c r="I960" s="4" t="s">
        <v>621</v>
      </c>
      <c r="J960" s="4" t="s">
        <v>101</v>
      </c>
      <c r="K960" s="4" t="s">
        <v>109</v>
      </c>
      <c r="L960" s="4" t="s">
        <v>29</v>
      </c>
      <c r="M960" s="4" t="s">
        <v>102</v>
      </c>
      <c r="N960" s="4" t="s">
        <v>57</v>
      </c>
      <c r="O960">
        <v>12000</v>
      </c>
      <c r="P960">
        <v>1</v>
      </c>
      <c r="Q960">
        <v>0</v>
      </c>
      <c r="R960">
        <v>12000</v>
      </c>
      <c r="S960">
        <v>0</v>
      </c>
      <c r="T960">
        <v>12000</v>
      </c>
    </row>
    <row r="961" spans="1:20" x14ac:dyDescent="0.25">
      <c r="A961">
        <v>960</v>
      </c>
      <c r="B961" s="5">
        <v>45887</v>
      </c>
      <c r="C961">
        <v>58</v>
      </c>
      <c r="D961">
        <v>1</v>
      </c>
      <c r="E961">
        <v>267</v>
      </c>
      <c r="F961" s="4" t="s">
        <v>252</v>
      </c>
      <c r="G961" s="4" t="s">
        <v>253</v>
      </c>
      <c r="H961" s="4" t="s">
        <v>42</v>
      </c>
      <c r="I961" s="4" t="s">
        <v>653</v>
      </c>
      <c r="J961" s="4" t="s">
        <v>76</v>
      </c>
      <c r="K961" s="4" t="s">
        <v>77</v>
      </c>
      <c r="L961" s="4" t="s">
        <v>22</v>
      </c>
      <c r="M961" s="4" t="s">
        <v>69</v>
      </c>
      <c r="N961" s="4" t="s">
        <v>53</v>
      </c>
      <c r="O961">
        <v>450000</v>
      </c>
      <c r="P961">
        <v>1</v>
      </c>
      <c r="Q961">
        <v>0</v>
      </c>
      <c r="R961">
        <v>450000</v>
      </c>
      <c r="S961">
        <v>0</v>
      </c>
      <c r="T961">
        <v>450000</v>
      </c>
    </row>
    <row r="962" spans="1:20" x14ac:dyDescent="0.25">
      <c r="A962">
        <v>961</v>
      </c>
      <c r="B962" s="5">
        <v>45888</v>
      </c>
      <c r="C962">
        <v>60</v>
      </c>
      <c r="D962">
        <v>1</v>
      </c>
      <c r="E962">
        <v>94</v>
      </c>
      <c r="F962" s="4" t="s">
        <v>477</v>
      </c>
      <c r="G962" s="4" t="s">
        <v>478</v>
      </c>
      <c r="H962" s="4" t="s">
        <v>19</v>
      </c>
      <c r="I962" s="4" t="s">
        <v>611</v>
      </c>
      <c r="J962" s="4" t="s">
        <v>37</v>
      </c>
      <c r="K962" s="4" t="s">
        <v>37</v>
      </c>
      <c r="L962" s="4" t="s">
        <v>22</v>
      </c>
      <c r="M962" s="4" t="s">
        <v>62</v>
      </c>
      <c r="N962" s="4" t="s">
        <v>31</v>
      </c>
      <c r="O962">
        <v>650000</v>
      </c>
      <c r="P962">
        <v>2</v>
      </c>
      <c r="Q962">
        <v>5</v>
      </c>
      <c r="R962">
        <v>1300000</v>
      </c>
      <c r="S962">
        <v>65000</v>
      </c>
      <c r="T962">
        <v>1235000</v>
      </c>
    </row>
    <row r="963" spans="1:20" x14ac:dyDescent="0.25">
      <c r="A963">
        <v>962</v>
      </c>
      <c r="B963" s="5">
        <v>45889</v>
      </c>
      <c r="C963">
        <v>46</v>
      </c>
      <c r="D963">
        <v>5</v>
      </c>
      <c r="E963">
        <v>229</v>
      </c>
      <c r="F963" s="4" t="s">
        <v>293</v>
      </c>
      <c r="G963" s="4" t="s">
        <v>294</v>
      </c>
      <c r="H963" s="4" t="s">
        <v>19</v>
      </c>
      <c r="I963" s="4" t="s">
        <v>614</v>
      </c>
      <c r="J963" s="4" t="s">
        <v>84</v>
      </c>
      <c r="K963" s="4" t="s">
        <v>85</v>
      </c>
      <c r="L963" s="4" t="s">
        <v>22</v>
      </c>
      <c r="M963" s="4" t="s">
        <v>62</v>
      </c>
      <c r="N963" s="4" t="s">
        <v>31</v>
      </c>
      <c r="O963">
        <v>650000</v>
      </c>
      <c r="P963">
        <v>2</v>
      </c>
      <c r="Q963">
        <v>0</v>
      </c>
      <c r="R963">
        <v>1300000</v>
      </c>
      <c r="S963">
        <v>0</v>
      </c>
      <c r="T963">
        <v>1300000</v>
      </c>
    </row>
    <row r="964" spans="1:20" x14ac:dyDescent="0.25">
      <c r="A964">
        <v>963</v>
      </c>
      <c r="B964" s="5">
        <v>45890</v>
      </c>
      <c r="C964">
        <v>52</v>
      </c>
      <c r="D964">
        <v>0</v>
      </c>
      <c r="E964">
        <v>277</v>
      </c>
      <c r="F964" s="4" t="s">
        <v>481</v>
      </c>
      <c r="G964" s="4" t="s">
        <v>482</v>
      </c>
      <c r="H964" s="4" t="s">
        <v>42</v>
      </c>
      <c r="I964" s="4" t="s">
        <v>625</v>
      </c>
      <c r="J964" s="4" t="s">
        <v>27</v>
      </c>
      <c r="K964" s="4" t="s">
        <v>28</v>
      </c>
      <c r="L964" s="4" t="s">
        <v>22</v>
      </c>
      <c r="M964" s="4" t="s">
        <v>46</v>
      </c>
      <c r="N964" s="4" t="s">
        <v>53</v>
      </c>
      <c r="O964">
        <v>750000</v>
      </c>
      <c r="P964">
        <v>1</v>
      </c>
      <c r="Q964">
        <v>0</v>
      </c>
      <c r="R964">
        <v>750000</v>
      </c>
      <c r="S964">
        <v>0</v>
      </c>
      <c r="T964">
        <v>750000</v>
      </c>
    </row>
    <row r="965" spans="1:20" x14ac:dyDescent="0.25">
      <c r="A965">
        <v>964</v>
      </c>
      <c r="B965" s="5">
        <v>45891</v>
      </c>
      <c r="C965">
        <v>32</v>
      </c>
      <c r="D965">
        <v>5</v>
      </c>
      <c r="E965">
        <v>92</v>
      </c>
      <c r="F965" s="4" t="s">
        <v>337</v>
      </c>
      <c r="G965" s="4" t="s">
        <v>338</v>
      </c>
      <c r="H965" s="4" t="s">
        <v>42</v>
      </c>
      <c r="I965" s="4" t="s">
        <v>637</v>
      </c>
      <c r="J965" s="4" t="s">
        <v>76</v>
      </c>
      <c r="K965" s="4" t="s">
        <v>77</v>
      </c>
      <c r="L965" s="4" t="s">
        <v>29</v>
      </c>
      <c r="M965" s="4" t="s">
        <v>56</v>
      </c>
      <c r="N965" s="4" t="s">
        <v>57</v>
      </c>
      <c r="O965">
        <v>25000</v>
      </c>
      <c r="P965">
        <v>3</v>
      </c>
      <c r="Q965">
        <v>1</v>
      </c>
      <c r="R965">
        <v>75000</v>
      </c>
      <c r="S965">
        <v>750</v>
      </c>
      <c r="T965">
        <v>74250</v>
      </c>
    </row>
    <row r="966" spans="1:20" x14ac:dyDescent="0.25">
      <c r="A966">
        <v>965</v>
      </c>
      <c r="B966" s="5">
        <v>45892</v>
      </c>
      <c r="C966">
        <v>61</v>
      </c>
      <c r="D966">
        <v>3</v>
      </c>
      <c r="E966">
        <v>150</v>
      </c>
      <c r="F966" s="4" t="s">
        <v>571</v>
      </c>
      <c r="G966" s="4" t="s">
        <v>572</v>
      </c>
      <c r="H966" s="4" t="s">
        <v>19</v>
      </c>
      <c r="I966" s="4" t="s">
        <v>623</v>
      </c>
      <c r="J966" s="4" t="s">
        <v>52</v>
      </c>
      <c r="K966" s="4" t="s">
        <v>28</v>
      </c>
      <c r="L966" s="4" t="s">
        <v>29</v>
      </c>
      <c r="M966" s="4" t="s">
        <v>23</v>
      </c>
      <c r="N966" s="4" t="s">
        <v>24</v>
      </c>
      <c r="O966">
        <v>15000</v>
      </c>
      <c r="P966">
        <v>3</v>
      </c>
      <c r="Q966">
        <v>1</v>
      </c>
      <c r="R966">
        <v>45000</v>
      </c>
      <c r="S966">
        <v>450</v>
      </c>
      <c r="T966">
        <v>44550</v>
      </c>
    </row>
    <row r="967" spans="1:20" x14ac:dyDescent="0.25">
      <c r="A967">
        <v>966</v>
      </c>
      <c r="B967" s="5">
        <v>45893</v>
      </c>
      <c r="C967">
        <v>27</v>
      </c>
      <c r="D967">
        <v>4</v>
      </c>
      <c r="E967">
        <v>265</v>
      </c>
      <c r="F967" s="4" t="s">
        <v>471</v>
      </c>
      <c r="G967" s="4" t="s">
        <v>472</v>
      </c>
      <c r="H967" s="4" t="s">
        <v>42</v>
      </c>
      <c r="I967" s="4" t="s">
        <v>611</v>
      </c>
      <c r="J967" s="4" t="s">
        <v>116</v>
      </c>
      <c r="K967" s="4" t="s">
        <v>37</v>
      </c>
      <c r="L967" s="4" t="s">
        <v>38</v>
      </c>
      <c r="M967" s="4" t="s">
        <v>39</v>
      </c>
      <c r="N967" s="4" t="s">
        <v>24</v>
      </c>
      <c r="O967">
        <v>35000</v>
      </c>
      <c r="P967">
        <v>1</v>
      </c>
      <c r="Q967">
        <v>5</v>
      </c>
      <c r="R967">
        <v>35000</v>
      </c>
      <c r="S967">
        <v>1750</v>
      </c>
      <c r="T967">
        <v>33250</v>
      </c>
    </row>
    <row r="968" spans="1:20" x14ac:dyDescent="0.25">
      <c r="A968">
        <v>967</v>
      </c>
      <c r="B968" s="5">
        <v>45894</v>
      </c>
      <c r="C968">
        <v>59</v>
      </c>
      <c r="D968">
        <v>1</v>
      </c>
      <c r="E968">
        <v>50</v>
      </c>
      <c r="F968" s="4" t="s">
        <v>63</v>
      </c>
      <c r="G968" s="4" t="s">
        <v>64</v>
      </c>
      <c r="H968" s="4" t="s">
        <v>19</v>
      </c>
      <c r="I968" s="4" t="s">
        <v>612</v>
      </c>
      <c r="J968" s="4" t="s">
        <v>43</v>
      </c>
      <c r="K968" s="4" t="s">
        <v>43</v>
      </c>
      <c r="L968" s="4" t="s">
        <v>22</v>
      </c>
      <c r="M968" s="4" t="s">
        <v>49</v>
      </c>
      <c r="N968" s="4" t="s">
        <v>31</v>
      </c>
      <c r="O968">
        <v>800000</v>
      </c>
      <c r="P968">
        <v>2</v>
      </c>
      <c r="Q968">
        <v>0</v>
      </c>
      <c r="R968">
        <v>1600000</v>
      </c>
      <c r="S968">
        <v>0</v>
      </c>
      <c r="T968">
        <v>1600000</v>
      </c>
    </row>
    <row r="969" spans="1:20" x14ac:dyDescent="0.25">
      <c r="A969">
        <v>968</v>
      </c>
      <c r="B969" s="5">
        <v>45895</v>
      </c>
      <c r="C969">
        <v>43</v>
      </c>
      <c r="D969">
        <v>0</v>
      </c>
      <c r="E969">
        <v>279</v>
      </c>
      <c r="F969" s="4" t="s">
        <v>381</v>
      </c>
      <c r="G969" s="4" t="s">
        <v>382</v>
      </c>
      <c r="H969" s="4" t="s">
        <v>42</v>
      </c>
      <c r="I969" s="4" t="s">
        <v>610</v>
      </c>
      <c r="J969" s="4" t="s">
        <v>34</v>
      </c>
      <c r="K969" s="4" t="s">
        <v>272</v>
      </c>
      <c r="L969" s="4" t="s">
        <v>38</v>
      </c>
      <c r="M969" s="4" t="s">
        <v>49</v>
      </c>
      <c r="N969" s="4" t="s">
        <v>31</v>
      </c>
      <c r="O969">
        <v>800000</v>
      </c>
      <c r="P969">
        <v>3</v>
      </c>
      <c r="Q969">
        <v>0</v>
      </c>
      <c r="R969">
        <v>2400000</v>
      </c>
      <c r="S969">
        <v>0</v>
      </c>
      <c r="T969">
        <v>2400000</v>
      </c>
    </row>
    <row r="970" spans="1:20" x14ac:dyDescent="0.25">
      <c r="A970">
        <v>969</v>
      </c>
      <c r="B970" s="5">
        <v>45896</v>
      </c>
      <c r="C970">
        <v>42</v>
      </c>
      <c r="D970">
        <v>4</v>
      </c>
      <c r="E970">
        <v>146</v>
      </c>
      <c r="F970" s="4" t="s">
        <v>537</v>
      </c>
      <c r="G970" s="4" t="s">
        <v>538</v>
      </c>
      <c r="H970" s="4" t="s">
        <v>42</v>
      </c>
      <c r="I970" s="4" t="s">
        <v>621</v>
      </c>
      <c r="J970" s="4" t="s">
        <v>27</v>
      </c>
      <c r="K970" s="4" t="s">
        <v>28</v>
      </c>
      <c r="L970" s="4" t="s">
        <v>38</v>
      </c>
      <c r="M970" s="4" t="s">
        <v>49</v>
      </c>
      <c r="N970" s="4" t="s">
        <v>31</v>
      </c>
      <c r="O970">
        <v>800000</v>
      </c>
      <c r="P970">
        <v>1</v>
      </c>
      <c r="Q970">
        <v>1</v>
      </c>
      <c r="R970">
        <v>800000</v>
      </c>
      <c r="S970">
        <v>8000</v>
      </c>
      <c r="T970">
        <v>792000</v>
      </c>
    </row>
    <row r="971" spans="1:20" x14ac:dyDescent="0.25">
      <c r="A971">
        <v>970</v>
      </c>
      <c r="B971" s="5">
        <v>45897</v>
      </c>
      <c r="C971">
        <v>57</v>
      </c>
      <c r="D971">
        <v>3</v>
      </c>
      <c r="E971">
        <v>101</v>
      </c>
      <c r="F971" s="4" t="s">
        <v>285</v>
      </c>
      <c r="G971" s="4" t="s">
        <v>286</v>
      </c>
      <c r="H971" s="4" t="s">
        <v>42</v>
      </c>
      <c r="I971" s="4" t="s">
        <v>629</v>
      </c>
      <c r="J971" s="4" t="s">
        <v>52</v>
      </c>
      <c r="K971" s="4" t="s">
        <v>28</v>
      </c>
      <c r="L971" s="4" t="s">
        <v>38</v>
      </c>
      <c r="M971" s="4" t="s">
        <v>49</v>
      </c>
      <c r="N971" s="4" t="s">
        <v>31</v>
      </c>
      <c r="O971">
        <v>800000</v>
      </c>
      <c r="P971">
        <v>3</v>
      </c>
      <c r="Q971">
        <v>0</v>
      </c>
      <c r="R971">
        <v>2400000</v>
      </c>
      <c r="S971">
        <v>0</v>
      </c>
      <c r="T971">
        <v>2400000</v>
      </c>
    </row>
    <row r="972" spans="1:20" x14ac:dyDescent="0.25">
      <c r="A972">
        <v>971</v>
      </c>
      <c r="B972" s="5">
        <v>45898</v>
      </c>
      <c r="C972">
        <v>12</v>
      </c>
      <c r="D972">
        <v>0</v>
      </c>
      <c r="E972">
        <v>268</v>
      </c>
      <c r="F972" s="4" t="s">
        <v>137</v>
      </c>
      <c r="G972" s="4" t="s">
        <v>138</v>
      </c>
      <c r="H972" s="4" t="s">
        <v>19</v>
      </c>
      <c r="I972" s="4" t="s">
        <v>642</v>
      </c>
      <c r="J972" s="4" t="s">
        <v>116</v>
      </c>
      <c r="K972" s="4" t="s">
        <v>37</v>
      </c>
      <c r="L972" s="4" t="s">
        <v>38</v>
      </c>
      <c r="M972" s="4" t="s">
        <v>30</v>
      </c>
      <c r="N972" s="4" t="s">
        <v>31</v>
      </c>
      <c r="O972">
        <v>700000</v>
      </c>
      <c r="P972">
        <v>2</v>
      </c>
      <c r="Q972">
        <v>1</v>
      </c>
      <c r="R972">
        <v>1400000</v>
      </c>
      <c r="S972">
        <v>14000</v>
      </c>
      <c r="T972">
        <v>1386000</v>
      </c>
    </row>
    <row r="973" spans="1:20" x14ac:dyDescent="0.25">
      <c r="A973">
        <v>972</v>
      </c>
      <c r="B973" s="5">
        <v>45899</v>
      </c>
      <c r="C973">
        <v>13</v>
      </c>
      <c r="D973">
        <v>0</v>
      </c>
      <c r="E973">
        <v>50</v>
      </c>
      <c r="F973" s="4" t="s">
        <v>63</v>
      </c>
      <c r="G973" s="4" t="s">
        <v>64</v>
      </c>
      <c r="H973" s="4" t="s">
        <v>19</v>
      </c>
      <c r="I973" s="4" t="s">
        <v>612</v>
      </c>
      <c r="J973" s="4" t="s">
        <v>27</v>
      </c>
      <c r="K973" s="4" t="s">
        <v>28</v>
      </c>
      <c r="L973" s="4" t="s">
        <v>38</v>
      </c>
      <c r="M973" s="4" t="s">
        <v>102</v>
      </c>
      <c r="N973" s="4" t="s">
        <v>57</v>
      </c>
      <c r="O973">
        <v>12000</v>
      </c>
      <c r="P973">
        <v>3</v>
      </c>
      <c r="Q973">
        <v>1</v>
      </c>
      <c r="R973">
        <v>36000</v>
      </c>
      <c r="S973">
        <v>360</v>
      </c>
      <c r="T973">
        <v>35640</v>
      </c>
    </row>
    <row r="974" spans="1:20" x14ac:dyDescent="0.25">
      <c r="A974">
        <v>973</v>
      </c>
      <c r="B974" s="5">
        <v>45900</v>
      </c>
      <c r="C974">
        <v>15</v>
      </c>
      <c r="D974">
        <v>0</v>
      </c>
      <c r="E974">
        <v>152</v>
      </c>
      <c r="F974" s="4" t="s">
        <v>543</v>
      </c>
      <c r="G974" s="4" t="s">
        <v>544</v>
      </c>
      <c r="H974" s="4" t="s">
        <v>42</v>
      </c>
      <c r="I974" s="4" t="s">
        <v>627</v>
      </c>
      <c r="J974" s="4" t="s">
        <v>34</v>
      </c>
      <c r="K974" s="4" t="s">
        <v>272</v>
      </c>
      <c r="L974" s="4" t="s">
        <v>22</v>
      </c>
      <c r="M974" s="4" t="s">
        <v>30</v>
      </c>
      <c r="N974" s="4" t="s">
        <v>31</v>
      </c>
      <c r="O974">
        <v>700000</v>
      </c>
      <c r="P974">
        <v>1</v>
      </c>
      <c r="Q974">
        <v>1</v>
      </c>
      <c r="R974">
        <v>700000</v>
      </c>
      <c r="S974">
        <v>7000</v>
      </c>
      <c r="T974">
        <v>693000</v>
      </c>
    </row>
    <row r="975" spans="1:20" x14ac:dyDescent="0.25">
      <c r="A975">
        <v>974</v>
      </c>
      <c r="B975" s="5">
        <v>45901</v>
      </c>
      <c r="C975">
        <v>70</v>
      </c>
      <c r="D975">
        <v>6</v>
      </c>
      <c r="E975">
        <v>16</v>
      </c>
      <c r="F975" s="4" t="s">
        <v>391</v>
      </c>
      <c r="G975" s="4" t="s">
        <v>392</v>
      </c>
      <c r="H975" s="4" t="s">
        <v>42</v>
      </c>
      <c r="I975" s="4" t="s">
        <v>630</v>
      </c>
      <c r="J975" s="4" t="s">
        <v>27</v>
      </c>
      <c r="K975" s="4" t="s">
        <v>28</v>
      </c>
      <c r="L975" s="4" t="s">
        <v>38</v>
      </c>
      <c r="M975" s="4" t="s">
        <v>30</v>
      </c>
      <c r="N975" s="4" t="s">
        <v>31</v>
      </c>
      <c r="O975">
        <v>700000</v>
      </c>
      <c r="P975">
        <v>1</v>
      </c>
      <c r="Q975">
        <v>0</v>
      </c>
      <c r="R975">
        <v>700000</v>
      </c>
      <c r="S975">
        <v>0</v>
      </c>
      <c r="T975">
        <v>700000</v>
      </c>
    </row>
    <row r="976" spans="1:20" x14ac:dyDescent="0.25">
      <c r="A976">
        <v>975</v>
      </c>
      <c r="B976" s="5">
        <v>45902</v>
      </c>
      <c r="C976">
        <v>42</v>
      </c>
      <c r="D976">
        <v>4</v>
      </c>
      <c r="E976">
        <v>125</v>
      </c>
      <c r="F976" s="4" t="s">
        <v>206</v>
      </c>
      <c r="G976" s="4" t="s">
        <v>207</v>
      </c>
      <c r="H976" s="4" t="s">
        <v>42</v>
      </c>
      <c r="I976" s="4" t="s">
        <v>617</v>
      </c>
      <c r="J976" s="4" t="s">
        <v>27</v>
      </c>
      <c r="K976" s="4" t="s">
        <v>28</v>
      </c>
      <c r="L976" s="4" t="s">
        <v>29</v>
      </c>
      <c r="M976" s="4" t="s">
        <v>98</v>
      </c>
      <c r="N976" s="4" t="s">
        <v>151</v>
      </c>
      <c r="O976">
        <v>55000</v>
      </c>
      <c r="P976">
        <v>2</v>
      </c>
      <c r="Q976">
        <v>1</v>
      </c>
      <c r="R976">
        <v>110000</v>
      </c>
      <c r="S976">
        <v>1100</v>
      </c>
      <c r="T976">
        <v>108900</v>
      </c>
    </row>
    <row r="977" spans="1:20" x14ac:dyDescent="0.25">
      <c r="A977">
        <v>976</v>
      </c>
      <c r="B977" s="5">
        <v>45903</v>
      </c>
      <c r="C977">
        <v>4</v>
      </c>
      <c r="D977">
        <v>3</v>
      </c>
      <c r="E977">
        <v>67</v>
      </c>
      <c r="F977" s="4" t="s">
        <v>70</v>
      </c>
      <c r="G977" s="4" t="s">
        <v>71</v>
      </c>
      <c r="H977" s="4" t="s">
        <v>19</v>
      </c>
      <c r="I977" s="4" t="s">
        <v>641</v>
      </c>
      <c r="J977" s="4" t="s">
        <v>52</v>
      </c>
      <c r="K977" s="4" t="s">
        <v>28</v>
      </c>
      <c r="L977" s="4" t="s">
        <v>29</v>
      </c>
      <c r="M977" s="4" t="s">
        <v>23</v>
      </c>
      <c r="N977" s="4" t="s">
        <v>24</v>
      </c>
      <c r="O977">
        <v>15000</v>
      </c>
      <c r="P977">
        <v>3</v>
      </c>
      <c r="Q977">
        <v>5</v>
      </c>
      <c r="R977">
        <v>45000</v>
      </c>
      <c r="S977">
        <v>2250</v>
      </c>
      <c r="T977">
        <v>42750</v>
      </c>
    </row>
    <row r="978" spans="1:20" x14ac:dyDescent="0.25">
      <c r="A978">
        <v>977</v>
      </c>
      <c r="B978" s="5">
        <v>45904</v>
      </c>
      <c r="C978">
        <v>41</v>
      </c>
      <c r="D978">
        <v>4</v>
      </c>
      <c r="E978">
        <v>186</v>
      </c>
      <c r="F978" s="4" t="s">
        <v>152</v>
      </c>
      <c r="G978" s="4" t="s">
        <v>153</v>
      </c>
      <c r="H978" s="4" t="s">
        <v>42</v>
      </c>
      <c r="I978" s="4" t="s">
        <v>636</v>
      </c>
      <c r="J978" s="4" t="s">
        <v>43</v>
      </c>
      <c r="K978" s="4" t="s">
        <v>43</v>
      </c>
      <c r="L978" s="4" t="s">
        <v>29</v>
      </c>
      <c r="M978" s="4" t="s">
        <v>62</v>
      </c>
      <c r="N978" s="4" t="s">
        <v>31</v>
      </c>
      <c r="O978">
        <v>650000</v>
      </c>
      <c r="P978">
        <v>3</v>
      </c>
      <c r="Q978">
        <v>5</v>
      </c>
      <c r="R978">
        <v>1950000</v>
      </c>
      <c r="S978">
        <v>97500</v>
      </c>
      <c r="T978">
        <v>1852500</v>
      </c>
    </row>
    <row r="979" spans="1:20" x14ac:dyDescent="0.25">
      <c r="A979">
        <v>978</v>
      </c>
      <c r="B979" s="5">
        <v>45905</v>
      </c>
      <c r="C979">
        <v>66</v>
      </c>
      <c r="D979">
        <v>2</v>
      </c>
      <c r="E979">
        <v>94</v>
      </c>
      <c r="F979" s="4" t="s">
        <v>477</v>
      </c>
      <c r="G979" s="4" t="s">
        <v>478</v>
      </c>
      <c r="H979" s="4" t="s">
        <v>19</v>
      </c>
      <c r="I979" s="4" t="s">
        <v>611</v>
      </c>
      <c r="J979" s="4" t="s">
        <v>27</v>
      </c>
      <c r="K979" s="4" t="s">
        <v>28</v>
      </c>
      <c r="L979" s="4" t="s">
        <v>38</v>
      </c>
      <c r="M979" s="4" t="s">
        <v>62</v>
      </c>
      <c r="N979" s="4" t="s">
        <v>31</v>
      </c>
      <c r="O979">
        <v>650000</v>
      </c>
      <c r="P979">
        <v>1</v>
      </c>
      <c r="Q979">
        <v>1</v>
      </c>
      <c r="R979">
        <v>650000</v>
      </c>
      <c r="S979">
        <v>6500</v>
      </c>
      <c r="T979">
        <v>643500</v>
      </c>
    </row>
    <row r="980" spans="1:20" x14ac:dyDescent="0.25">
      <c r="A980">
        <v>979</v>
      </c>
      <c r="B980" s="5">
        <v>45906</v>
      </c>
      <c r="C980">
        <v>15</v>
      </c>
      <c r="D980">
        <v>0</v>
      </c>
      <c r="E980">
        <v>169</v>
      </c>
      <c r="F980" s="4" t="s">
        <v>230</v>
      </c>
      <c r="G980" s="4" t="s">
        <v>231</v>
      </c>
      <c r="H980" s="4" t="s">
        <v>42</v>
      </c>
      <c r="I980" s="4" t="s">
        <v>613</v>
      </c>
      <c r="J980" s="4" t="s">
        <v>34</v>
      </c>
      <c r="K980" s="4" t="s">
        <v>272</v>
      </c>
      <c r="L980" s="4" t="s">
        <v>22</v>
      </c>
      <c r="M980" s="4" t="s">
        <v>39</v>
      </c>
      <c r="N980" s="4" t="s">
        <v>24</v>
      </c>
      <c r="O980">
        <v>35000</v>
      </c>
      <c r="P980">
        <v>2</v>
      </c>
      <c r="Q980">
        <v>0</v>
      </c>
      <c r="R980">
        <v>70000</v>
      </c>
      <c r="S980">
        <v>0</v>
      </c>
      <c r="T980">
        <v>70000</v>
      </c>
    </row>
    <row r="981" spans="1:20" x14ac:dyDescent="0.25">
      <c r="A981">
        <v>980</v>
      </c>
      <c r="B981" s="5">
        <v>45907</v>
      </c>
      <c r="C981">
        <v>28</v>
      </c>
      <c r="D981">
        <v>5</v>
      </c>
      <c r="E981">
        <v>28</v>
      </c>
      <c r="F981" s="4" t="s">
        <v>601</v>
      </c>
      <c r="G981" s="4" t="s">
        <v>602</v>
      </c>
      <c r="H981" s="4" t="s">
        <v>19</v>
      </c>
      <c r="I981" s="4" t="s">
        <v>627</v>
      </c>
      <c r="J981" s="4" t="s">
        <v>116</v>
      </c>
      <c r="K981" s="4" t="s">
        <v>37</v>
      </c>
      <c r="L981" s="4" t="s">
        <v>22</v>
      </c>
      <c r="M981" s="4" t="s">
        <v>69</v>
      </c>
      <c r="N981" s="4" t="s">
        <v>53</v>
      </c>
      <c r="O981">
        <v>450000</v>
      </c>
      <c r="P981">
        <v>3</v>
      </c>
      <c r="Q981">
        <v>5</v>
      </c>
      <c r="R981">
        <v>1350000</v>
      </c>
      <c r="S981">
        <v>67500</v>
      </c>
      <c r="T981">
        <v>1282500</v>
      </c>
    </row>
    <row r="982" spans="1:20" x14ac:dyDescent="0.25">
      <c r="A982">
        <v>981</v>
      </c>
      <c r="B982" s="5">
        <v>45908</v>
      </c>
      <c r="C982">
        <v>20</v>
      </c>
      <c r="D982">
        <v>0</v>
      </c>
      <c r="E982">
        <v>251</v>
      </c>
      <c r="F982" s="4" t="s">
        <v>431</v>
      </c>
      <c r="G982" s="4" t="s">
        <v>432</v>
      </c>
      <c r="H982" s="4" t="s">
        <v>19</v>
      </c>
      <c r="I982" s="4" t="s">
        <v>624</v>
      </c>
      <c r="J982" s="4" t="s">
        <v>20</v>
      </c>
      <c r="K982" s="4" t="s">
        <v>21</v>
      </c>
      <c r="L982" s="4" t="s">
        <v>38</v>
      </c>
      <c r="M982" s="4" t="s">
        <v>56</v>
      </c>
      <c r="N982" s="4" t="s">
        <v>57</v>
      </c>
      <c r="O982">
        <v>25000</v>
      </c>
      <c r="P982">
        <v>1</v>
      </c>
      <c r="Q982">
        <v>1</v>
      </c>
      <c r="R982">
        <v>25000</v>
      </c>
      <c r="S982">
        <v>250</v>
      </c>
      <c r="T982">
        <v>24750</v>
      </c>
    </row>
    <row r="983" spans="1:20" x14ac:dyDescent="0.25">
      <c r="A983">
        <v>982</v>
      </c>
      <c r="B983" s="5">
        <v>45909</v>
      </c>
      <c r="C983">
        <v>12</v>
      </c>
      <c r="D983">
        <v>0</v>
      </c>
      <c r="E983">
        <v>193</v>
      </c>
      <c r="F983" s="4" t="s">
        <v>168</v>
      </c>
      <c r="G983" s="4" t="s">
        <v>169</v>
      </c>
      <c r="H983" s="4" t="s">
        <v>19</v>
      </c>
      <c r="I983" s="4" t="s">
        <v>625</v>
      </c>
      <c r="J983" s="4" t="s">
        <v>116</v>
      </c>
      <c r="K983" s="4" t="s">
        <v>37</v>
      </c>
      <c r="L983" s="4" t="s">
        <v>38</v>
      </c>
      <c r="M983" s="4" t="s">
        <v>39</v>
      </c>
      <c r="N983" s="4" t="s">
        <v>24</v>
      </c>
      <c r="O983">
        <v>35000</v>
      </c>
      <c r="P983">
        <v>2</v>
      </c>
      <c r="Q983">
        <v>1</v>
      </c>
      <c r="R983">
        <v>70000</v>
      </c>
      <c r="S983">
        <v>700</v>
      </c>
      <c r="T983">
        <v>69300</v>
      </c>
    </row>
    <row r="984" spans="1:20" x14ac:dyDescent="0.25">
      <c r="A984">
        <v>983</v>
      </c>
      <c r="B984" s="5">
        <v>45910</v>
      </c>
      <c r="C984">
        <v>9</v>
      </c>
      <c r="D984">
        <v>9</v>
      </c>
      <c r="E984">
        <v>104</v>
      </c>
      <c r="F984" s="4" t="s">
        <v>208</v>
      </c>
      <c r="G984" s="4" t="s">
        <v>209</v>
      </c>
      <c r="H984" s="4" t="s">
        <v>42</v>
      </c>
      <c r="I984" s="4" t="s">
        <v>631</v>
      </c>
      <c r="J984" s="4" t="s">
        <v>37</v>
      </c>
      <c r="K984" s="4" t="s">
        <v>37</v>
      </c>
      <c r="L984" s="4" t="s">
        <v>22</v>
      </c>
      <c r="M984" s="4" t="s">
        <v>62</v>
      </c>
      <c r="N984" s="4" t="s">
        <v>31</v>
      </c>
      <c r="O984">
        <v>650000</v>
      </c>
      <c r="P984">
        <v>3</v>
      </c>
      <c r="Q984">
        <v>5</v>
      </c>
      <c r="R984">
        <v>1950000</v>
      </c>
      <c r="S984">
        <v>97500</v>
      </c>
      <c r="T984">
        <v>1852500</v>
      </c>
    </row>
    <row r="985" spans="1:20" x14ac:dyDescent="0.25">
      <c r="A985">
        <v>984</v>
      </c>
      <c r="B985" s="5">
        <v>45911</v>
      </c>
      <c r="C985">
        <v>7</v>
      </c>
      <c r="D985">
        <v>8</v>
      </c>
      <c r="E985">
        <v>229</v>
      </c>
      <c r="F985" s="4" t="s">
        <v>293</v>
      </c>
      <c r="G985" s="4" t="s">
        <v>294</v>
      </c>
      <c r="H985" s="4" t="s">
        <v>19</v>
      </c>
      <c r="I985" s="4" t="s">
        <v>614</v>
      </c>
      <c r="J985" s="4" t="s">
        <v>37</v>
      </c>
      <c r="K985" s="4" t="s">
        <v>37</v>
      </c>
      <c r="L985" s="4" t="s">
        <v>38</v>
      </c>
      <c r="M985" s="4" t="s">
        <v>69</v>
      </c>
      <c r="N985" s="4" t="s">
        <v>53</v>
      </c>
      <c r="O985">
        <v>450000</v>
      </c>
      <c r="P985">
        <v>2</v>
      </c>
      <c r="Q985">
        <v>5</v>
      </c>
      <c r="R985">
        <v>900000</v>
      </c>
      <c r="S985">
        <v>45000</v>
      </c>
      <c r="T985">
        <v>855000</v>
      </c>
    </row>
    <row r="986" spans="1:20" x14ac:dyDescent="0.25">
      <c r="A986">
        <v>985</v>
      </c>
      <c r="B986" s="5">
        <v>45912</v>
      </c>
      <c r="C986">
        <v>51</v>
      </c>
      <c r="D986">
        <v>7</v>
      </c>
      <c r="E986">
        <v>232</v>
      </c>
      <c r="F986" s="4" t="s">
        <v>90</v>
      </c>
      <c r="G986" s="4" t="s">
        <v>91</v>
      </c>
      <c r="H986" s="4" t="s">
        <v>19</v>
      </c>
      <c r="I986" s="4" t="s">
        <v>625</v>
      </c>
      <c r="J986" s="4" t="s">
        <v>101</v>
      </c>
      <c r="K986" s="4" t="s">
        <v>109</v>
      </c>
      <c r="L986" s="4" t="s">
        <v>22</v>
      </c>
      <c r="M986" s="4" t="s">
        <v>49</v>
      </c>
      <c r="N986" s="4" t="s">
        <v>31</v>
      </c>
      <c r="O986">
        <v>800000</v>
      </c>
      <c r="P986">
        <v>2</v>
      </c>
      <c r="Q986">
        <v>0</v>
      </c>
      <c r="R986">
        <v>1600000</v>
      </c>
      <c r="S986">
        <v>0</v>
      </c>
      <c r="T986">
        <v>1600000</v>
      </c>
    </row>
    <row r="987" spans="1:20" x14ac:dyDescent="0.25">
      <c r="A987">
        <v>986</v>
      </c>
      <c r="B987" s="5">
        <v>45913</v>
      </c>
      <c r="C987">
        <v>57</v>
      </c>
      <c r="D987">
        <v>3</v>
      </c>
      <c r="E987">
        <v>205</v>
      </c>
      <c r="F987" s="4" t="s">
        <v>210</v>
      </c>
      <c r="G987" s="4" t="s">
        <v>211</v>
      </c>
      <c r="H987" s="4" t="s">
        <v>19</v>
      </c>
      <c r="I987" s="4" t="s">
        <v>629</v>
      </c>
      <c r="J987" s="4" t="s">
        <v>52</v>
      </c>
      <c r="K987" s="4" t="s">
        <v>28</v>
      </c>
      <c r="L987" s="4" t="s">
        <v>38</v>
      </c>
      <c r="M987" s="4" t="s">
        <v>46</v>
      </c>
      <c r="N987" s="4" t="s">
        <v>53</v>
      </c>
      <c r="O987">
        <v>750000</v>
      </c>
      <c r="P987">
        <v>1</v>
      </c>
      <c r="Q987">
        <v>0</v>
      </c>
      <c r="R987">
        <v>750000</v>
      </c>
      <c r="S987">
        <v>0</v>
      </c>
      <c r="T987">
        <v>750000</v>
      </c>
    </row>
    <row r="988" spans="1:20" x14ac:dyDescent="0.25">
      <c r="A988">
        <v>987</v>
      </c>
      <c r="B988" s="5">
        <v>45914</v>
      </c>
      <c r="C988">
        <v>69</v>
      </c>
      <c r="D988">
        <v>1</v>
      </c>
      <c r="E988">
        <v>48</v>
      </c>
      <c r="F988" s="4" t="s">
        <v>603</v>
      </c>
      <c r="G988" s="4" t="s">
        <v>604</v>
      </c>
      <c r="H988" s="4" t="s">
        <v>42</v>
      </c>
      <c r="I988" s="4" t="s">
        <v>619</v>
      </c>
      <c r="J988" s="4" t="s">
        <v>76</v>
      </c>
      <c r="K988" s="4" t="s">
        <v>77</v>
      </c>
      <c r="L988" s="4" t="s">
        <v>38</v>
      </c>
      <c r="M988" s="4" t="s">
        <v>49</v>
      </c>
      <c r="N988" s="4" t="s">
        <v>31</v>
      </c>
      <c r="O988">
        <v>800000</v>
      </c>
      <c r="P988">
        <v>2</v>
      </c>
      <c r="Q988">
        <v>1</v>
      </c>
      <c r="R988">
        <v>1600000</v>
      </c>
      <c r="S988">
        <v>16000</v>
      </c>
      <c r="T988">
        <v>1584000</v>
      </c>
    </row>
    <row r="989" spans="1:20" x14ac:dyDescent="0.25">
      <c r="A989">
        <v>988</v>
      </c>
      <c r="B989" s="5">
        <v>45915</v>
      </c>
      <c r="C989">
        <v>44</v>
      </c>
      <c r="D989">
        <v>7</v>
      </c>
      <c r="E989">
        <v>116</v>
      </c>
      <c r="F989" s="4" t="s">
        <v>256</v>
      </c>
      <c r="G989" s="4" t="s">
        <v>257</v>
      </c>
      <c r="H989" s="4" t="s">
        <v>42</v>
      </c>
      <c r="I989" s="4" t="s">
        <v>623</v>
      </c>
      <c r="J989" s="4" t="s">
        <v>43</v>
      </c>
      <c r="K989" s="4" t="s">
        <v>43</v>
      </c>
      <c r="L989" s="4" t="s">
        <v>22</v>
      </c>
      <c r="M989" s="4" t="s">
        <v>46</v>
      </c>
      <c r="N989" s="4" t="s">
        <v>53</v>
      </c>
      <c r="O989">
        <v>750000</v>
      </c>
      <c r="P989">
        <v>2</v>
      </c>
      <c r="Q989">
        <v>0</v>
      </c>
      <c r="R989">
        <v>1500000</v>
      </c>
      <c r="S989">
        <v>0</v>
      </c>
      <c r="T989">
        <v>1500000</v>
      </c>
    </row>
    <row r="990" spans="1:20" x14ac:dyDescent="0.25">
      <c r="A990">
        <v>989</v>
      </c>
      <c r="B990" s="5">
        <v>45916</v>
      </c>
      <c r="C990">
        <v>53</v>
      </c>
      <c r="D990">
        <v>1</v>
      </c>
      <c r="E990">
        <v>162</v>
      </c>
      <c r="F990" s="4" t="s">
        <v>110</v>
      </c>
      <c r="G990" s="4" t="s">
        <v>111</v>
      </c>
      <c r="H990" s="4" t="s">
        <v>42</v>
      </c>
      <c r="I990" s="4" t="s">
        <v>621</v>
      </c>
      <c r="J990" s="4" t="s">
        <v>76</v>
      </c>
      <c r="K990" s="4" t="s">
        <v>77</v>
      </c>
      <c r="L990" s="4" t="s">
        <v>38</v>
      </c>
      <c r="M990" s="4" t="s">
        <v>62</v>
      </c>
      <c r="N990" s="4" t="s">
        <v>31</v>
      </c>
      <c r="O990">
        <v>650000</v>
      </c>
      <c r="P990">
        <v>3</v>
      </c>
      <c r="Q990">
        <v>5</v>
      </c>
      <c r="R990">
        <v>1950000</v>
      </c>
      <c r="S990">
        <v>97500</v>
      </c>
      <c r="T990">
        <v>1852500</v>
      </c>
    </row>
    <row r="991" spans="1:20" x14ac:dyDescent="0.25">
      <c r="A991">
        <v>990</v>
      </c>
      <c r="B991" s="5">
        <v>45917</v>
      </c>
      <c r="C991">
        <v>37</v>
      </c>
      <c r="D991">
        <v>1</v>
      </c>
      <c r="E991">
        <v>18</v>
      </c>
      <c r="F991" s="4" t="s">
        <v>260</v>
      </c>
      <c r="G991" s="4" t="s">
        <v>261</v>
      </c>
      <c r="H991" s="4" t="s">
        <v>42</v>
      </c>
      <c r="I991" s="4" t="s">
        <v>623</v>
      </c>
      <c r="J991" s="4" t="s">
        <v>116</v>
      </c>
      <c r="K991" s="4" t="s">
        <v>37</v>
      </c>
      <c r="L991" s="4" t="s">
        <v>22</v>
      </c>
      <c r="M991" s="4" t="s">
        <v>49</v>
      </c>
      <c r="N991" s="4" t="s">
        <v>31</v>
      </c>
      <c r="O991">
        <v>800000</v>
      </c>
      <c r="P991">
        <v>1</v>
      </c>
      <c r="Q991">
        <v>1</v>
      </c>
      <c r="R991">
        <v>800000</v>
      </c>
      <c r="S991">
        <v>8000</v>
      </c>
      <c r="T991">
        <v>792000</v>
      </c>
    </row>
    <row r="992" spans="1:20" x14ac:dyDescent="0.25">
      <c r="A992">
        <v>991</v>
      </c>
      <c r="B992" s="5">
        <v>45918</v>
      </c>
      <c r="C992">
        <v>19</v>
      </c>
      <c r="D992">
        <v>5</v>
      </c>
      <c r="E992">
        <v>112</v>
      </c>
      <c r="F992" s="4" t="s">
        <v>497</v>
      </c>
      <c r="G992" s="4" t="s">
        <v>498</v>
      </c>
      <c r="H992" s="4" t="s">
        <v>19</v>
      </c>
      <c r="I992" s="4" t="s">
        <v>641</v>
      </c>
      <c r="J992" s="4" t="s">
        <v>20</v>
      </c>
      <c r="K992" s="4" t="s">
        <v>21</v>
      </c>
      <c r="L992" s="4" t="s">
        <v>22</v>
      </c>
      <c r="M992" s="4" t="s">
        <v>49</v>
      </c>
      <c r="N992" s="4" t="s">
        <v>31</v>
      </c>
      <c r="O992">
        <v>800000</v>
      </c>
      <c r="P992">
        <v>1</v>
      </c>
      <c r="Q992">
        <v>0</v>
      </c>
      <c r="R992">
        <v>800000</v>
      </c>
      <c r="S992">
        <v>0</v>
      </c>
      <c r="T992">
        <v>800000</v>
      </c>
    </row>
    <row r="993" spans="1:20" x14ac:dyDescent="0.25">
      <c r="A993">
        <v>992</v>
      </c>
      <c r="B993" s="5">
        <v>45919</v>
      </c>
      <c r="C993">
        <v>28</v>
      </c>
      <c r="D993">
        <v>5</v>
      </c>
      <c r="E993">
        <v>28</v>
      </c>
      <c r="F993" s="4" t="s">
        <v>601</v>
      </c>
      <c r="G993" s="4" t="s">
        <v>602</v>
      </c>
      <c r="H993" s="4" t="s">
        <v>19</v>
      </c>
      <c r="I993" s="4" t="s">
        <v>627</v>
      </c>
      <c r="J993" s="4" t="s">
        <v>116</v>
      </c>
      <c r="K993" s="4" t="s">
        <v>37</v>
      </c>
      <c r="L993" s="4" t="s">
        <v>22</v>
      </c>
      <c r="M993" s="4" t="s">
        <v>69</v>
      </c>
      <c r="N993" s="4" t="s">
        <v>53</v>
      </c>
      <c r="O993">
        <v>450000</v>
      </c>
      <c r="P993">
        <v>2</v>
      </c>
      <c r="Q993">
        <v>1</v>
      </c>
      <c r="R993">
        <v>900000</v>
      </c>
      <c r="S993">
        <v>9000</v>
      </c>
      <c r="T993">
        <v>891000</v>
      </c>
    </row>
    <row r="994" spans="1:20" x14ac:dyDescent="0.25">
      <c r="A994">
        <v>993</v>
      </c>
      <c r="B994" s="5">
        <v>45920</v>
      </c>
      <c r="C994">
        <v>30</v>
      </c>
      <c r="D994">
        <v>0</v>
      </c>
      <c r="E994">
        <v>154</v>
      </c>
      <c r="F994" s="4" t="s">
        <v>595</v>
      </c>
      <c r="G994" s="4" t="s">
        <v>596</v>
      </c>
      <c r="H994" s="4" t="s">
        <v>19</v>
      </c>
      <c r="I994" s="4" t="s">
        <v>625</v>
      </c>
      <c r="J994" s="4" t="s">
        <v>37</v>
      </c>
      <c r="K994" s="4" t="s">
        <v>37</v>
      </c>
      <c r="L994" s="4" t="s">
        <v>29</v>
      </c>
      <c r="M994" s="4" t="s">
        <v>56</v>
      </c>
      <c r="N994" s="4" t="s">
        <v>57</v>
      </c>
      <c r="O994">
        <v>25000</v>
      </c>
      <c r="P994">
        <v>1</v>
      </c>
      <c r="Q994">
        <v>0</v>
      </c>
      <c r="R994">
        <v>25000</v>
      </c>
      <c r="S994">
        <v>0</v>
      </c>
      <c r="T994">
        <v>25000</v>
      </c>
    </row>
    <row r="995" spans="1:20" x14ac:dyDescent="0.25">
      <c r="A995">
        <v>994</v>
      </c>
      <c r="B995" s="5">
        <v>45921</v>
      </c>
      <c r="C995">
        <v>14</v>
      </c>
      <c r="D995">
        <v>0</v>
      </c>
      <c r="E995">
        <v>177</v>
      </c>
      <c r="F995" s="4" t="s">
        <v>335</v>
      </c>
      <c r="G995" s="4" t="s">
        <v>336</v>
      </c>
      <c r="H995" s="4" t="s">
        <v>42</v>
      </c>
      <c r="I995" s="4" t="s">
        <v>610</v>
      </c>
      <c r="J995" s="4" t="s">
        <v>34</v>
      </c>
      <c r="K995" s="4" t="s">
        <v>272</v>
      </c>
      <c r="L995" s="4" t="s">
        <v>22</v>
      </c>
      <c r="M995" s="4" t="s">
        <v>30</v>
      </c>
      <c r="N995" s="4" t="s">
        <v>31</v>
      </c>
      <c r="O995">
        <v>700000</v>
      </c>
      <c r="P995">
        <v>3</v>
      </c>
      <c r="Q995">
        <v>0</v>
      </c>
      <c r="R995">
        <v>2100000</v>
      </c>
      <c r="S995">
        <v>0</v>
      </c>
      <c r="T995">
        <v>2100000</v>
      </c>
    </row>
    <row r="996" spans="1:20" x14ac:dyDescent="0.25">
      <c r="A996">
        <v>995</v>
      </c>
      <c r="B996" s="5">
        <v>45922</v>
      </c>
      <c r="C996">
        <v>31</v>
      </c>
      <c r="D996">
        <v>4</v>
      </c>
      <c r="E996">
        <v>69</v>
      </c>
      <c r="F996" s="4" t="s">
        <v>188</v>
      </c>
      <c r="G996" s="4" t="s">
        <v>189</v>
      </c>
      <c r="H996" s="4" t="s">
        <v>42</v>
      </c>
      <c r="I996" s="4" t="s">
        <v>627</v>
      </c>
      <c r="J996" s="4" t="s">
        <v>101</v>
      </c>
      <c r="K996" s="4" t="s">
        <v>109</v>
      </c>
      <c r="L996" s="4" t="s">
        <v>38</v>
      </c>
      <c r="M996" s="4" t="s">
        <v>39</v>
      </c>
      <c r="N996" s="4" t="s">
        <v>24</v>
      </c>
      <c r="O996">
        <v>35000</v>
      </c>
      <c r="P996">
        <v>2</v>
      </c>
      <c r="Q996">
        <v>5</v>
      </c>
      <c r="R996">
        <v>70000</v>
      </c>
      <c r="S996">
        <v>3500</v>
      </c>
      <c r="T996">
        <v>66500</v>
      </c>
    </row>
    <row r="997" spans="1:20" x14ac:dyDescent="0.25">
      <c r="A997">
        <v>996</v>
      </c>
      <c r="B997" s="5">
        <v>45923</v>
      </c>
      <c r="C997">
        <v>8</v>
      </c>
      <c r="D997">
        <v>1</v>
      </c>
      <c r="E997">
        <v>253</v>
      </c>
      <c r="F997" s="4" t="s">
        <v>351</v>
      </c>
      <c r="G997" s="4" t="s">
        <v>352</v>
      </c>
      <c r="H997" s="4" t="s">
        <v>19</v>
      </c>
      <c r="I997" s="4"/>
      <c r="J997" s="4" t="s">
        <v>76</v>
      </c>
      <c r="K997" s="4" t="s">
        <v>77</v>
      </c>
      <c r="L997" s="4" t="s">
        <v>22</v>
      </c>
      <c r="M997" s="4" t="s">
        <v>39</v>
      </c>
      <c r="N997" s="4" t="s">
        <v>24</v>
      </c>
      <c r="O997">
        <v>35000</v>
      </c>
      <c r="P997">
        <v>2</v>
      </c>
      <c r="Q997">
        <v>0</v>
      </c>
      <c r="R997">
        <v>70000</v>
      </c>
      <c r="S997">
        <v>0</v>
      </c>
      <c r="T997">
        <v>70000</v>
      </c>
    </row>
    <row r="998" spans="1:20" x14ac:dyDescent="0.25">
      <c r="A998">
        <v>997</v>
      </c>
      <c r="B998" s="5">
        <v>45924</v>
      </c>
      <c r="C998">
        <v>25</v>
      </c>
      <c r="D998">
        <v>3</v>
      </c>
      <c r="E998">
        <v>118</v>
      </c>
      <c r="F998" s="4" t="s">
        <v>133</v>
      </c>
      <c r="G998" s="4" t="s">
        <v>134</v>
      </c>
      <c r="H998" s="4" t="s">
        <v>42</v>
      </c>
      <c r="I998" s="4" t="s">
        <v>618</v>
      </c>
      <c r="J998" s="4" t="s">
        <v>76</v>
      </c>
      <c r="K998" s="4" t="s">
        <v>77</v>
      </c>
      <c r="L998" s="4" t="s">
        <v>29</v>
      </c>
      <c r="M998" s="4" t="s">
        <v>62</v>
      </c>
      <c r="N998" s="4" t="s">
        <v>31</v>
      </c>
      <c r="O998">
        <v>650000</v>
      </c>
      <c r="P998">
        <v>2</v>
      </c>
      <c r="Q998">
        <v>1</v>
      </c>
      <c r="R998">
        <v>1300000</v>
      </c>
      <c r="S998">
        <v>13000</v>
      </c>
      <c r="T998">
        <v>1287000</v>
      </c>
    </row>
    <row r="999" spans="1:20" x14ac:dyDescent="0.25">
      <c r="A999">
        <v>998</v>
      </c>
      <c r="B999" s="5">
        <v>45925</v>
      </c>
      <c r="C999">
        <v>50</v>
      </c>
      <c r="D999">
        <v>0</v>
      </c>
      <c r="E999">
        <v>36</v>
      </c>
      <c r="F999" s="4" t="s">
        <v>353</v>
      </c>
      <c r="G999" s="4" t="s">
        <v>354</v>
      </c>
      <c r="H999" s="4" t="s">
        <v>42</v>
      </c>
      <c r="I999" s="4" t="s">
        <v>618</v>
      </c>
      <c r="J999" s="4" t="s">
        <v>20</v>
      </c>
      <c r="K999" s="4" t="s">
        <v>21</v>
      </c>
      <c r="L999" s="4" t="s">
        <v>22</v>
      </c>
      <c r="M999" s="4" t="s">
        <v>98</v>
      </c>
      <c r="N999" s="4" t="s">
        <v>151</v>
      </c>
      <c r="O999">
        <v>55000</v>
      </c>
      <c r="P999">
        <v>1</v>
      </c>
      <c r="Q999">
        <v>0</v>
      </c>
      <c r="R999">
        <v>55000</v>
      </c>
      <c r="S999">
        <v>0</v>
      </c>
      <c r="T999">
        <v>55000</v>
      </c>
    </row>
    <row r="1000" spans="1:20" x14ac:dyDescent="0.25">
      <c r="A1000">
        <v>999</v>
      </c>
      <c r="B1000" s="5">
        <v>45926</v>
      </c>
      <c r="C1000">
        <v>33</v>
      </c>
      <c r="D1000">
        <v>13</v>
      </c>
      <c r="E1000">
        <v>79</v>
      </c>
      <c r="F1000" s="4" t="s">
        <v>523</v>
      </c>
      <c r="G1000" s="4" t="s">
        <v>524</v>
      </c>
      <c r="H1000" s="4" t="s">
        <v>42</v>
      </c>
      <c r="I1000" s="4" t="s">
        <v>622</v>
      </c>
      <c r="J1000" s="4" t="s">
        <v>101</v>
      </c>
      <c r="K1000" s="4" t="s">
        <v>109</v>
      </c>
      <c r="L1000" s="4" t="s">
        <v>38</v>
      </c>
      <c r="M1000" s="4" t="s">
        <v>69</v>
      </c>
      <c r="N1000" s="4" t="s">
        <v>53</v>
      </c>
      <c r="O1000">
        <v>450000</v>
      </c>
      <c r="P1000">
        <v>2</v>
      </c>
      <c r="Q1000">
        <v>5</v>
      </c>
      <c r="R1000">
        <v>900000</v>
      </c>
      <c r="S1000">
        <v>45000</v>
      </c>
      <c r="T1000">
        <v>855000</v>
      </c>
    </row>
    <row r="1001" spans="1:20" x14ac:dyDescent="0.25">
      <c r="A1001">
        <v>1000</v>
      </c>
      <c r="B1001" s="5">
        <v>45927</v>
      </c>
      <c r="C1001">
        <v>51</v>
      </c>
      <c r="D1001">
        <v>7</v>
      </c>
      <c r="E1001">
        <v>58</v>
      </c>
      <c r="F1001" s="4" t="s">
        <v>204</v>
      </c>
      <c r="G1001" s="4" t="s">
        <v>205</v>
      </c>
      <c r="H1001" s="4" t="s">
        <v>19</v>
      </c>
      <c r="I1001" s="4" t="s">
        <v>611</v>
      </c>
      <c r="J1001" s="4" t="s">
        <v>101</v>
      </c>
      <c r="K1001" s="4" t="s">
        <v>109</v>
      </c>
      <c r="L1001" s="4" t="s">
        <v>38</v>
      </c>
      <c r="M1001" s="4" t="s">
        <v>62</v>
      </c>
      <c r="N1001" s="4" t="s">
        <v>31</v>
      </c>
      <c r="O1001">
        <v>650000</v>
      </c>
      <c r="P1001">
        <v>1</v>
      </c>
      <c r="Q1001">
        <v>0</v>
      </c>
      <c r="R1001">
        <v>650000</v>
      </c>
      <c r="S1001">
        <v>0</v>
      </c>
      <c r="T1001">
        <v>650000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FC37-E8F3-4B9A-923A-0D7E6EDF3DE7}">
  <dimension ref="A3:E288"/>
  <sheetViews>
    <sheetView workbookViewId="0">
      <selection activeCell="E23" sqref="E23"/>
    </sheetView>
  </sheetViews>
  <sheetFormatPr baseColWidth="10" defaultRowHeight="15" x14ac:dyDescent="0.25"/>
  <cols>
    <col min="2" max="2" width="12.5703125" bestFit="1" customWidth="1"/>
    <col min="3" max="3" width="11.5703125" bestFit="1" customWidth="1"/>
    <col min="4" max="4" width="13.42578125" style="3" bestFit="1" customWidth="1"/>
    <col min="5" max="5" width="17.140625" bestFit="1" customWidth="1"/>
    <col min="6" max="6" width="14.42578125" bestFit="1" customWidth="1"/>
    <col min="7" max="7" width="30" bestFit="1" customWidth="1"/>
    <col min="8" max="8" width="21.85546875" bestFit="1" customWidth="1"/>
    <col min="9" max="9" width="25.5703125" bestFit="1" customWidth="1"/>
    <col min="10" max="10" width="25" bestFit="1" customWidth="1"/>
    <col min="11" max="11" width="26.5703125" bestFit="1" customWidth="1"/>
    <col min="12" max="12" width="12.5703125" bestFit="1" customWidth="1"/>
    <col min="13" max="13" width="18.5703125" bestFit="1" customWidth="1"/>
    <col min="14" max="14" width="17.28515625" bestFit="1" customWidth="1"/>
    <col min="15" max="15" width="33.42578125" bestFit="1" customWidth="1"/>
    <col min="16" max="16" width="19" bestFit="1" customWidth="1"/>
    <col min="17" max="17" width="18.28515625" bestFit="1" customWidth="1"/>
    <col min="18" max="18" width="16.28515625" bestFit="1" customWidth="1"/>
    <col min="19" max="19" width="26.5703125" bestFit="1" customWidth="1"/>
    <col min="20" max="20" width="11.5703125" bestFit="1" customWidth="1"/>
    <col min="21" max="21" width="23.28515625" bestFit="1" customWidth="1"/>
    <col min="22" max="22" width="24.85546875" bestFit="1" customWidth="1"/>
    <col min="23" max="23" width="18" bestFit="1" customWidth="1"/>
    <col min="24" max="24" width="14.28515625" bestFit="1" customWidth="1"/>
    <col min="25" max="25" width="26.7109375" bestFit="1" customWidth="1"/>
    <col min="26" max="26" width="27.85546875" bestFit="1" customWidth="1"/>
    <col min="27" max="27" width="13.28515625" bestFit="1" customWidth="1"/>
    <col min="28" max="28" width="31" bestFit="1" customWidth="1"/>
    <col min="29" max="29" width="27.42578125" bestFit="1" customWidth="1"/>
    <col min="30" max="30" width="21.42578125" bestFit="1" customWidth="1"/>
    <col min="31" max="31" width="12.5703125" bestFit="1" customWidth="1"/>
    <col min="32" max="32" width="13.7109375" bestFit="1" customWidth="1"/>
    <col min="33" max="33" width="27" bestFit="1" customWidth="1"/>
    <col min="34" max="34" width="25.5703125" bestFit="1" customWidth="1"/>
    <col min="35" max="35" width="21.7109375" bestFit="1" customWidth="1"/>
    <col min="36" max="36" width="23.42578125" bestFit="1" customWidth="1"/>
    <col min="37" max="37" width="15.85546875" bestFit="1" customWidth="1"/>
    <col min="38" max="38" width="24.85546875" bestFit="1" customWidth="1"/>
    <col min="39" max="39" width="31" bestFit="1" customWidth="1"/>
    <col min="40" max="40" width="18.28515625" bestFit="1" customWidth="1"/>
    <col min="41" max="41" width="29" bestFit="1" customWidth="1"/>
    <col min="42" max="42" width="28.42578125" bestFit="1" customWidth="1"/>
    <col min="43" max="43" width="29.42578125" bestFit="1" customWidth="1"/>
    <col min="44" max="44" width="27.5703125" bestFit="1" customWidth="1"/>
    <col min="45" max="45" width="25.85546875" bestFit="1" customWidth="1"/>
    <col min="46" max="46" width="18.28515625" bestFit="1" customWidth="1"/>
    <col min="47" max="47" width="29.140625" bestFit="1" customWidth="1"/>
    <col min="48" max="48" width="20.42578125" bestFit="1" customWidth="1"/>
    <col min="49" max="49" width="11.85546875" bestFit="1" customWidth="1"/>
    <col min="50" max="50" width="19.5703125" bestFit="1" customWidth="1"/>
    <col min="51" max="51" width="26" bestFit="1" customWidth="1"/>
    <col min="52" max="52" width="23.7109375" bestFit="1" customWidth="1"/>
    <col min="53" max="53" width="32.42578125" bestFit="1" customWidth="1"/>
    <col min="54" max="54" width="28.5703125" bestFit="1" customWidth="1"/>
    <col min="55" max="55" width="21.28515625" bestFit="1" customWidth="1"/>
    <col min="56" max="56" width="30.5703125" bestFit="1" customWidth="1"/>
    <col min="57" max="57" width="13.42578125" bestFit="1" customWidth="1"/>
    <col min="58" max="58" width="24.7109375" bestFit="1" customWidth="1"/>
    <col min="59" max="59" width="23.140625" bestFit="1" customWidth="1"/>
    <col min="60" max="60" width="25.5703125" bestFit="1" customWidth="1"/>
    <col min="61" max="61" width="29.5703125" bestFit="1" customWidth="1"/>
    <col min="62" max="62" width="23.28515625" bestFit="1" customWidth="1"/>
    <col min="63" max="63" width="26.5703125" bestFit="1" customWidth="1"/>
    <col min="64" max="64" width="30.140625" bestFit="1" customWidth="1"/>
    <col min="65" max="65" width="27.85546875" bestFit="1" customWidth="1"/>
    <col min="66" max="66" width="16.42578125" bestFit="1" customWidth="1"/>
    <col min="67" max="67" width="24.42578125" bestFit="1" customWidth="1"/>
    <col min="68" max="68" width="28.5703125" bestFit="1" customWidth="1"/>
    <col min="69" max="69" width="23.28515625" bestFit="1" customWidth="1"/>
    <col min="70" max="70" width="19.42578125" bestFit="1" customWidth="1"/>
    <col min="71" max="71" width="27.85546875" bestFit="1" customWidth="1"/>
    <col min="72" max="72" width="32.5703125" bestFit="1" customWidth="1"/>
    <col min="73" max="74" width="27.140625" bestFit="1" customWidth="1"/>
    <col min="75" max="75" width="14.28515625" bestFit="1" customWidth="1"/>
    <col min="76" max="76" width="33.42578125" bestFit="1" customWidth="1"/>
    <col min="77" max="77" width="20.42578125" bestFit="1" customWidth="1"/>
    <col min="78" max="78" width="21.7109375" bestFit="1" customWidth="1"/>
    <col min="79" max="79" width="28.42578125" bestFit="1" customWidth="1"/>
    <col min="80" max="80" width="32.140625" bestFit="1" customWidth="1"/>
    <col min="81" max="81" width="25.7109375" bestFit="1" customWidth="1"/>
    <col min="82" max="82" width="20.140625" bestFit="1" customWidth="1"/>
    <col min="83" max="83" width="26.7109375" bestFit="1" customWidth="1"/>
    <col min="84" max="84" width="10.42578125" bestFit="1" customWidth="1"/>
    <col min="85" max="85" width="31.85546875" bestFit="1" customWidth="1"/>
    <col min="86" max="86" width="26" bestFit="1" customWidth="1"/>
    <col min="87" max="87" width="21.42578125" bestFit="1" customWidth="1"/>
    <col min="88" max="88" width="35.5703125" bestFit="1" customWidth="1"/>
    <col min="89" max="89" width="29" bestFit="1" customWidth="1"/>
    <col min="90" max="90" width="18.7109375" bestFit="1" customWidth="1"/>
    <col min="91" max="91" width="28.28515625" bestFit="1" customWidth="1"/>
    <col min="92" max="92" width="30.7109375" bestFit="1" customWidth="1"/>
    <col min="93" max="93" width="23.42578125" bestFit="1" customWidth="1"/>
    <col min="94" max="94" width="24.7109375" bestFit="1" customWidth="1"/>
    <col min="95" max="95" width="22.42578125" bestFit="1" customWidth="1"/>
    <col min="96" max="96" width="28.42578125" bestFit="1" customWidth="1"/>
    <col min="97" max="97" width="28.5703125" bestFit="1" customWidth="1"/>
    <col min="98" max="98" width="27.28515625" bestFit="1" customWidth="1"/>
    <col min="99" max="99" width="25.140625" bestFit="1" customWidth="1"/>
    <col min="100" max="100" width="24.85546875" bestFit="1" customWidth="1"/>
    <col min="101" max="101" width="38" bestFit="1" customWidth="1"/>
    <col min="102" max="102" width="15" bestFit="1" customWidth="1"/>
    <col min="103" max="103" width="20.7109375" bestFit="1" customWidth="1"/>
    <col min="104" max="104" width="27.5703125" bestFit="1" customWidth="1"/>
    <col min="105" max="105" width="25.5703125" bestFit="1" customWidth="1"/>
    <col min="106" max="106" width="35.5703125" bestFit="1" customWidth="1"/>
    <col min="107" max="107" width="25.7109375" bestFit="1" customWidth="1"/>
    <col min="108" max="108" width="29.85546875" bestFit="1" customWidth="1"/>
    <col min="109" max="109" width="27.140625" bestFit="1" customWidth="1"/>
    <col min="110" max="110" width="23" bestFit="1" customWidth="1"/>
    <col min="111" max="111" width="12.140625" bestFit="1" customWidth="1"/>
    <col min="112" max="112" width="12.85546875" bestFit="1" customWidth="1"/>
    <col min="113" max="113" width="23.85546875" bestFit="1" customWidth="1"/>
    <col min="114" max="114" width="22.140625" bestFit="1" customWidth="1"/>
    <col min="115" max="115" width="17.140625" bestFit="1" customWidth="1"/>
    <col min="116" max="116" width="31.28515625" bestFit="1" customWidth="1"/>
    <col min="117" max="117" width="26" bestFit="1" customWidth="1"/>
    <col min="118" max="118" width="23" bestFit="1" customWidth="1"/>
    <col min="119" max="119" width="30.28515625" bestFit="1" customWidth="1"/>
    <col min="120" max="120" width="20.28515625" bestFit="1" customWidth="1"/>
    <col min="121" max="121" width="14.42578125" bestFit="1" customWidth="1"/>
    <col min="122" max="122" width="28.85546875" bestFit="1" customWidth="1"/>
    <col min="123" max="123" width="24" bestFit="1" customWidth="1"/>
    <col min="124" max="124" width="25.5703125" bestFit="1" customWidth="1"/>
    <col min="125" max="125" width="21.7109375" bestFit="1" customWidth="1"/>
    <col min="126" max="126" width="28.85546875" bestFit="1" customWidth="1"/>
    <col min="127" max="127" width="18.7109375" bestFit="1" customWidth="1"/>
    <col min="128" max="128" width="14.140625" bestFit="1" customWidth="1"/>
    <col min="129" max="129" width="33.42578125" bestFit="1" customWidth="1"/>
    <col min="130" max="130" width="16.5703125" bestFit="1" customWidth="1"/>
    <col min="131" max="131" width="26.5703125" bestFit="1" customWidth="1"/>
    <col min="132" max="132" width="13.85546875" bestFit="1" customWidth="1"/>
    <col min="133" max="133" width="26.140625" bestFit="1" customWidth="1"/>
    <col min="134" max="134" width="25.140625" bestFit="1" customWidth="1"/>
    <col min="135" max="135" width="29.28515625" bestFit="1" customWidth="1"/>
    <col min="136" max="136" width="22.140625" bestFit="1" customWidth="1"/>
    <col min="137" max="137" width="25.28515625" bestFit="1" customWidth="1"/>
    <col min="138" max="138" width="30.5703125" bestFit="1" customWidth="1"/>
    <col min="139" max="139" width="25.85546875" bestFit="1" customWidth="1"/>
    <col min="140" max="140" width="27.42578125" bestFit="1" customWidth="1"/>
    <col min="141" max="141" width="25.7109375" bestFit="1" customWidth="1"/>
    <col min="142" max="142" width="27.28515625" bestFit="1" customWidth="1"/>
    <col min="143" max="143" width="20.5703125" bestFit="1" customWidth="1"/>
    <col min="144" max="144" width="27.7109375" bestFit="1" customWidth="1"/>
    <col min="145" max="145" width="25.7109375" bestFit="1" customWidth="1"/>
    <col min="146" max="146" width="11.5703125" bestFit="1" customWidth="1"/>
    <col min="147" max="147" width="21.28515625" bestFit="1" customWidth="1"/>
    <col min="148" max="148" width="22.140625" bestFit="1" customWidth="1"/>
    <col min="149" max="149" width="29.28515625" bestFit="1" customWidth="1"/>
    <col min="150" max="150" width="20.42578125" bestFit="1" customWidth="1"/>
    <col min="151" max="151" width="11" bestFit="1" customWidth="1"/>
    <col min="152" max="152" width="22.7109375" bestFit="1" customWidth="1"/>
    <col min="153" max="153" width="20.85546875" bestFit="1" customWidth="1"/>
    <col min="154" max="154" width="20" bestFit="1" customWidth="1"/>
    <col min="155" max="155" width="29.140625" bestFit="1" customWidth="1"/>
    <col min="156" max="156" width="27.5703125" bestFit="1" customWidth="1"/>
    <col min="157" max="157" width="21.85546875" bestFit="1" customWidth="1"/>
    <col min="158" max="158" width="29" bestFit="1" customWidth="1"/>
    <col min="159" max="159" width="18.42578125" bestFit="1" customWidth="1"/>
    <col min="160" max="160" width="15.28515625" bestFit="1" customWidth="1"/>
    <col min="161" max="161" width="28.140625" bestFit="1" customWidth="1"/>
    <col min="162" max="162" width="10.28515625" bestFit="1" customWidth="1"/>
    <col min="163" max="163" width="27" bestFit="1" customWidth="1"/>
    <col min="164" max="164" width="23.85546875" bestFit="1" customWidth="1"/>
    <col min="165" max="165" width="26.85546875" bestFit="1" customWidth="1"/>
    <col min="166" max="166" width="29.85546875" bestFit="1" customWidth="1"/>
    <col min="167" max="167" width="11.85546875" bestFit="1" customWidth="1"/>
    <col min="168" max="168" width="16.140625" bestFit="1" customWidth="1"/>
    <col min="169" max="169" width="21.7109375" bestFit="1" customWidth="1"/>
    <col min="170" max="170" width="27.140625" bestFit="1" customWidth="1"/>
    <col min="171" max="171" width="25.5703125" bestFit="1" customWidth="1"/>
    <col min="172" max="172" width="26.42578125" bestFit="1" customWidth="1"/>
    <col min="173" max="173" width="23.7109375" bestFit="1" customWidth="1"/>
    <col min="174" max="174" width="24.5703125" bestFit="1" customWidth="1"/>
    <col min="175" max="175" width="20.7109375" bestFit="1" customWidth="1"/>
    <col min="176" max="176" width="10.42578125" bestFit="1" customWidth="1"/>
    <col min="177" max="177" width="31.140625" bestFit="1" customWidth="1"/>
    <col min="178" max="178" width="21.7109375" bestFit="1" customWidth="1"/>
    <col min="179" max="179" width="23.28515625" bestFit="1" customWidth="1"/>
    <col min="180" max="180" width="17.28515625" bestFit="1" customWidth="1"/>
    <col min="181" max="181" width="22.85546875" bestFit="1" customWidth="1"/>
    <col min="182" max="182" width="26.7109375" bestFit="1" customWidth="1"/>
    <col min="183" max="183" width="33.28515625" bestFit="1" customWidth="1"/>
    <col min="184" max="184" width="27.7109375" bestFit="1" customWidth="1"/>
    <col min="185" max="185" width="25.42578125" bestFit="1" customWidth="1"/>
    <col min="186" max="186" width="19.85546875" bestFit="1" customWidth="1"/>
    <col min="187" max="187" width="19.5703125" bestFit="1" customWidth="1"/>
    <col min="188" max="188" width="31.7109375" bestFit="1" customWidth="1"/>
    <col min="189" max="189" width="29.28515625" bestFit="1" customWidth="1"/>
    <col min="190" max="190" width="20.7109375" bestFit="1" customWidth="1"/>
    <col min="191" max="191" width="30.140625" bestFit="1" customWidth="1"/>
    <col min="192" max="192" width="30" bestFit="1" customWidth="1"/>
    <col min="193" max="193" width="28.7109375" bestFit="1" customWidth="1"/>
    <col min="194" max="194" width="13.7109375" bestFit="1" customWidth="1"/>
    <col min="195" max="195" width="24.7109375" bestFit="1" customWidth="1"/>
    <col min="196" max="196" width="27.140625" bestFit="1" customWidth="1"/>
    <col min="197" max="197" width="17.7109375" bestFit="1" customWidth="1"/>
    <col min="198" max="198" width="28.5703125" bestFit="1" customWidth="1"/>
    <col min="199" max="199" width="21.28515625" bestFit="1" customWidth="1"/>
    <col min="200" max="200" width="30.85546875" bestFit="1" customWidth="1"/>
    <col min="201" max="201" width="29.85546875" bestFit="1" customWidth="1"/>
    <col min="202" max="202" width="13.85546875" bestFit="1" customWidth="1"/>
    <col min="203" max="203" width="26.7109375" bestFit="1" customWidth="1"/>
    <col min="204" max="204" width="27.140625" bestFit="1" customWidth="1"/>
    <col min="205" max="205" width="24.140625" bestFit="1" customWidth="1"/>
    <col min="206" max="206" width="26.140625" bestFit="1" customWidth="1"/>
    <col min="207" max="207" width="30.5703125" bestFit="1" customWidth="1"/>
    <col min="208" max="208" width="16.140625" bestFit="1" customWidth="1"/>
    <col min="209" max="209" width="28.7109375" bestFit="1" customWidth="1"/>
    <col min="210" max="210" width="25.42578125" bestFit="1" customWidth="1"/>
    <col min="211" max="211" width="29.42578125" bestFit="1" customWidth="1"/>
    <col min="212" max="212" width="19.28515625" bestFit="1" customWidth="1"/>
    <col min="213" max="213" width="21.42578125" bestFit="1" customWidth="1"/>
    <col min="214" max="214" width="24" bestFit="1" customWidth="1"/>
    <col min="215" max="215" width="28.85546875" bestFit="1" customWidth="1"/>
    <col min="216" max="216" width="27" bestFit="1" customWidth="1"/>
    <col min="217" max="217" width="20.140625" bestFit="1" customWidth="1"/>
    <col min="218" max="218" width="32" bestFit="1" customWidth="1"/>
    <col min="219" max="219" width="19.85546875" bestFit="1" customWidth="1"/>
    <col min="220" max="220" width="13.28515625" bestFit="1" customWidth="1"/>
    <col min="221" max="221" width="28" bestFit="1" customWidth="1"/>
    <col min="222" max="222" width="17.28515625" bestFit="1" customWidth="1"/>
    <col min="223" max="223" width="32.28515625" bestFit="1" customWidth="1"/>
    <col min="224" max="224" width="26" bestFit="1" customWidth="1"/>
    <col min="225" max="225" width="18.140625" bestFit="1" customWidth="1"/>
    <col min="226" max="226" width="23.28515625" bestFit="1" customWidth="1"/>
    <col min="227" max="227" width="12.5703125" bestFit="1" customWidth="1"/>
    <col min="228" max="228" width="28" bestFit="1" customWidth="1"/>
    <col min="229" max="229" width="25.140625" bestFit="1" customWidth="1"/>
    <col min="230" max="231" width="26.85546875" bestFit="1" customWidth="1"/>
    <col min="232" max="232" width="19.7109375" bestFit="1" customWidth="1"/>
    <col min="233" max="233" width="21.7109375" bestFit="1" customWidth="1"/>
    <col min="234" max="234" width="23.140625" bestFit="1" customWidth="1"/>
    <col min="235" max="235" width="23.7109375" bestFit="1" customWidth="1"/>
    <col min="236" max="236" width="26.85546875" bestFit="1" customWidth="1"/>
    <col min="237" max="237" width="28.7109375" bestFit="1" customWidth="1"/>
    <col min="238" max="238" width="34.140625" bestFit="1" customWidth="1"/>
    <col min="239" max="239" width="19.5703125" bestFit="1" customWidth="1"/>
    <col min="240" max="240" width="27.42578125" bestFit="1" customWidth="1"/>
    <col min="241" max="241" width="24.140625" bestFit="1" customWidth="1"/>
    <col min="242" max="242" width="22.28515625" bestFit="1" customWidth="1"/>
    <col min="243" max="243" width="28" bestFit="1" customWidth="1"/>
    <col min="244" max="244" width="12" bestFit="1" customWidth="1"/>
    <col min="245" max="245" width="17.140625" bestFit="1" customWidth="1"/>
    <col min="246" max="246" width="14" bestFit="1" customWidth="1"/>
    <col min="247" max="247" width="13.7109375" bestFit="1" customWidth="1"/>
    <col min="248" max="248" width="15.7109375" bestFit="1" customWidth="1"/>
    <col min="249" max="249" width="15.42578125" bestFit="1" customWidth="1"/>
    <col min="250" max="250" width="12.42578125" bestFit="1" customWidth="1"/>
    <col min="251" max="251" width="18.5703125" bestFit="1" customWidth="1"/>
    <col min="252" max="252" width="13.140625" bestFit="1" customWidth="1"/>
    <col min="253" max="253" width="30.5703125" bestFit="1" customWidth="1"/>
    <col min="254" max="254" width="31" bestFit="1" customWidth="1"/>
    <col min="255" max="255" width="22.42578125" bestFit="1" customWidth="1"/>
    <col min="256" max="256" width="22" bestFit="1" customWidth="1"/>
    <col min="257" max="257" width="29" bestFit="1" customWidth="1"/>
    <col min="258" max="258" width="22.28515625" bestFit="1" customWidth="1"/>
    <col min="259" max="259" width="32" bestFit="1" customWidth="1"/>
    <col min="260" max="260" width="30.5703125" bestFit="1" customWidth="1"/>
    <col min="261" max="261" width="25.7109375" bestFit="1" customWidth="1"/>
    <col min="262" max="262" width="25" bestFit="1" customWidth="1"/>
    <col min="263" max="263" width="27.7109375" bestFit="1" customWidth="1"/>
    <col min="264" max="264" width="23.85546875" bestFit="1" customWidth="1"/>
    <col min="265" max="265" width="24.7109375" bestFit="1" customWidth="1"/>
    <col min="266" max="266" width="23.42578125" bestFit="1" customWidth="1"/>
    <col min="267" max="267" width="29.28515625" bestFit="1" customWidth="1"/>
    <col min="268" max="268" width="20.42578125" bestFit="1" customWidth="1"/>
    <col min="269" max="269" width="25" bestFit="1" customWidth="1"/>
    <col min="270" max="270" width="24.7109375" bestFit="1" customWidth="1"/>
    <col min="271" max="271" width="27" bestFit="1" customWidth="1"/>
    <col min="272" max="272" width="27.85546875" bestFit="1" customWidth="1"/>
    <col min="273" max="273" width="15.5703125" bestFit="1" customWidth="1"/>
    <col min="274" max="274" width="24" bestFit="1" customWidth="1"/>
    <col min="275" max="275" width="26.140625" bestFit="1" customWidth="1"/>
    <col min="276" max="276" width="28.42578125" bestFit="1" customWidth="1"/>
    <col min="277" max="277" width="23.140625" bestFit="1" customWidth="1"/>
    <col min="278" max="278" width="28.42578125" bestFit="1" customWidth="1"/>
    <col min="279" max="279" width="25.140625" bestFit="1" customWidth="1"/>
    <col min="280" max="280" width="21.85546875" bestFit="1" customWidth="1"/>
    <col min="281" max="281" width="17.140625" bestFit="1" customWidth="1"/>
    <col min="282" max="282" width="14.42578125" bestFit="1" customWidth="1"/>
    <col min="283" max="283" width="30" bestFit="1" customWidth="1"/>
    <col min="284" max="284" width="21.85546875" bestFit="1" customWidth="1"/>
    <col min="285" max="285" width="25.5703125" bestFit="1" customWidth="1"/>
    <col min="286" max="286" width="25" bestFit="1" customWidth="1"/>
    <col min="287" max="287" width="26.5703125" bestFit="1" customWidth="1"/>
    <col min="288" max="288" width="12.5703125" bestFit="1" customWidth="1"/>
    <col min="289" max="289" width="18.5703125" bestFit="1" customWidth="1"/>
    <col min="290" max="290" width="17.28515625" bestFit="1" customWidth="1"/>
    <col min="291" max="291" width="33.42578125" bestFit="1" customWidth="1"/>
    <col min="292" max="292" width="19" bestFit="1" customWidth="1"/>
    <col min="293" max="293" width="18.28515625" bestFit="1" customWidth="1"/>
    <col min="294" max="294" width="16.28515625" bestFit="1" customWidth="1"/>
    <col min="295" max="295" width="26.5703125" bestFit="1" customWidth="1"/>
    <col min="296" max="296" width="11.5703125" bestFit="1" customWidth="1"/>
    <col min="297" max="297" width="23.28515625" bestFit="1" customWidth="1"/>
    <col min="298" max="298" width="24.85546875" bestFit="1" customWidth="1"/>
    <col min="299" max="299" width="18" bestFit="1" customWidth="1"/>
    <col min="300" max="300" width="14.28515625" bestFit="1" customWidth="1"/>
    <col min="301" max="301" width="26.7109375" bestFit="1" customWidth="1"/>
    <col min="302" max="302" width="27.85546875" bestFit="1" customWidth="1"/>
    <col min="303" max="303" width="13.28515625" bestFit="1" customWidth="1"/>
    <col min="304" max="304" width="31" bestFit="1" customWidth="1"/>
    <col min="305" max="305" width="27.42578125" bestFit="1" customWidth="1"/>
    <col min="306" max="306" width="21.42578125" bestFit="1" customWidth="1"/>
    <col min="307" max="307" width="12.5703125" bestFit="1" customWidth="1"/>
    <col min="308" max="308" width="13.7109375" bestFit="1" customWidth="1"/>
    <col min="309" max="309" width="27" bestFit="1" customWidth="1"/>
    <col min="310" max="310" width="25.5703125" bestFit="1" customWidth="1"/>
    <col min="311" max="311" width="21.7109375" bestFit="1" customWidth="1"/>
    <col min="312" max="312" width="23.42578125" bestFit="1" customWidth="1"/>
    <col min="313" max="313" width="15.85546875" bestFit="1" customWidth="1"/>
    <col min="314" max="314" width="24.85546875" bestFit="1" customWidth="1"/>
    <col min="315" max="315" width="31" bestFit="1" customWidth="1"/>
    <col min="316" max="316" width="18.28515625" bestFit="1" customWidth="1"/>
    <col min="317" max="317" width="29" bestFit="1" customWidth="1"/>
    <col min="318" max="318" width="28.42578125" bestFit="1" customWidth="1"/>
    <col min="319" max="319" width="29.42578125" bestFit="1" customWidth="1"/>
    <col min="320" max="320" width="27.5703125" bestFit="1" customWidth="1"/>
    <col min="321" max="321" width="25.85546875" bestFit="1" customWidth="1"/>
    <col min="322" max="322" width="18.28515625" bestFit="1" customWidth="1"/>
    <col min="323" max="323" width="29.140625" bestFit="1" customWidth="1"/>
    <col min="324" max="324" width="20.42578125" bestFit="1" customWidth="1"/>
    <col min="325" max="325" width="11.85546875" bestFit="1" customWidth="1"/>
    <col min="326" max="326" width="19.5703125" bestFit="1" customWidth="1"/>
    <col min="327" max="327" width="26" bestFit="1" customWidth="1"/>
    <col min="328" max="328" width="23.7109375" bestFit="1" customWidth="1"/>
    <col min="329" max="329" width="32.42578125" bestFit="1" customWidth="1"/>
    <col min="330" max="330" width="28.5703125" bestFit="1" customWidth="1"/>
    <col min="331" max="331" width="21.28515625" bestFit="1" customWidth="1"/>
    <col min="332" max="332" width="30.5703125" bestFit="1" customWidth="1"/>
    <col min="333" max="333" width="13.42578125" bestFit="1" customWidth="1"/>
    <col min="334" max="334" width="24.7109375" bestFit="1" customWidth="1"/>
    <col min="335" max="335" width="23.140625" bestFit="1" customWidth="1"/>
    <col min="336" max="336" width="25.5703125" bestFit="1" customWidth="1"/>
    <col min="337" max="337" width="29.5703125" bestFit="1" customWidth="1"/>
    <col min="338" max="338" width="23.28515625" bestFit="1" customWidth="1"/>
    <col min="339" max="339" width="26.5703125" bestFit="1" customWidth="1"/>
    <col min="340" max="340" width="30.140625" bestFit="1" customWidth="1"/>
    <col min="341" max="341" width="27.85546875" bestFit="1" customWidth="1"/>
    <col min="342" max="342" width="16.42578125" bestFit="1" customWidth="1"/>
    <col min="343" max="343" width="24.42578125" bestFit="1" customWidth="1"/>
    <col min="344" max="344" width="28.5703125" bestFit="1" customWidth="1"/>
    <col min="345" max="345" width="23.28515625" bestFit="1" customWidth="1"/>
    <col min="346" max="346" width="19.42578125" bestFit="1" customWidth="1"/>
    <col min="347" max="347" width="27.85546875" bestFit="1" customWidth="1"/>
    <col min="348" max="348" width="32.5703125" bestFit="1" customWidth="1"/>
    <col min="349" max="350" width="27.140625" bestFit="1" customWidth="1"/>
    <col min="351" max="351" width="14.28515625" bestFit="1" customWidth="1"/>
    <col min="352" max="352" width="33.42578125" bestFit="1" customWidth="1"/>
    <col min="353" max="353" width="20.42578125" bestFit="1" customWidth="1"/>
    <col min="354" max="354" width="21.7109375" bestFit="1" customWidth="1"/>
    <col min="355" max="355" width="28.42578125" bestFit="1" customWidth="1"/>
    <col min="356" max="356" width="32.140625" bestFit="1" customWidth="1"/>
    <col min="357" max="357" width="25.7109375" bestFit="1" customWidth="1"/>
    <col min="358" max="358" width="20.140625" bestFit="1" customWidth="1"/>
    <col min="359" max="359" width="26.7109375" bestFit="1" customWidth="1"/>
    <col min="360" max="360" width="10.42578125" bestFit="1" customWidth="1"/>
    <col min="361" max="361" width="31.85546875" bestFit="1" customWidth="1"/>
    <col min="362" max="362" width="26" bestFit="1" customWidth="1"/>
    <col min="363" max="363" width="21.42578125" bestFit="1" customWidth="1"/>
    <col min="364" max="364" width="35.5703125" bestFit="1" customWidth="1"/>
    <col min="365" max="365" width="29" bestFit="1" customWidth="1"/>
    <col min="366" max="366" width="18.7109375" bestFit="1" customWidth="1"/>
    <col min="367" max="367" width="28.28515625" bestFit="1" customWidth="1"/>
    <col min="368" max="368" width="30.7109375" bestFit="1" customWidth="1"/>
    <col min="369" max="369" width="23.42578125" bestFit="1" customWidth="1"/>
    <col min="370" max="370" width="24.7109375" bestFit="1" customWidth="1"/>
    <col min="371" max="371" width="22.42578125" bestFit="1" customWidth="1"/>
    <col min="372" max="372" width="28.42578125" bestFit="1" customWidth="1"/>
    <col min="373" max="373" width="28.5703125" bestFit="1" customWidth="1"/>
    <col min="374" max="374" width="27.28515625" bestFit="1" customWidth="1"/>
    <col min="375" max="375" width="25.140625" bestFit="1" customWidth="1"/>
    <col min="376" max="376" width="24.85546875" bestFit="1" customWidth="1"/>
    <col min="377" max="377" width="38" bestFit="1" customWidth="1"/>
    <col min="378" max="378" width="15" bestFit="1" customWidth="1"/>
    <col min="379" max="379" width="20.7109375" bestFit="1" customWidth="1"/>
    <col min="380" max="380" width="27.5703125" bestFit="1" customWidth="1"/>
    <col min="381" max="381" width="25.5703125" bestFit="1" customWidth="1"/>
    <col min="382" max="382" width="35.5703125" bestFit="1" customWidth="1"/>
    <col min="383" max="383" width="25.7109375" bestFit="1" customWidth="1"/>
    <col min="384" max="384" width="29.85546875" bestFit="1" customWidth="1"/>
    <col min="385" max="385" width="27.140625" bestFit="1" customWidth="1"/>
    <col min="386" max="386" width="23" bestFit="1" customWidth="1"/>
    <col min="387" max="387" width="12.140625" bestFit="1" customWidth="1"/>
    <col min="388" max="388" width="12.85546875" bestFit="1" customWidth="1"/>
    <col min="389" max="389" width="23.85546875" bestFit="1" customWidth="1"/>
    <col min="390" max="390" width="22.140625" bestFit="1" customWidth="1"/>
    <col min="391" max="391" width="17.140625" bestFit="1" customWidth="1"/>
    <col min="392" max="392" width="31.28515625" bestFit="1" customWidth="1"/>
    <col min="393" max="393" width="26" bestFit="1" customWidth="1"/>
    <col min="394" max="394" width="23" bestFit="1" customWidth="1"/>
    <col min="395" max="395" width="30.28515625" bestFit="1" customWidth="1"/>
    <col min="396" max="396" width="20.28515625" bestFit="1" customWidth="1"/>
    <col min="397" max="397" width="14.42578125" bestFit="1" customWidth="1"/>
    <col min="398" max="398" width="28.85546875" bestFit="1" customWidth="1"/>
    <col min="399" max="399" width="24" bestFit="1" customWidth="1"/>
    <col min="400" max="400" width="25.5703125" bestFit="1" customWidth="1"/>
    <col min="401" max="401" width="21.7109375" bestFit="1" customWidth="1"/>
    <col min="402" max="402" width="28.85546875" bestFit="1" customWidth="1"/>
    <col min="403" max="403" width="18.7109375" bestFit="1" customWidth="1"/>
    <col min="404" max="404" width="14.140625" bestFit="1" customWidth="1"/>
    <col min="405" max="405" width="33.42578125" bestFit="1" customWidth="1"/>
    <col min="406" max="406" width="16.5703125" bestFit="1" customWidth="1"/>
    <col min="407" max="407" width="26.5703125" bestFit="1" customWidth="1"/>
    <col min="408" max="408" width="13.85546875" bestFit="1" customWidth="1"/>
    <col min="409" max="409" width="26.140625" bestFit="1" customWidth="1"/>
    <col min="410" max="410" width="25.140625" bestFit="1" customWidth="1"/>
    <col min="411" max="411" width="29.28515625" bestFit="1" customWidth="1"/>
    <col min="412" max="412" width="22.140625" bestFit="1" customWidth="1"/>
    <col min="413" max="413" width="25.28515625" bestFit="1" customWidth="1"/>
    <col min="414" max="414" width="30.5703125" bestFit="1" customWidth="1"/>
    <col min="415" max="415" width="25.85546875" bestFit="1" customWidth="1"/>
    <col min="416" max="416" width="27.42578125" bestFit="1" customWidth="1"/>
    <col min="417" max="417" width="25.7109375" bestFit="1" customWidth="1"/>
    <col min="418" max="418" width="27.28515625" bestFit="1" customWidth="1"/>
    <col min="419" max="419" width="20.5703125" bestFit="1" customWidth="1"/>
    <col min="420" max="420" width="27.7109375" bestFit="1" customWidth="1"/>
    <col min="421" max="421" width="25.7109375" bestFit="1" customWidth="1"/>
    <col min="422" max="422" width="11.5703125" bestFit="1" customWidth="1"/>
    <col min="423" max="423" width="21.28515625" bestFit="1" customWidth="1"/>
    <col min="424" max="424" width="22.140625" bestFit="1" customWidth="1"/>
    <col min="425" max="425" width="29.28515625" bestFit="1" customWidth="1"/>
    <col min="426" max="426" width="20.42578125" bestFit="1" customWidth="1"/>
    <col min="427" max="427" width="11" bestFit="1" customWidth="1"/>
    <col min="428" max="428" width="22.7109375" bestFit="1" customWidth="1"/>
    <col min="429" max="429" width="20.85546875" bestFit="1" customWidth="1"/>
    <col min="430" max="430" width="20" bestFit="1" customWidth="1"/>
    <col min="431" max="431" width="29.140625" bestFit="1" customWidth="1"/>
    <col min="432" max="432" width="27.5703125" bestFit="1" customWidth="1"/>
    <col min="433" max="433" width="21.85546875" bestFit="1" customWidth="1"/>
    <col min="434" max="434" width="29" bestFit="1" customWidth="1"/>
    <col min="435" max="435" width="18.42578125" bestFit="1" customWidth="1"/>
    <col min="436" max="436" width="15.28515625" bestFit="1" customWidth="1"/>
    <col min="437" max="437" width="28.140625" bestFit="1" customWidth="1"/>
    <col min="438" max="438" width="10.28515625" bestFit="1" customWidth="1"/>
    <col min="439" max="439" width="27" bestFit="1" customWidth="1"/>
    <col min="440" max="440" width="23.85546875" bestFit="1" customWidth="1"/>
    <col min="441" max="441" width="26.85546875" bestFit="1" customWidth="1"/>
    <col min="442" max="442" width="29.85546875" bestFit="1" customWidth="1"/>
    <col min="443" max="443" width="11.85546875" bestFit="1" customWidth="1"/>
    <col min="444" max="444" width="16.140625" bestFit="1" customWidth="1"/>
    <col min="445" max="445" width="21.7109375" bestFit="1" customWidth="1"/>
    <col min="446" max="446" width="27.140625" bestFit="1" customWidth="1"/>
    <col min="447" max="447" width="25.5703125" bestFit="1" customWidth="1"/>
    <col min="448" max="448" width="26.42578125" bestFit="1" customWidth="1"/>
    <col min="449" max="449" width="23.7109375" bestFit="1" customWidth="1"/>
    <col min="450" max="450" width="24.5703125" bestFit="1" customWidth="1"/>
    <col min="451" max="451" width="20.7109375" bestFit="1" customWidth="1"/>
    <col min="452" max="452" width="10.42578125" bestFit="1" customWidth="1"/>
    <col min="453" max="453" width="31.140625" bestFit="1" customWidth="1"/>
    <col min="454" max="454" width="21.7109375" bestFit="1" customWidth="1"/>
    <col min="455" max="455" width="23.28515625" bestFit="1" customWidth="1"/>
    <col min="456" max="456" width="17.28515625" bestFit="1" customWidth="1"/>
    <col min="457" max="457" width="22.85546875" bestFit="1" customWidth="1"/>
    <col min="458" max="458" width="26.7109375" bestFit="1" customWidth="1"/>
    <col min="459" max="459" width="33.28515625" bestFit="1" customWidth="1"/>
    <col min="460" max="460" width="27.7109375" bestFit="1" customWidth="1"/>
    <col min="461" max="461" width="25.42578125" bestFit="1" customWidth="1"/>
    <col min="462" max="462" width="19.85546875" bestFit="1" customWidth="1"/>
    <col min="463" max="463" width="19.5703125" bestFit="1" customWidth="1"/>
    <col min="464" max="464" width="31.7109375" bestFit="1" customWidth="1"/>
    <col min="465" max="465" width="29.28515625" bestFit="1" customWidth="1"/>
    <col min="466" max="466" width="20.7109375" bestFit="1" customWidth="1"/>
    <col min="467" max="467" width="30.140625" bestFit="1" customWidth="1"/>
    <col min="468" max="468" width="30" bestFit="1" customWidth="1"/>
    <col min="469" max="469" width="28.7109375" bestFit="1" customWidth="1"/>
    <col min="470" max="470" width="13.7109375" bestFit="1" customWidth="1"/>
    <col min="471" max="471" width="24.7109375" bestFit="1" customWidth="1"/>
    <col min="472" max="472" width="27.140625" bestFit="1" customWidth="1"/>
    <col min="473" max="473" width="17.7109375" bestFit="1" customWidth="1"/>
    <col min="474" max="474" width="28.5703125" bestFit="1" customWidth="1"/>
    <col min="475" max="475" width="21.28515625" bestFit="1" customWidth="1"/>
    <col min="476" max="476" width="30.85546875" bestFit="1" customWidth="1"/>
    <col min="477" max="477" width="29.85546875" bestFit="1" customWidth="1"/>
    <col min="478" max="478" width="13.85546875" bestFit="1" customWidth="1"/>
    <col min="479" max="479" width="26.7109375" bestFit="1" customWidth="1"/>
    <col min="480" max="480" width="27.140625" bestFit="1" customWidth="1"/>
    <col min="481" max="481" width="24.140625" bestFit="1" customWidth="1"/>
    <col min="482" max="482" width="26.140625" bestFit="1" customWidth="1"/>
    <col min="483" max="483" width="30.5703125" bestFit="1" customWidth="1"/>
    <col min="484" max="484" width="16.140625" bestFit="1" customWidth="1"/>
    <col min="485" max="485" width="28.7109375" bestFit="1" customWidth="1"/>
    <col min="486" max="486" width="25.42578125" bestFit="1" customWidth="1"/>
    <col min="487" max="487" width="29.42578125" bestFit="1" customWidth="1"/>
    <col min="488" max="488" width="19.28515625" bestFit="1" customWidth="1"/>
    <col min="489" max="489" width="21.42578125" bestFit="1" customWidth="1"/>
    <col min="490" max="490" width="24" bestFit="1" customWidth="1"/>
    <col min="491" max="491" width="28.85546875" bestFit="1" customWidth="1"/>
    <col min="492" max="492" width="27" bestFit="1" customWidth="1"/>
    <col min="493" max="493" width="20.140625" bestFit="1" customWidth="1"/>
    <col min="494" max="494" width="32" bestFit="1" customWidth="1"/>
    <col min="495" max="495" width="19.85546875" bestFit="1" customWidth="1"/>
    <col min="496" max="496" width="13.28515625" bestFit="1" customWidth="1"/>
    <col min="497" max="497" width="28" bestFit="1" customWidth="1"/>
    <col min="498" max="498" width="17.28515625" bestFit="1" customWidth="1"/>
    <col min="499" max="499" width="32.28515625" bestFit="1" customWidth="1"/>
    <col min="500" max="500" width="26" bestFit="1" customWidth="1"/>
    <col min="501" max="501" width="18.140625" bestFit="1" customWidth="1"/>
    <col min="502" max="502" width="23.28515625" bestFit="1" customWidth="1"/>
    <col min="503" max="503" width="12.5703125" bestFit="1" customWidth="1"/>
    <col min="504" max="504" width="28" bestFit="1" customWidth="1"/>
    <col min="505" max="505" width="25.140625" bestFit="1" customWidth="1"/>
    <col min="506" max="507" width="26.85546875" bestFit="1" customWidth="1"/>
    <col min="508" max="508" width="19.7109375" bestFit="1" customWidth="1"/>
    <col min="509" max="509" width="21.7109375" bestFit="1" customWidth="1"/>
    <col min="510" max="510" width="23.140625" bestFit="1" customWidth="1"/>
    <col min="511" max="511" width="23.7109375" bestFit="1" customWidth="1"/>
    <col min="512" max="512" width="26.85546875" bestFit="1" customWidth="1"/>
    <col min="513" max="513" width="28.7109375" bestFit="1" customWidth="1"/>
    <col min="514" max="514" width="34.140625" bestFit="1" customWidth="1"/>
    <col min="515" max="515" width="19.5703125" bestFit="1" customWidth="1"/>
    <col min="516" max="516" width="27.42578125" bestFit="1" customWidth="1"/>
    <col min="517" max="517" width="24.140625" bestFit="1" customWidth="1"/>
    <col min="518" max="518" width="22.28515625" bestFit="1" customWidth="1"/>
    <col min="519" max="519" width="28" bestFit="1" customWidth="1"/>
    <col min="520" max="520" width="12" bestFit="1" customWidth="1"/>
    <col min="521" max="521" width="17.140625" bestFit="1" customWidth="1"/>
    <col min="522" max="522" width="14" bestFit="1" customWidth="1"/>
    <col min="523" max="523" width="13.7109375" bestFit="1" customWidth="1"/>
    <col min="524" max="524" width="15.7109375" bestFit="1" customWidth="1"/>
    <col min="525" max="525" width="15.42578125" bestFit="1" customWidth="1"/>
    <col min="526" max="526" width="12.42578125" bestFit="1" customWidth="1"/>
    <col min="527" max="527" width="18.5703125" bestFit="1" customWidth="1"/>
    <col min="528" max="528" width="13.140625" bestFit="1" customWidth="1"/>
    <col min="529" max="529" width="30.5703125" bestFit="1" customWidth="1"/>
    <col min="530" max="530" width="31" bestFit="1" customWidth="1"/>
    <col min="531" max="531" width="22.42578125" bestFit="1" customWidth="1"/>
    <col min="532" max="532" width="22" bestFit="1" customWidth="1"/>
    <col min="533" max="533" width="29" bestFit="1" customWidth="1"/>
    <col min="534" max="534" width="22.28515625" bestFit="1" customWidth="1"/>
    <col min="535" max="535" width="32" bestFit="1" customWidth="1"/>
    <col min="536" max="536" width="30.5703125" bestFit="1" customWidth="1"/>
    <col min="537" max="537" width="25.7109375" bestFit="1" customWidth="1"/>
    <col min="538" max="538" width="25" bestFit="1" customWidth="1"/>
    <col min="539" max="539" width="27.7109375" bestFit="1" customWidth="1"/>
    <col min="540" max="540" width="23.85546875" bestFit="1" customWidth="1"/>
    <col min="541" max="541" width="24.7109375" bestFit="1" customWidth="1"/>
    <col min="542" max="542" width="23.42578125" bestFit="1" customWidth="1"/>
    <col min="543" max="543" width="29.28515625" bestFit="1" customWidth="1"/>
    <col min="544" max="544" width="20.42578125" bestFit="1" customWidth="1"/>
    <col min="545" max="545" width="25" bestFit="1" customWidth="1"/>
    <col min="546" max="546" width="24.7109375" bestFit="1" customWidth="1"/>
    <col min="547" max="547" width="27" bestFit="1" customWidth="1"/>
    <col min="548" max="548" width="27.85546875" bestFit="1" customWidth="1"/>
    <col min="549" max="549" width="15.5703125" bestFit="1" customWidth="1"/>
    <col min="550" max="550" width="24" bestFit="1" customWidth="1"/>
    <col min="551" max="551" width="26.140625" bestFit="1" customWidth="1"/>
    <col min="552" max="552" width="28.42578125" bestFit="1" customWidth="1"/>
    <col min="553" max="553" width="23.140625" bestFit="1" customWidth="1"/>
    <col min="554" max="554" width="28.42578125" bestFit="1" customWidth="1"/>
    <col min="555" max="555" width="16.5703125" bestFit="1" customWidth="1"/>
    <col min="556" max="556" width="18.42578125" bestFit="1" customWidth="1"/>
  </cols>
  <sheetData>
    <row r="3" spans="1:4" x14ac:dyDescent="0.25">
      <c r="B3" s="1" t="s">
        <v>660</v>
      </c>
      <c r="C3" t="s">
        <v>659</v>
      </c>
      <c r="D3" t="s">
        <v>657</v>
      </c>
    </row>
    <row r="4" spans="1:4" x14ac:dyDescent="0.25">
      <c r="A4">
        <v>1</v>
      </c>
      <c r="B4" s="2">
        <v>22</v>
      </c>
      <c r="C4" s="4">
        <v>6</v>
      </c>
      <c r="D4" s="4">
        <v>9745000</v>
      </c>
    </row>
    <row r="5" spans="1:4" x14ac:dyDescent="0.25">
      <c r="A5">
        <v>2</v>
      </c>
      <c r="B5" s="2">
        <v>270</v>
      </c>
      <c r="C5" s="4">
        <v>7</v>
      </c>
      <c r="D5" s="4">
        <v>9374500</v>
      </c>
    </row>
    <row r="6" spans="1:4" x14ac:dyDescent="0.25">
      <c r="A6">
        <v>3</v>
      </c>
      <c r="B6" s="2">
        <v>191</v>
      </c>
      <c r="C6" s="4">
        <v>10</v>
      </c>
      <c r="D6" s="4">
        <v>9314640</v>
      </c>
    </row>
    <row r="7" spans="1:4" x14ac:dyDescent="0.25">
      <c r="A7">
        <v>4</v>
      </c>
      <c r="B7" s="2">
        <v>67</v>
      </c>
      <c r="C7" s="4">
        <v>7</v>
      </c>
      <c r="D7" s="4">
        <v>8627750</v>
      </c>
    </row>
    <row r="8" spans="1:4" x14ac:dyDescent="0.25">
      <c r="A8">
        <v>5</v>
      </c>
      <c r="B8" s="2">
        <v>138</v>
      </c>
      <c r="C8" s="4">
        <v>7</v>
      </c>
      <c r="D8" s="4">
        <v>8096300</v>
      </c>
    </row>
    <row r="9" spans="1:4" x14ac:dyDescent="0.25">
      <c r="A9">
        <v>6</v>
      </c>
      <c r="B9" s="2">
        <v>102</v>
      </c>
      <c r="C9" s="4">
        <v>6</v>
      </c>
      <c r="D9" s="4">
        <v>8012500</v>
      </c>
    </row>
    <row r="10" spans="1:4" x14ac:dyDescent="0.25">
      <c r="A10">
        <v>7</v>
      </c>
      <c r="B10" s="2">
        <v>177</v>
      </c>
      <c r="C10" s="4">
        <v>6</v>
      </c>
      <c r="D10" s="4">
        <v>7752500</v>
      </c>
    </row>
    <row r="11" spans="1:4" x14ac:dyDescent="0.25">
      <c r="A11">
        <v>8</v>
      </c>
      <c r="B11" s="2">
        <v>202</v>
      </c>
      <c r="C11" s="4">
        <v>5</v>
      </c>
      <c r="D11" s="4">
        <v>7240000</v>
      </c>
    </row>
    <row r="12" spans="1:4" x14ac:dyDescent="0.25">
      <c r="A12">
        <v>9</v>
      </c>
      <c r="B12" s="2">
        <v>279</v>
      </c>
      <c r="C12" s="4">
        <v>7</v>
      </c>
      <c r="D12" s="4">
        <v>7185000</v>
      </c>
    </row>
    <row r="13" spans="1:4" x14ac:dyDescent="0.25">
      <c r="A13">
        <v>10</v>
      </c>
      <c r="B13" s="2">
        <v>104</v>
      </c>
      <c r="C13" s="4">
        <v>7</v>
      </c>
      <c r="D13" s="4">
        <v>7084000</v>
      </c>
    </row>
    <row r="14" spans="1:4" x14ac:dyDescent="0.25">
      <c r="A14">
        <v>11</v>
      </c>
      <c r="B14" s="2">
        <v>210</v>
      </c>
      <c r="C14" s="4">
        <v>4</v>
      </c>
      <c r="D14" s="4">
        <v>7000000</v>
      </c>
    </row>
    <row r="15" spans="1:4" x14ac:dyDescent="0.25">
      <c r="A15">
        <v>12</v>
      </c>
      <c r="B15" s="2">
        <v>130</v>
      </c>
      <c r="C15" s="4">
        <v>4</v>
      </c>
      <c r="D15" s="4">
        <v>6982500</v>
      </c>
    </row>
    <row r="16" spans="1:4" x14ac:dyDescent="0.25">
      <c r="A16">
        <v>13</v>
      </c>
      <c r="B16" s="2">
        <v>264</v>
      </c>
      <c r="C16" s="4">
        <v>6</v>
      </c>
      <c r="D16" s="4">
        <v>6889140</v>
      </c>
    </row>
    <row r="17" spans="1:4" x14ac:dyDescent="0.25">
      <c r="A17">
        <v>14</v>
      </c>
      <c r="B17" s="2">
        <v>37</v>
      </c>
      <c r="C17" s="4">
        <v>8</v>
      </c>
      <c r="D17" s="4">
        <v>6817750</v>
      </c>
    </row>
    <row r="18" spans="1:4" x14ac:dyDescent="0.25">
      <c r="A18">
        <v>15</v>
      </c>
      <c r="B18" s="2">
        <v>185</v>
      </c>
      <c r="C18" s="4">
        <v>5</v>
      </c>
      <c r="D18" s="4">
        <v>6704000</v>
      </c>
    </row>
    <row r="19" spans="1:4" x14ac:dyDescent="0.25">
      <c r="A19">
        <v>16</v>
      </c>
      <c r="B19" s="2">
        <v>188</v>
      </c>
      <c r="C19" s="4">
        <v>3</v>
      </c>
      <c r="D19" s="4">
        <v>6508500</v>
      </c>
    </row>
    <row r="20" spans="1:4" x14ac:dyDescent="0.25">
      <c r="A20">
        <v>17</v>
      </c>
      <c r="B20" s="2">
        <v>184</v>
      </c>
      <c r="C20" s="4">
        <v>6</v>
      </c>
      <c r="D20" s="4">
        <v>6503750</v>
      </c>
    </row>
    <row r="21" spans="1:4" x14ac:dyDescent="0.25">
      <c r="A21">
        <v>18</v>
      </c>
      <c r="B21" s="2">
        <v>178</v>
      </c>
      <c r="C21" s="4">
        <v>7</v>
      </c>
      <c r="D21" s="4">
        <v>6398500</v>
      </c>
    </row>
    <row r="22" spans="1:4" x14ac:dyDescent="0.25">
      <c r="A22">
        <v>19</v>
      </c>
      <c r="B22" s="2">
        <v>269</v>
      </c>
      <c r="C22" s="4">
        <v>6</v>
      </c>
      <c r="D22" s="4">
        <v>6372500</v>
      </c>
    </row>
    <row r="23" spans="1:4" x14ac:dyDescent="0.25">
      <c r="A23">
        <v>20</v>
      </c>
      <c r="B23" s="2">
        <v>96</v>
      </c>
      <c r="C23" s="4">
        <v>6</v>
      </c>
      <c r="D23" s="4">
        <v>6294300</v>
      </c>
    </row>
    <row r="24" spans="1:4" x14ac:dyDescent="0.25">
      <c r="A24">
        <v>21</v>
      </c>
      <c r="B24" s="2">
        <v>160</v>
      </c>
      <c r="C24" s="4">
        <v>6</v>
      </c>
      <c r="D24" s="4">
        <v>6281880</v>
      </c>
    </row>
    <row r="25" spans="1:4" x14ac:dyDescent="0.25">
      <c r="A25">
        <v>22</v>
      </c>
      <c r="B25" s="2">
        <v>76</v>
      </c>
      <c r="C25" s="4">
        <v>5</v>
      </c>
      <c r="D25" s="4">
        <v>6250500</v>
      </c>
    </row>
    <row r="26" spans="1:4" x14ac:dyDescent="0.25">
      <c r="A26">
        <v>23</v>
      </c>
      <c r="B26" s="2">
        <v>40</v>
      </c>
      <c r="C26" s="4">
        <v>6</v>
      </c>
      <c r="D26" s="4">
        <v>6115250</v>
      </c>
    </row>
    <row r="27" spans="1:4" x14ac:dyDescent="0.25">
      <c r="A27">
        <v>24</v>
      </c>
      <c r="B27" s="2">
        <v>155</v>
      </c>
      <c r="C27" s="4">
        <v>7</v>
      </c>
      <c r="D27" s="4">
        <v>6098900</v>
      </c>
    </row>
    <row r="28" spans="1:4" x14ac:dyDescent="0.25">
      <c r="A28">
        <v>25</v>
      </c>
      <c r="B28" s="2">
        <v>69</v>
      </c>
      <c r="C28" s="4">
        <v>8</v>
      </c>
      <c r="D28" s="4">
        <v>6003750</v>
      </c>
    </row>
    <row r="29" spans="1:4" x14ac:dyDescent="0.25">
      <c r="A29">
        <v>26</v>
      </c>
      <c r="B29" s="2">
        <v>205</v>
      </c>
      <c r="C29" s="4">
        <v>4</v>
      </c>
      <c r="D29" s="4">
        <v>5886000</v>
      </c>
    </row>
    <row r="30" spans="1:4" x14ac:dyDescent="0.25">
      <c r="A30">
        <v>27</v>
      </c>
      <c r="B30" s="2">
        <v>137</v>
      </c>
      <c r="C30" s="4">
        <v>4</v>
      </c>
      <c r="D30" s="4">
        <v>5479350</v>
      </c>
    </row>
    <row r="31" spans="1:4" x14ac:dyDescent="0.25">
      <c r="A31">
        <v>28</v>
      </c>
      <c r="B31" s="2">
        <v>20</v>
      </c>
      <c r="C31" s="4">
        <v>4</v>
      </c>
      <c r="D31" s="4">
        <v>5454500</v>
      </c>
    </row>
    <row r="32" spans="1:4" x14ac:dyDescent="0.25">
      <c r="A32">
        <v>29</v>
      </c>
      <c r="B32" s="2">
        <v>50</v>
      </c>
      <c r="C32" s="4">
        <v>6</v>
      </c>
      <c r="D32" s="4">
        <v>5353140</v>
      </c>
    </row>
    <row r="33" spans="1:4" x14ac:dyDescent="0.25">
      <c r="A33">
        <v>30</v>
      </c>
      <c r="B33" s="2">
        <v>162</v>
      </c>
      <c r="C33" s="4">
        <v>4</v>
      </c>
      <c r="D33" s="4">
        <v>5246000</v>
      </c>
    </row>
    <row r="34" spans="1:4" x14ac:dyDescent="0.25">
      <c r="A34">
        <v>31</v>
      </c>
      <c r="B34" s="2">
        <v>166</v>
      </c>
      <c r="C34" s="4">
        <v>5</v>
      </c>
      <c r="D34" s="4">
        <v>5199350</v>
      </c>
    </row>
    <row r="35" spans="1:4" x14ac:dyDescent="0.25">
      <c r="A35">
        <v>32</v>
      </c>
      <c r="B35" s="2">
        <v>101</v>
      </c>
      <c r="C35" s="4">
        <v>5</v>
      </c>
      <c r="D35" s="4">
        <v>5167500</v>
      </c>
    </row>
    <row r="36" spans="1:4" x14ac:dyDescent="0.25">
      <c r="A36">
        <v>33</v>
      </c>
      <c r="B36" s="2">
        <v>196</v>
      </c>
      <c r="C36" s="4">
        <v>5</v>
      </c>
      <c r="D36" s="4">
        <v>5122380</v>
      </c>
    </row>
    <row r="37" spans="1:4" x14ac:dyDescent="0.25">
      <c r="A37">
        <v>34</v>
      </c>
      <c r="B37" s="2">
        <v>58</v>
      </c>
      <c r="C37" s="4">
        <v>6</v>
      </c>
      <c r="D37" s="4">
        <v>5117000</v>
      </c>
    </row>
    <row r="38" spans="1:4" x14ac:dyDescent="0.25">
      <c r="A38">
        <v>35</v>
      </c>
      <c r="B38" s="2">
        <v>141</v>
      </c>
      <c r="C38" s="4">
        <v>3</v>
      </c>
      <c r="D38" s="4">
        <v>5068500</v>
      </c>
    </row>
    <row r="39" spans="1:4" x14ac:dyDescent="0.25">
      <c r="A39">
        <v>36</v>
      </c>
      <c r="B39" s="2">
        <v>26</v>
      </c>
      <c r="C39" s="4">
        <v>8</v>
      </c>
      <c r="D39" s="4">
        <v>4912000</v>
      </c>
    </row>
    <row r="40" spans="1:4" x14ac:dyDescent="0.25">
      <c r="A40">
        <v>37</v>
      </c>
      <c r="B40" s="2">
        <v>186</v>
      </c>
      <c r="C40" s="4">
        <v>6</v>
      </c>
      <c r="D40" s="4">
        <v>4905000</v>
      </c>
    </row>
    <row r="41" spans="1:4" x14ac:dyDescent="0.25">
      <c r="A41">
        <v>38</v>
      </c>
      <c r="B41" s="2">
        <v>152</v>
      </c>
      <c r="C41" s="4">
        <v>4</v>
      </c>
      <c r="D41" s="4">
        <v>4766000</v>
      </c>
    </row>
    <row r="42" spans="1:4" x14ac:dyDescent="0.25">
      <c r="A42">
        <v>39</v>
      </c>
      <c r="B42" s="2">
        <v>65</v>
      </c>
      <c r="C42" s="4">
        <v>5</v>
      </c>
      <c r="D42" s="4">
        <v>4747500</v>
      </c>
    </row>
    <row r="43" spans="1:4" x14ac:dyDescent="0.25">
      <c r="A43">
        <v>40</v>
      </c>
      <c r="B43" s="2">
        <v>175</v>
      </c>
      <c r="C43" s="4">
        <v>5</v>
      </c>
      <c r="D43" s="4">
        <v>4720200</v>
      </c>
    </row>
    <row r="44" spans="1:4" x14ac:dyDescent="0.25">
      <c r="A44">
        <v>41</v>
      </c>
      <c r="B44" s="2">
        <v>234</v>
      </c>
      <c r="C44" s="4">
        <v>6</v>
      </c>
      <c r="D44" s="4">
        <v>4496000</v>
      </c>
    </row>
    <row r="45" spans="1:4" x14ac:dyDescent="0.25">
      <c r="A45">
        <v>42</v>
      </c>
      <c r="B45" s="2">
        <v>18</v>
      </c>
      <c r="C45" s="4">
        <v>7</v>
      </c>
      <c r="D45" s="4">
        <v>4477020</v>
      </c>
    </row>
    <row r="46" spans="1:4" x14ac:dyDescent="0.25">
      <c r="A46">
        <v>43</v>
      </c>
      <c r="B46" s="2">
        <v>81</v>
      </c>
      <c r="C46" s="4">
        <v>3</v>
      </c>
      <c r="D46" s="4">
        <v>4436000</v>
      </c>
    </row>
    <row r="47" spans="1:4" x14ac:dyDescent="0.25">
      <c r="A47">
        <v>44</v>
      </c>
      <c r="B47" s="2">
        <v>93</v>
      </c>
      <c r="C47" s="4">
        <v>4</v>
      </c>
      <c r="D47" s="4">
        <v>4384900</v>
      </c>
    </row>
    <row r="48" spans="1:4" x14ac:dyDescent="0.25">
      <c r="A48">
        <v>45</v>
      </c>
      <c r="B48" s="2">
        <v>84</v>
      </c>
      <c r="C48" s="4">
        <v>3</v>
      </c>
      <c r="D48" s="4">
        <v>4356000</v>
      </c>
    </row>
    <row r="49" spans="1:4" x14ac:dyDescent="0.25">
      <c r="A49">
        <v>46</v>
      </c>
      <c r="B49" s="2">
        <v>12</v>
      </c>
      <c r="C49" s="4">
        <v>4</v>
      </c>
      <c r="D49" s="4">
        <v>4351260</v>
      </c>
    </row>
    <row r="50" spans="1:4" x14ac:dyDescent="0.25">
      <c r="A50">
        <v>47</v>
      </c>
      <c r="B50" s="2">
        <v>227</v>
      </c>
      <c r="C50" s="4">
        <v>4</v>
      </c>
      <c r="D50" s="4">
        <v>4343900</v>
      </c>
    </row>
    <row r="51" spans="1:4" x14ac:dyDescent="0.25">
      <c r="A51">
        <v>48</v>
      </c>
      <c r="B51" s="2">
        <v>254</v>
      </c>
      <c r="C51" s="4">
        <v>5</v>
      </c>
      <c r="D51" s="4">
        <v>4336500</v>
      </c>
    </row>
    <row r="52" spans="1:4" x14ac:dyDescent="0.25">
      <c r="A52">
        <v>49</v>
      </c>
      <c r="B52" s="2">
        <v>118</v>
      </c>
      <c r="C52" s="4">
        <v>9</v>
      </c>
      <c r="D52" s="4">
        <v>4332780</v>
      </c>
    </row>
    <row r="53" spans="1:4" x14ac:dyDescent="0.25">
      <c r="A53">
        <v>50</v>
      </c>
      <c r="B53" s="2">
        <v>179</v>
      </c>
      <c r="C53" s="4">
        <v>2</v>
      </c>
      <c r="D53" s="4">
        <v>4306500</v>
      </c>
    </row>
    <row r="54" spans="1:4" x14ac:dyDescent="0.25">
      <c r="A54">
        <v>51</v>
      </c>
      <c r="B54" s="2">
        <v>145</v>
      </c>
      <c r="C54" s="4">
        <v>3</v>
      </c>
      <c r="D54" s="4">
        <v>4275000</v>
      </c>
    </row>
    <row r="55" spans="1:4" x14ac:dyDescent="0.25">
      <c r="A55">
        <v>52</v>
      </c>
      <c r="B55" s="2">
        <v>52</v>
      </c>
      <c r="C55" s="4">
        <v>4</v>
      </c>
      <c r="D55" s="4">
        <v>4207250</v>
      </c>
    </row>
    <row r="56" spans="1:4" x14ac:dyDescent="0.25">
      <c r="A56">
        <v>53</v>
      </c>
      <c r="B56" s="2">
        <v>249</v>
      </c>
      <c r="C56" s="4">
        <v>4</v>
      </c>
      <c r="D56" s="4">
        <v>4186000</v>
      </c>
    </row>
    <row r="57" spans="1:4" x14ac:dyDescent="0.25">
      <c r="A57">
        <v>54</v>
      </c>
      <c r="B57" s="2">
        <v>268</v>
      </c>
      <c r="C57" s="4">
        <v>3</v>
      </c>
      <c r="D57" s="4">
        <v>4066000</v>
      </c>
    </row>
    <row r="58" spans="1:4" x14ac:dyDescent="0.25">
      <c r="A58">
        <v>55</v>
      </c>
      <c r="B58" s="2">
        <v>38</v>
      </c>
      <c r="C58" s="4">
        <v>5</v>
      </c>
      <c r="D58" s="4">
        <v>4015650</v>
      </c>
    </row>
    <row r="59" spans="1:4" x14ac:dyDescent="0.25">
      <c r="A59">
        <v>56</v>
      </c>
      <c r="B59" s="2">
        <v>180</v>
      </c>
      <c r="C59" s="4">
        <v>4</v>
      </c>
      <c r="D59" s="4">
        <v>4005500</v>
      </c>
    </row>
    <row r="60" spans="1:4" x14ac:dyDescent="0.25">
      <c r="A60">
        <v>57</v>
      </c>
      <c r="B60" s="2">
        <v>225</v>
      </c>
      <c r="C60" s="4">
        <v>6</v>
      </c>
      <c r="D60" s="4">
        <v>3989400</v>
      </c>
    </row>
    <row r="61" spans="1:4" x14ac:dyDescent="0.25">
      <c r="A61">
        <v>58</v>
      </c>
      <c r="B61" s="2">
        <v>91</v>
      </c>
      <c r="C61" s="4">
        <v>5</v>
      </c>
      <c r="D61" s="4">
        <v>3984640</v>
      </c>
    </row>
    <row r="62" spans="1:4" x14ac:dyDescent="0.25">
      <c r="A62">
        <v>59</v>
      </c>
      <c r="B62" s="2">
        <v>123</v>
      </c>
      <c r="C62" s="4">
        <v>4</v>
      </c>
      <c r="D62" s="4">
        <v>3958850</v>
      </c>
    </row>
    <row r="63" spans="1:4" x14ac:dyDescent="0.25">
      <c r="A63">
        <v>60</v>
      </c>
      <c r="B63" s="2">
        <v>189</v>
      </c>
      <c r="C63" s="4">
        <v>5</v>
      </c>
      <c r="D63" s="4">
        <v>3888000</v>
      </c>
    </row>
    <row r="64" spans="1:4" x14ac:dyDescent="0.25">
      <c r="A64">
        <v>61</v>
      </c>
      <c r="B64" s="2">
        <v>57</v>
      </c>
      <c r="C64" s="4">
        <v>3</v>
      </c>
      <c r="D64" s="4">
        <v>3868950</v>
      </c>
    </row>
    <row r="65" spans="1:4" x14ac:dyDescent="0.25">
      <c r="A65">
        <v>62</v>
      </c>
      <c r="B65" s="2">
        <v>5</v>
      </c>
      <c r="C65" s="4">
        <v>4</v>
      </c>
      <c r="D65" s="4">
        <v>3868950</v>
      </c>
    </row>
    <row r="66" spans="1:4" x14ac:dyDescent="0.25">
      <c r="A66">
        <v>63</v>
      </c>
      <c r="B66" s="2">
        <v>212</v>
      </c>
      <c r="C66" s="4">
        <v>2</v>
      </c>
      <c r="D66" s="4">
        <v>3850000</v>
      </c>
    </row>
    <row r="67" spans="1:4" x14ac:dyDescent="0.25">
      <c r="A67">
        <v>64</v>
      </c>
      <c r="B67" s="2">
        <v>132</v>
      </c>
      <c r="C67" s="4">
        <v>8</v>
      </c>
      <c r="D67" s="4">
        <v>3821750</v>
      </c>
    </row>
    <row r="68" spans="1:4" x14ac:dyDescent="0.25">
      <c r="A68">
        <v>65</v>
      </c>
      <c r="B68" s="2">
        <v>95</v>
      </c>
      <c r="C68" s="4">
        <v>3</v>
      </c>
      <c r="D68" s="4">
        <v>3803250</v>
      </c>
    </row>
    <row r="69" spans="1:4" x14ac:dyDescent="0.25">
      <c r="A69">
        <v>66</v>
      </c>
      <c r="B69" s="2">
        <v>220</v>
      </c>
      <c r="C69" s="4">
        <v>3</v>
      </c>
      <c r="D69" s="4">
        <v>3800000</v>
      </c>
    </row>
    <row r="70" spans="1:4" x14ac:dyDescent="0.25">
      <c r="A70">
        <v>67</v>
      </c>
      <c r="B70" s="2">
        <v>63</v>
      </c>
      <c r="C70" s="4">
        <v>3</v>
      </c>
      <c r="D70" s="4">
        <v>3791880</v>
      </c>
    </row>
    <row r="71" spans="1:4" x14ac:dyDescent="0.25">
      <c r="A71">
        <v>68</v>
      </c>
      <c r="B71" s="2">
        <v>66</v>
      </c>
      <c r="C71" s="4">
        <v>3</v>
      </c>
      <c r="D71" s="4">
        <v>3785000</v>
      </c>
    </row>
    <row r="72" spans="1:4" x14ac:dyDescent="0.25">
      <c r="A72">
        <v>69</v>
      </c>
      <c r="B72" s="2">
        <v>68</v>
      </c>
      <c r="C72" s="4">
        <v>3</v>
      </c>
      <c r="D72" s="4">
        <v>3780000</v>
      </c>
    </row>
    <row r="73" spans="1:4" x14ac:dyDescent="0.25">
      <c r="A73">
        <v>70</v>
      </c>
      <c r="B73" s="2">
        <v>240</v>
      </c>
      <c r="C73" s="4">
        <v>4</v>
      </c>
      <c r="D73" s="4">
        <v>3761750</v>
      </c>
    </row>
    <row r="74" spans="1:4" x14ac:dyDescent="0.25">
      <c r="A74">
        <v>71</v>
      </c>
      <c r="B74" s="2">
        <v>157</v>
      </c>
      <c r="C74" s="4">
        <v>2</v>
      </c>
      <c r="D74" s="4">
        <v>3747500</v>
      </c>
    </row>
    <row r="75" spans="1:4" x14ac:dyDescent="0.25">
      <c r="A75">
        <v>72</v>
      </c>
      <c r="B75" s="2">
        <v>158</v>
      </c>
      <c r="C75" s="4">
        <v>5</v>
      </c>
      <c r="D75" s="4">
        <v>3725000</v>
      </c>
    </row>
    <row r="76" spans="1:4" x14ac:dyDescent="0.25">
      <c r="A76">
        <v>73</v>
      </c>
      <c r="B76" s="2">
        <v>167</v>
      </c>
      <c r="C76" s="4">
        <v>4</v>
      </c>
      <c r="D76" s="4">
        <v>3709500</v>
      </c>
    </row>
    <row r="77" spans="1:4" x14ac:dyDescent="0.25">
      <c r="A77">
        <v>74</v>
      </c>
      <c r="B77" s="2">
        <v>16</v>
      </c>
      <c r="C77" s="4">
        <v>3</v>
      </c>
      <c r="D77" s="4">
        <v>3693500</v>
      </c>
    </row>
    <row r="78" spans="1:4" x14ac:dyDescent="0.25">
      <c r="A78">
        <v>75</v>
      </c>
      <c r="B78" s="2">
        <v>6</v>
      </c>
      <c r="C78" s="4">
        <v>3</v>
      </c>
      <c r="D78" s="4">
        <v>3691000</v>
      </c>
    </row>
    <row r="79" spans="1:4" x14ac:dyDescent="0.25">
      <c r="A79">
        <v>76</v>
      </c>
      <c r="B79" s="2">
        <v>107</v>
      </c>
      <c r="C79" s="4">
        <v>2</v>
      </c>
      <c r="D79" s="4">
        <v>3650000</v>
      </c>
    </row>
    <row r="80" spans="1:4" x14ac:dyDescent="0.25">
      <c r="A80">
        <v>77</v>
      </c>
      <c r="B80" s="2">
        <v>232</v>
      </c>
      <c r="C80" s="4">
        <v>4</v>
      </c>
      <c r="D80" s="4">
        <v>3643750</v>
      </c>
    </row>
    <row r="81" spans="1:4" x14ac:dyDescent="0.25">
      <c r="A81">
        <v>78</v>
      </c>
      <c r="B81" s="2">
        <v>127</v>
      </c>
      <c r="C81" s="4">
        <v>3</v>
      </c>
      <c r="D81" s="4">
        <v>3619650</v>
      </c>
    </row>
    <row r="82" spans="1:4" x14ac:dyDescent="0.25">
      <c r="A82">
        <v>79</v>
      </c>
      <c r="B82" s="2">
        <v>126</v>
      </c>
      <c r="C82" s="4">
        <v>3</v>
      </c>
      <c r="D82" s="4">
        <v>3607500</v>
      </c>
    </row>
    <row r="83" spans="1:4" x14ac:dyDescent="0.25">
      <c r="A83">
        <v>80</v>
      </c>
      <c r="B83" s="2">
        <v>266</v>
      </c>
      <c r="C83" s="4">
        <v>3</v>
      </c>
      <c r="D83" s="4">
        <v>3583250</v>
      </c>
    </row>
    <row r="84" spans="1:4" x14ac:dyDescent="0.25">
      <c r="A84">
        <v>81</v>
      </c>
      <c r="B84" s="2">
        <v>79</v>
      </c>
      <c r="C84" s="4">
        <v>5</v>
      </c>
      <c r="D84" s="4">
        <v>3562350</v>
      </c>
    </row>
    <row r="85" spans="1:4" x14ac:dyDescent="0.25">
      <c r="A85">
        <v>82</v>
      </c>
      <c r="B85" s="2">
        <v>44</v>
      </c>
      <c r="C85" s="4">
        <v>4</v>
      </c>
      <c r="D85" s="4">
        <v>3540000</v>
      </c>
    </row>
    <row r="86" spans="1:4" x14ac:dyDescent="0.25">
      <c r="A86">
        <v>83</v>
      </c>
      <c r="B86" s="2">
        <v>241</v>
      </c>
      <c r="C86" s="4">
        <v>3</v>
      </c>
      <c r="D86" s="4">
        <v>3525500</v>
      </c>
    </row>
    <row r="87" spans="1:4" x14ac:dyDescent="0.25">
      <c r="A87">
        <v>84</v>
      </c>
      <c r="B87" s="2">
        <v>153</v>
      </c>
      <c r="C87" s="4">
        <v>3</v>
      </c>
      <c r="D87" s="4">
        <v>3486500</v>
      </c>
    </row>
    <row r="88" spans="1:4" x14ac:dyDescent="0.25">
      <c r="A88">
        <v>85</v>
      </c>
      <c r="B88" s="2">
        <v>207</v>
      </c>
      <c r="C88" s="4">
        <v>4</v>
      </c>
      <c r="D88" s="4">
        <v>3472800</v>
      </c>
    </row>
    <row r="89" spans="1:4" x14ac:dyDescent="0.25">
      <c r="A89">
        <v>86</v>
      </c>
      <c r="B89" s="2">
        <v>72</v>
      </c>
      <c r="C89" s="4">
        <v>4</v>
      </c>
      <c r="D89" s="4">
        <v>3458250</v>
      </c>
    </row>
    <row r="90" spans="1:4" x14ac:dyDescent="0.25">
      <c r="A90">
        <v>87</v>
      </c>
      <c r="B90" s="2">
        <v>252</v>
      </c>
      <c r="C90" s="4">
        <v>4</v>
      </c>
      <c r="D90" s="4">
        <v>3402000</v>
      </c>
    </row>
    <row r="91" spans="1:4" x14ac:dyDescent="0.25">
      <c r="A91">
        <v>88</v>
      </c>
      <c r="B91" s="2">
        <v>129</v>
      </c>
      <c r="C91" s="4">
        <v>3</v>
      </c>
      <c r="D91" s="4">
        <v>3369000</v>
      </c>
    </row>
    <row r="92" spans="1:4" x14ac:dyDescent="0.25">
      <c r="A92">
        <v>89</v>
      </c>
      <c r="B92" s="2">
        <v>86</v>
      </c>
      <c r="C92" s="4">
        <v>7</v>
      </c>
      <c r="D92" s="4">
        <v>3364650</v>
      </c>
    </row>
    <row r="93" spans="1:4" x14ac:dyDescent="0.25">
      <c r="A93">
        <v>90</v>
      </c>
      <c r="B93" s="2">
        <v>36</v>
      </c>
      <c r="C93" s="4">
        <v>8</v>
      </c>
      <c r="D93" s="4">
        <v>3333780</v>
      </c>
    </row>
    <row r="94" spans="1:4" x14ac:dyDescent="0.25">
      <c r="A94">
        <v>91</v>
      </c>
      <c r="B94" s="2">
        <v>82</v>
      </c>
      <c r="C94" s="4">
        <v>3</v>
      </c>
      <c r="D94" s="4">
        <v>3321000</v>
      </c>
    </row>
    <row r="95" spans="1:4" x14ac:dyDescent="0.25">
      <c r="A95">
        <v>92</v>
      </c>
      <c r="B95" s="2">
        <v>247</v>
      </c>
      <c r="C95" s="4">
        <v>2</v>
      </c>
      <c r="D95" s="4">
        <v>3300000</v>
      </c>
    </row>
    <row r="96" spans="1:4" x14ac:dyDescent="0.25">
      <c r="A96">
        <v>93</v>
      </c>
      <c r="B96" s="2">
        <v>43</v>
      </c>
      <c r="C96" s="4">
        <v>4</v>
      </c>
      <c r="D96" s="4">
        <v>3291880</v>
      </c>
    </row>
    <row r="97" spans="1:4" x14ac:dyDescent="0.25">
      <c r="A97">
        <v>94</v>
      </c>
      <c r="B97" s="2">
        <v>259</v>
      </c>
      <c r="C97" s="4">
        <v>4</v>
      </c>
      <c r="D97" s="4">
        <v>3276250</v>
      </c>
    </row>
    <row r="98" spans="1:4" x14ac:dyDescent="0.25">
      <c r="A98">
        <v>95</v>
      </c>
      <c r="B98" s="2">
        <v>231</v>
      </c>
      <c r="C98" s="4">
        <v>4</v>
      </c>
      <c r="D98" s="4">
        <v>3268500</v>
      </c>
    </row>
    <row r="99" spans="1:4" x14ac:dyDescent="0.25">
      <c r="A99">
        <v>96</v>
      </c>
      <c r="B99" s="2">
        <v>228</v>
      </c>
      <c r="C99" s="4">
        <v>5</v>
      </c>
      <c r="D99" s="4">
        <v>3261400</v>
      </c>
    </row>
    <row r="100" spans="1:4" x14ac:dyDescent="0.25">
      <c r="A100">
        <v>97</v>
      </c>
      <c r="B100" s="2">
        <v>61</v>
      </c>
      <c r="C100" s="4">
        <v>5</v>
      </c>
      <c r="D100" s="4">
        <v>3124500</v>
      </c>
    </row>
    <row r="101" spans="1:4" x14ac:dyDescent="0.25">
      <c r="A101">
        <v>98</v>
      </c>
      <c r="B101" s="2">
        <v>148</v>
      </c>
      <c r="C101" s="4">
        <v>6</v>
      </c>
      <c r="D101" s="4">
        <v>3122950</v>
      </c>
    </row>
    <row r="102" spans="1:4" x14ac:dyDescent="0.25">
      <c r="A102">
        <v>99</v>
      </c>
      <c r="B102" s="2">
        <v>258</v>
      </c>
      <c r="C102" s="4">
        <v>3</v>
      </c>
      <c r="D102" s="4">
        <v>3088500</v>
      </c>
    </row>
    <row r="103" spans="1:4" x14ac:dyDescent="0.25">
      <c r="A103">
        <v>100</v>
      </c>
      <c r="B103" s="2">
        <v>113</v>
      </c>
      <c r="C103" s="4">
        <v>3</v>
      </c>
      <c r="D103" s="4">
        <v>3045500</v>
      </c>
    </row>
    <row r="104" spans="1:4" x14ac:dyDescent="0.25">
      <c r="A104">
        <v>101</v>
      </c>
      <c r="B104" s="2">
        <v>83</v>
      </c>
      <c r="C104" s="4">
        <v>5</v>
      </c>
      <c r="D104" s="4">
        <v>3035000</v>
      </c>
    </row>
    <row r="105" spans="1:4" x14ac:dyDescent="0.25">
      <c r="A105">
        <v>102</v>
      </c>
      <c r="B105" s="2">
        <v>139</v>
      </c>
      <c r="C105" s="4">
        <v>5</v>
      </c>
      <c r="D105" s="4">
        <v>3033900</v>
      </c>
    </row>
    <row r="106" spans="1:4" x14ac:dyDescent="0.25">
      <c r="A106">
        <v>103</v>
      </c>
      <c r="B106" s="2">
        <v>75</v>
      </c>
      <c r="C106" s="4">
        <v>5</v>
      </c>
      <c r="D106" s="4">
        <v>3027000</v>
      </c>
    </row>
    <row r="107" spans="1:4" x14ac:dyDescent="0.25">
      <c r="A107">
        <v>104</v>
      </c>
      <c r="B107" s="2">
        <v>70</v>
      </c>
      <c r="C107" s="4">
        <v>5</v>
      </c>
      <c r="D107" s="4">
        <v>3013000</v>
      </c>
    </row>
    <row r="108" spans="1:4" x14ac:dyDescent="0.25">
      <c r="A108">
        <v>105</v>
      </c>
      <c r="B108" s="2">
        <v>133</v>
      </c>
      <c r="C108" s="4">
        <v>3</v>
      </c>
      <c r="D108" s="4">
        <v>2958500</v>
      </c>
    </row>
    <row r="109" spans="1:4" x14ac:dyDescent="0.25">
      <c r="A109">
        <v>106</v>
      </c>
      <c r="B109" s="2">
        <v>263</v>
      </c>
      <c r="C109" s="4">
        <v>4</v>
      </c>
      <c r="D109" s="4">
        <v>2954300</v>
      </c>
    </row>
    <row r="110" spans="1:4" x14ac:dyDescent="0.25">
      <c r="A110">
        <v>107</v>
      </c>
      <c r="B110" s="2">
        <v>255</v>
      </c>
      <c r="C110" s="4">
        <v>4</v>
      </c>
      <c r="D110" s="4">
        <v>2940500</v>
      </c>
    </row>
    <row r="111" spans="1:4" x14ac:dyDescent="0.25">
      <c r="A111">
        <v>108</v>
      </c>
      <c r="B111" s="2">
        <v>74</v>
      </c>
      <c r="C111" s="4">
        <v>5</v>
      </c>
      <c r="D111" s="4">
        <v>2911400</v>
      </c>
    </row>
    <row r="112" spans="1:4" x14ac:dyDescent="0.25">
      <c r="A112">
        <v>109</v>
      </c>
      <c r="B112" s="2">
        <v>135</v>
      </c>
      <c r="C112" s="4">
        <v>5</v>
      </c>
      <c r="D112" s="4">
        <v>2871510</v>
      </c>
    </row>
    <row r="113" spans="1:4" x14ac:dyDescent="0.25">
      <c r="A113">
        <v>110</v>
      </c>
      <c r="B113" s="2">
        <v>209</v>
      </c>
      <c r="C113" s="4">
        <v>2</v>
      </c>
      <c r="D113" s="4">
        <v>2820000</v>
      </c>
    </row>
    <row r="114" spans="1:4" x14ac:dyDescent="0.25">
      <c r="A114">
        <v>111</v>
      </c>
      <c r="B114" s="2">
        <v>265</v>
      </c>
      <c r="C114" s="4">
        <v>4</v>
      </c>
      <c r="D114" s="4">
        <v>2768250</v>
      </c>
    </row>
    <row r="115" spans="1:4" x14ac:dyDescent="0.25">
      <c r="A115">
        <v>112</v>
      </c>
      <c r="B115" s="2">
        <v>121</v>
      </c>
      <c r="C115" s="4">
        <v>5</v>
      </c>
      <c r="D115" s="4">
        <v>2734350</v>
      </c>
    </row>
    <row r="116" spans="1:4" x14ac:dyDescent="0.25">
      <c r="A116">
        <v>113</v>
      </c>
      <c r="B116" s="2">
        <v>71</v>
      </c>
      <c r="C116" s="4">
        <v>6</v>
      </c>
      <c r="D116" s="4">
        <v>2707530</v>
      </c>
    </row>
    <row r="117" spans="1:4" x14ac:dyDescent="0.25">
      <c r="A117">
        <v>114</v>
      </c>
      <c r="B117" s="2">
        <v>114</v>
      </c>
      <c r="C117" s="4">
        <v>4</v>
      </c>
      <c r="D117" s="4">
        <v>2702590</v>
      </c>
    </row>
    <row r="118" spans="1:4" x14ac:dyDescent="0.25">
      <c r="A118">
        <v>115</v>
      </c>
      <c r="B118" s="2">
        <v>277</v>
      </c>
      <c r="C118" s="4">
        <v>4</v>
      </c>
      <c r="D118" s="4">
        <v>2663250</v>
      </c>
    </row>
    <row r="119" spans="1:4" x14ac:dyDescent="0.25">
      <c r="A119">
        <v>116</v>
      </c>
      <c r="B119" s="2">
        <v>35</v>
      </c>
      <c r="C119" s="4">
        <v>6</v>
      </c>
      <c r="D119" s="4">
        <v>2643200</v>
      </c>
    </row>
    <row r="120" spans="1:4" x14ac:dyDescent="0.25">
      <c r="A120">
        <v>117</v>
      </c>
      <c r="B120" s="2">
        <v>171</v>
      </c>
      <c r="C120" s="4">
        <v>5</v>
      </c>
      <c r="D120" s="4">
        <v>2637800</v>
      </c>
    </row>
    <row r="121" spans="1:4" x14ac:dyDescent="0.25">
      <c r="A121">
        <v>118</v>
      </c>
      <c r="B121" s="2">
        <v>237</v>
      </c>
      <c r="C121" s="4">
        <v>4</v>
      </c>
      <c r="D121" s="4">
        <v>2633500</v>
      </c>
    </row>
    <row r="122" spans="1:4" x14ac:dyDescent="0.25">
      <c r="A122">
        <v>119</v>
      </c>
      <c r="B122" s="2">
        <v>98</v>
      </c>
      <c r="C122" s="4">
        <v>4</v>
      </c>
      <c r="D122" s="4">
        <v>2588800</v>
      </c>
    </row>
    <row r="123" spans="1:4" x14ac:dyDescent="0.25">
      <c r="A123">
        <v>120</v>
      </c>
      <c r="B123" s="2">
        <v>94</v>
      </c>
      <c r="C123" s="4">
        <v>6</v>
      </c>
      <c r="D123" s="4">
        <v>2571750</v>
      </c>
    </row>
    <row r="124" spans="1:4" x14ac:dyDescent="0.25">
      <c r="A124">
        <v>121</v>
      </c>
      <c r="B124" s="2">
        <v>122</v>
      </c>
      <c r="C124" s="4">
        <v>6</v>
      </c>
      <c r="D124" s="4">
        <v>2560500</v>
      </c>
    </row>
    <row r="125" spans="1:4" x14ac:dyDescent="0.25">
      <c r="A125">
        <v>122</v>
      </c>
      <c r="B125" s="2">
        <v>243</v>
      </c>
      <c r="C125" s="4">
        <v>3</v>
      </c>
      <c r="D125" s="4">
        <v>2538900</v>
      </c>
    </row>
    <row r="126" spans="1:4" x14ac:dyDescent="0.25">
      <c r="A126">
        <v>123</v>
      </c>
      <c r="B126" s="2">
        <v>204</v>
      </c>
      <c r="C126" s="4">
        <v>5</v>
      </c>
      <c r="D126" s="4">
        <v>2507000</v>
      </c>
    </row>
    <row r="127" spans="1:4" x14ac:dyDescent="0.25">
      <c r="A127">
        <v>124</v>
      </c>
      <c r="B127" s="2">
        <v>216</v>
      </c>
      <c r="C127" s="4">
        <v>4</v>
      </c>
      <c r="D127" s="4">
        <v>2480640</v>
      </c>
    </row>
    <row r="128" spans="1:4" x14ac:dyDescent="0.25">
      <c r="A128">
        <v>125</v>
      </c>
      <c r="B128" s="2">
        <v>193</v>
      </c>
      <c r="C128" s="4">
        <v>4</v>
      </c>
      <c r="D128" s="4">
        <v>2475150</v>
      </c>
    </row>
    <row r="129" spans="1:4" x14ac:dyDescent="0.25">
      <c r="A129">
        <v>126</v>
      </c>
      <c r="B129" s="2">
        <v>9</v>
      </c>
      <c r="C129" s="4">
        <v>2</v>
      </c>
      <c r="D129" s="4">
        <v>2475000</v>
      </c>
    </row>
    <row r="130" spans="1:4" x14ac:dyDescent="0.25">
      <c r="A130">
        <v>127</v>
      </c>
      <c r="B130" s="2">
        <v>170</v>
      </c>
      <c r="C130" s="4">
        <v>4</v>
      </c>
      <c r="D130" s="4">
        <v>2453250</v>
      </c>
    </row>
    <row r="131" spans="1:4" x14ac:dyDescent="0.25">
      <c r="A131">
        <v>128</v>
      </c>
      <c r="B131" s="2">
        <v>32</v>
      </c>
      <c r="C131" s="4">
        <v>2</v>
      </c>
      <c r="D131" s="4">
        <v>2442500</v>
      </c>
    </row>
    <row r="132" spans="1:4" x14ac:dyDescent="0.25">
      <c r="A132">
        <v>129</v>
      </c>
      <c r="B132" s="2">
        <v>164</v>
      </c>
      <c r="C132" s="4">
        <v>7</v>
      </c>
      <c r="D132" s="4">
        <v>2413200</v>
      </c>
    </row>
    <row r="133" spans="1:4" x14ac:dyDescent="0.25">
      <c r="A133">
        <v>130</v>
      </c>
      <c r="B133" s="2">
        <v>206</v>
      </c>
      <c r="C133" s="4">
        <v>3</v>
      </c>
      <c r="D133" s="4">
        <v>2403500</v>
      </c>
    </row>
    <row r="134" spans="1:4" x14ac:dyDescent="0.25">
      <c r="A134">
        <v>131</v>
      </c>
      <c r="B134" s="2">
        <v>187</v>
      </c>
      <c r="C134" s="4">
        <v>1</v>
      </c>
      <c r="D134" s="4">
        <v>2400000</v>
      </c>
    </row>
    <row r="135" spans="1:4" x14ac:dyDescent="0.25">
      <c r="A135">
        <v>132</v>
      </c>
      <c r="B135" s="2">
        <v>222</v>
      </c>
      <c r="C135" s="4">
        <v>1</v>
      </c>
      <c r="D135" s="4">
        <v>2376000</v>
      </c>
    </row>
    <row r="136" spans="1:4" x14ac:dyDescent="0.25">
      <c r="A136">
        <v>133</v>
      </c>
      <c r="B136" s="2">
        <v>245</v>
      </c>
      <c r="C136" s="4">
        <v>1</v>
      </c>
      <c r="D136" s="4">
        <v>2376000</v>
      </c>
    </row>
    <row r="137" spans="1:4" x14ac:dyDescent="0.25">
      <c r="A137">
        <v>134</v>
      </c>
      <c r="B137" s="2">
        <v>99</v>
      </c>
      <c r="C137" s="4">
        <v>4</v>
      </c>
      <c r="D137" s="4">
        <v>2375250</v>
      </c>
    </row>
    <row r="138" spans="1:4" x14ac:dyDescent="0.25">
      <c r="A138">
        <v>135</v>
      </c>
      <c r="B138" s="2">
        <v>128</v>
      </c>
      <c r="C138" s="4">
        <v>4</v>
      </c>
      <c r="D138" s="4">
        <v>2364850</v>
      </c>
    </row>
    <row r="139" spans="1:4" x14ac:dyDescent="0.25">
      <c r="A139">
        <v>136</v>
      </c>
      <c r="B139" s="2">
        <v>19</v>
      </c>
      <c r="C139" s="4">
        <v>3</v>
      </c>
      <c r="D139" s="4">
        <v>2360000</v>
      </c>
    </row>
    <row r="140" spans="1:4" x14ac:dyDescent="0.25">
      <c r="A140">
        <v>137</v>
      </c>
      <c r="B140" s="2">
        <v>159</v>
      </c>
      <c r="C140" s="4">
        <v>4</v>
      </c>
      <c r="D140" s="4">
        <v>2331900</v>
      </c>
    </row>
    <row r="141" spans="1:4" x14ac:dyDescent="0.25">
      <c r="A141">
        <v>138</v>
      </c>
      <c r="B141" s="2">
        <v>229</v>
      </c>
      <c r="C141" s="4">
        <v>5</v>
      </c>
      <c r="D141" s="4">
        <v>2327300</v>
      </c>
    </row>
    <row r="142" spans="1:4" x14ac:dyDescent="0.25">
      <c r="A142">
        <v>139</v>
      </c>
      <c r="B142" s="2">
        <v>108</v>
      </c>
      <c r="C142" s="4">
        <v>5</v>
      </c>
      <c r="D142" s="4">
        <v>2293250</v>
      </c>
    </row>
    <row r="143" spans="1:4" x14ac:dyDescent="0.25">
      <c r="A143">
        <v>140</v>
      </c>
      <c r="B143" s="2">
        <v>119</v>
      </c>
      <c r="C143" s="4">
        <v>3</v>
      </c>
      <c r="D143" s="4">
        <v>2284500</v>
      </c>
    </row>
    <row r="144" spans="1:4" x14ac:dyDescent="0.25">
      <c r="A144">
        <v>141</v>
      </c>
      <c r="B144" s="2">
        <v>42</v>
      </c>
      <c r="C144" s="4">
        <v>1</v>
      </c>
      <c r="D144" s="4">
        <v>2280000</v>
      </c>
    </row>
    <row r="145" spans="1:4" x14ac:dyDescent="0.25">
      <c r="A145">
        <v>142</v>
      </c>
      <c r="B145" s="2">
        <v>25</v>
      </c>
      <c r="C145" s="4">
        <v>4</v>
      </c>
      <c r="D145" s="4">
        <v>2260630</v>
      </c>
    </row>
    <row r="146" spans="1:4" x14ac:dyDescent="0.25">
      <c r="A146">
        <v>143</v>
      </c>
      <c r="B146" s="2">
        <v>1</v>
      </c>
      <c r="C146" s="4">
        <v>2</v>
      </c>
      <c r="D146" s="4">
        <v>2260000</v>
      </c>
    </row>
    <row r="147" spans="1:4" x14ac:dyDescent="0.25">
      <c r="A147">
        <v>144</v>
      </c>
      <c r="B147" s="2">
        <v>7</v>
      </c>
      <c r="C147" s="4">
        <v>3</v>
      </c>
      <c r="D147" s="4">
        <v>2255000</v>
      </c>
    </row>
    <row r="148" spans="1:4" x14ac:dyDescent="0.25">
      <c r="A148">
        <v>145</v>
      </c>
      <c r="B148" s="2">
        <v>56</v>
      </c>
      <c r="C148" s="4">
        <v>1</v>
      </c>
      <c r="D148" s="4">
        <v>2250000</v>
      </c>
    </row>
    <row r="149" spans="1:4" x14ac:dyDescent="0.25">
      <c r="A149">
        <v>146</v>
      </c>
      <c r="B149" s="2">
        <v>156</v>
      </c>
      <c r="C149" s="4">
        <v>1</v>
      </c>
      <c r="D149" s="4">
        <v>2250000</v>
      </c>
    </row>
    <row r="150" spans="1:4" x14ac:dyDescent="0.25">
      <c r="A150">
        <v>147</v>
      </c>
      <c r="B150" s="2">
        <v>59</v>
      </c>
      <c r="C150" s="4">
        <v>1</v>
      </c>
      <c r="D150" s="4">
        <v>2250000</v>
      </c>
    </row>
    <row r="151" spans="1:4" x14ac:dyDescent="0.25">
      <c r="A151">
        <v>148</v>
      </c>
      <c r="B151" s="2">
        <v>21</v>
      </c>
      <c r="C151" s="4">
        <v>2</v>
      </c>
      <c r="D151" s="4">
        <v>2212500</v>
      </c>
    </row>
    <row r="152" spans="1:4" x14ac:dyDescent="0.25">
      <c r="A152">
        <v>149</v>
      </c>
      <c r="B152" s="2">
        <v>110</v>
      </c>
      <c r="C152" s="4">
        <v>4</v>
      </c>
      <c r="D152" s="4">
        <v>2189760</v>
      </c>
    </row>
    <row r="153" spans="1:4" x14ac:dyDescent="0.25">
      <c r="A153">
        <v>150</v>
      </c>
      <c r="B153" s="2">
        <v>28</v>
      </c>
      <c r="C153" s="4">
        <v>2</v>
      </c>
      <c r="D153" s="4">
        <v>2173500</v>
      </c>
    </row>
    <row r="154" spans="1:4" x14ac:dyDescent="0.25">
      <c r="A154">
        <v>151</v>
      </c>
      <c r="B154" s="2">
        <v>78</v>
      </c>
      <c r="C154" s="4">
        <v>3</v>
      </c>
      <c r="D154" s="4">
        <v>2165000</v>
      </c>
    </row>
    <row r="155" spans="1:4" x14ac:dyDescent="0.25">
      <c r="A155">
        <v>152</v>
      </c>
      <c r="B155" s="2">
        <v>125</v>
      </c>
      <c r="C155" s="4">
        <v>5</v>
      </c>
      <c r="D155" s="4">
        <v>2145700</v>
      </c>
    </row>
    <row r="156" spans="1:4" x14ac:dyDescent="0.25">
      <c r="A156">
        <v>153</v>
      </c>
      <c r="B156" s="2">
        <v>47</v>
      </c>
      <c r="C156" s="4">
        <v>3</v>
      </c>
      <c r="D156" s="4">
        <v>2130000</v>
      </c>
    </row>
    <row r="157" spans="1:4" x14ac:dyDescent="0.25">
      <c r="A157">
        <v>154</v>
      </c>
      <c r="B157" s="2">
        <v>172</v>
      </c>
      <c r="C157" s="4">
        <v>3</v>
      </c>
      <c r="D157" s="4">
        <v>2117750</v>
      </c>
    </row>
    <row r="158" spans="1:4" x14ac:dyDescent="0.25">
      <c r="A158">
        <v>155</v>
      </c>
      <c r="B158" s="2">
        <v>217</v>
      </c>
      <c r="C158" s="4">
        <v>2</v>
      </c>
      <c r="D158" s="4">
        <v>2113650</v>
      </c>
    </row>
    <row r="159" spans="1:4" x14ac:dyDescent="0.25">
      <c r="A159">
        <v>156</v>
      </c>
      <c r="B159" s="2">
        <v>45</v>
      </c>
      <c r="C159" s="4">
        <v>4</v>
      </c>
      <c r="D159" s="4">
        <v>2104400</v>
      </c>
    </row>
    <row r="160" spans="1:4" x14ac:dyDescent="0.25">
      <c r="A160">
        <v>157</v>
      </c>
      <c r="B160" s="2">
        <v>267</v>
      </c>
      <c r="C160" s="4">
        <v>5</v>
      </c>
      <c r="D160" s="4">
        <v>2103200</v>
      </c>
    </row>
    <row r="161" spans="1:4" x14ac:dyDescent="0.25">
      <c r="A161">
        <v>158</v>
      </c>
      <c r="B161" s="2">
        <v>272</v>
      </c>
      <c r="C161" s="4">
        <v>5</v>
      </c>
      <c r="D161" s="4">
        <v>2102500</v>
      </c>
    </row>
    <row r="162" spans="1:4" x14ac:dyDescent="0.25">
      <c r="A162">
        <v>159</v>
      </c>
      <c r="B162" s="2">
        <v>215</v>
      </c>
      <c r="C162" s="4">
        <v>3</v>
      </c>
      <c r="D162" s="4">
        <v>2087250</v>
      </c>
    </row>
    <row r="163" spans="1:4" x14ac:dyDescent="0.25">
      <c r="A163">
        <v>160</v>
      </c>
      <c r="B163" s="2">
        <v>253</v>
      </c>
      <c r="C163" s="4">
        <v>3</v>
      </c>
      <c r="D163" s="4">
        <v>2031400</v>
      </c>
    </row>
    <row r="164" spans="1:4" x14ac:dyDescent="0.25">
      <c r="A164">
        <v>161</v>
      </c>
      <c r="B164" s="2">
        <v>246</v>
      </c>
      <c r="C164" s="4">
        <v>2</v>
      </c>
      <c r="D164" s="4">
        <v>2017500</v>
      </c>
    </row>
    <row r="165" spans="1:4" x14ac:dyDescent="0.25">
      <c r="A165">
        <v>162</v>
      </c>
      <c r="B165" s="2">
        <v>131</v>
      </c>
      <c r="C165" s="4">
        <v>2</v>
      </c>
      <c r="D165" s="4">
        <v>1995000</v>
      </c>
    </row>
    <row r="166" spans="1:4" x14ac:dyDescent="0.25">
      <c r="A166">
        <v>163</v>
      </c>
      <c r="B166" s="2">
        <v>257</v>
      </c>
      <c r="C166" s="4">
        <v>2</v>
      </c>
      <c r="D166" s="4">
        <v>1994550</v>
      </c>
    </row>
    <row r="167" spans="1:4" x14ac:dyDescent="0.25">
      <c r="A167">
        <v>164</v>
      </c>
      <c r="B167" s="2">
        <v>168</v>
      </c>
      <c r="C167" s="4">
        <v>2</v>
      </c>
      <c r="D167" s="4">
        <v>1993000</v>
      </c>
    </row>
    <row r="168" spans="1:4" x14ac:dyDescent="0.25">
      <c r="A168">
        <v>165</v>
      </c>
      <c r="B168" s="2">
        <v>142</v>
      </c>
      <c r="C168" s="4">
        <v>5</v>
      </c>
      <c r="D168" s="4">
        <v>1942130</v>
      </c>
    </row>
    <row r="169" spans="1:4" x14ac:dyDescent="0.25">
      <c r="A169">
        <v>166</v>
      </c>
      <c r="B169" s="2">
        <v>200</v>
      </c>
      <c r="C169" s="4">
        <v>1</v>
      </c>
      <c r="D169" s="4">
        <v>1930500</v>
      </c>
    </row>
    <row r="170" spans="1:4" x14ac:dyDescent="0.25">
      <c r="A170">
        <v>167</v>
      </c>
      <c r="B170" s="2">
        <v>89</v>
      </c>
      <c r="C170" s="4">
        <v>2</v>
      </c>
      <c r="D170" s="4">
        <v>1926750</v>
      </c>
    </row>
    <row r="171" spans="1:4" x14ac:dyDescent="0.25">
      <c r="A171">
        <v>168</v>
      </c>
      <c r="B171" s="2">
        <v>221</v>
      </c>
      <c r="C171" s="4">
        <v>8</v>
      </c>
      <c r="D171" s="4">
        <v>1899000</v>
      </c>
    </row>
    <row r="172" spans="1:4" x14ac:dyDescent="0.25">
      <c r="A172">
        <v>169</v>
      </c>
      <c r="B172" s="2">
        <v>2</v>
      </c>
      <c r="C172" s="4">
        <v>4</v>
      </c>
      <c r="D172" s="4">
        <v>1825680</v>
      </c>
    </row>
    <row r="173" spans="1:4" x14ac:dyDescent="0.25">
      <c r="A173">
        <v>170</v>
      </c>
      <c r="B173" s="2">
        <v>23</v>
      </c>
      <c r="C173" s="4">
        <v>4</v>
      </c>
      <c r="D173" s="4">
        <v>1723510</v>
      </c>
    </row>
    <row r="174" spans="1:4" x14ac:dyDescent="0.25">
      <c r="A174">
        <v>171</v>
      </c>
      <c r="B174" s="2">
        <v>30</v>
      </c>
      <c r="C174" s="4">
        <v>5</v>
      </c>
      <c r="D174" s="4">
        <v>1722350</v>
      </c>
    </row>
    <row r="175" spans="1:4" x14ac:dyDescent="0.25">
      <c r="A175">
        <v>172</v>
      </c>
      <c r="B175" s="2">
        <v>149</v>
      </c>
      <c r="C175" s="4">
        <v>3</v>
      </c>
      <c r="D175" s="4">
        <v>1672250</v>
      </c>
    </row>
    <row r="176" spans="1:4" x14ac:dyDescent="0.25">
      <c r="A176">
        <v>173</v>
      </c>
      <c r="B176" s="2">
        <v>53</v>
      </c>
      <c r="C176" s="4">
        <v>4</v>
      </c>
      <c r="D176" s="4">
        <v>1664000</v>
      </c>
    </row>
    <row r="177" spans="1:4" x14ac:dyDescent="0.25">
      <c r="A177">
        <v>174</v>
      </c>
      <c r="B177" s="2">
        <v>262</v>
      </c>
      <c r="C177" s="4">
        <v>3</v>
      </c>
      <c r="D177" s="4">
        <v>1663450</v>
      </c>
    </row>
    <row r="178" spans="1:4" x14ac:dyDescent="0.25">
      <c r="A178">
        <v>175</v>
      </c>
      <c r="B178" s="2">
        <v>150</v>
      </c>
      <c r="C178" s="4">
        <v>4</v>
      </c>
      <c r="D178" s="4">
        <v>1622850</v>
      </c>
    </row>
    <row r="179" spans="1:4" x14ac:dyDescent="0.25">
      <c r="A179">
        <v>176</v>
      </c>
      <c r="B179" s="2">
        <v>116</v>
      </c>
      <c r="C179" s="4">
        <v>5</v>
      </c>
      <c r="D179" s="4">
        <v>1621700</v>
      </c>
    </row>
    <row r="180" spans="1:4" x14ac:dyDescent="0.25">
      <c r="A180">
        <v>177</v>
      </c>
      <c r="B180" s="2">
        <v>85</v>
      </c>
      <c r="C180" s="4">
        <v>3</v>
      </c>
      <c r="D180" s="4">
        <v>1595000</v>
      </c>
    </row>
    <row r="181" spans="1:4" x14ac:dyDescent="0.25">
      <c r="A181">
        <v>178</v>
      </c>
      <c r="B181" s="2">
        <v>144</v>
      </c>
      <c r="C181" s="4">
        <v>4</v>
      </c>
      <c r="D181" s="4">
        <v>1592500</v>
      </c>
    </row>
    <row r="182" spans="1:4" x14ac:dyDescent="0.25">
      <c r="A182">
        <v>179</v>
      </c>
      <c r="B182" s="2">
        <v>48</v>
      </c>
      <c r="C182" s="4">
        <v>1</v>
      </c>
      <c r="D182" s="4">
        <v>1584000</v>
      </c>
    </row>
    <row r="183" spans="1:4" x14ac:dyDescent="0.25">
      <c r="A183">
        <v>180</v>
      </c>
      <c r="B183" s="2">
        <v>192</v>
      </c>
      <c r="C183" s="4">
        <v>5</v>
      </c>
      <c r="D183" s="4">
        <v>1580650</v>
      </c>
    </row>
    <row r="184" spans="1:4" x14ac:dyDescent="0.25">
      <c r="A184">
        <v>181</v>
      </c>
      <c r="B184" s="2">
        <v>106</v>
      </c>
      <c r="C184" s="4">
        <v>5</v>
      </c>
      <c r="D184" s="4">
        <v>1568250</v>
      </c>
    </row>
    <row r="185" spans="1:4" x14ac:dyDescent="0.25">
      <c r="A185">
        <v>182</v>
      </c>
      <c r="B185" s="2">
        <v>13</v>
      </c>
      <c r="C185" s="4">
        <v>2</v>
      </c>
      <c r="D185" s="4">
        <v>1554450</v>
      </c>
    </row>
    <row r="186" spans="1:4" x14ac:dyDescent="0.25">
      <c r="A186">
        <v>183</v>
      </c>
      <c r="B186" s="2">
        <v>88</v>
      </c>
      <c r="C186" s="4">
        <v>2</v>
      </c>
      <c r="D186" s="4">
        <v>1535640</v>
      </c>
    </row>
    <row r="187" spans="1:4" x14ac:dyDescent="0.25">
      <c r="A187">
        <v>184</v>
      </c>
      <c r="B187" s="2">
        <v>60</v>
      </c>
      <c r="C187" s="4">
        <v>4</v>
      </c>
      <c r="D187" s="4">
        <v>1534500</v>
      </c>
    </row>
    <row r="188" spans="1:4" x14ac:dyDescent="0.25">
      <c r="A188">
        <v>185</v>
      </c>
      <c r="B188" s="2">
        <v>109</v>
      </c>
      <c r="C188" s="4">
        <v>5</v>
      </c>
      <c r="D188" s="4">
        <v>1524500</v>
      </c>
    </row>
    <row r="189" spans="1:4" x14ac:dyDescent="0.25">
      <c r="A189">
        <v>186</v>
      </c>
      <c r="B189" s="2">
        <v>211</v>
      </c>
      <c r="C189" s="4">
        <v>4</v>
      </c>
      <c r="D189" s="4">
        <v>1511250</v>
      </c>
    </row>
    <row r="190" spans="1:4" x14ac:dyDescent="0.25">
      <c r="A190">
        <v>187</v>
      </c>
      <c r="B190" s="2">
        <v>146</v>
      </c>
      <c r="C190" s="4">
        <v>3</v>
      </c>
      <c r="D190" s="4">
        <v>1506750</v>
      </c>
    </row>
    <row r="191" spans="1:4" x14ac:dyDescent="0.25">
      <c r="A191">
        <v>188</v>
      </c>
      <c r="B191" s="2">
        <v>219</v>
      </c>
      <c r="C191" s="4">
        <v>3</v>
      </c>
      <c r="D191" s="4">
        <v>1503500</v>
      </c>
    </row>
    <row r="192" spans="1:4" x14ac:dyDescent="0.25">
      <c r="A192">
        <v>189</v>
      </c>
      <c r="B192" s="2">
        <v>120</v>
      </c>
      <c r="C192" s="4">
        <v>1</v>
      </c>
      <c r="D192" s="4">
        <v>1500000</v>
      </c>
    </row>
    <row r="193" spans="1:4" x14ac:dyDescent="0.25">
      <c r="A193">
        <v>190</v>
      </c>
      <c r="B193" s="2">
        <v>165</v>
      </c>
      <c r="C193" s="4">
        <v>4</v>
      </c>
      <c r="D193" s="4">
        <v>1498110</v>
      </c>
    </row>
    <row r="194" spans="1:4" x14ac:dyDescent="0.25">
      <c r="A194">
        <v>191</v>
      </c>
      <c r="B194" s="2">
        <v>49</v>
      </c>
      <c r="C194" s="4">
        <v>2</v>
      </c>
      <c r="D194" s="4">
        <v>1475000</v>
      </c>
    </row>
    <row r="195" spans="1:4" x14ac:dyDescent="0.25">
      <c r="A195">
        <v>192</v>
      </c>
      <c r="B195" s="2">
        <v>238</v>
      </c>
      <c r="C195" s="4">
        <v>6</v>
      </c>
      <c r="D195" s="4">
        <v>1469380</v>
      </c>
    </row>
    <row r="196" spans="1:4" x14ac:dyDescent="0.25">
      <c r="A196">
        <v>193</v>
      </c>
      <c r="B196" s="2">
        <v>136</v>
      </c>
      <c r="C196" s="4">
        <v>5</v>
      </c>
      <c r="D196" s="4">
        <v>1447130</v>
      </c>
    </row>
    <row r="197" spans="1:4" x14ac:dyDescent="0.25">
      <c r="A197">
        <v>194</v>
      </c>
      <c r="B197" s="2">
        <v>41</v>
      </c>
      <c r="C197" s="4">
        <v>2</v>
      </c>
      <c r="D197" s="4">
        <v>1439250</v>
      </c>
    </row>
    <row r="198" spans="1:4" x14ac:dyDescent="0.25">
      <c r="A198">
        <v>195</v>
      </c>
      <c r="B198" s="2">
        <v>236</v>
      </c>
      <c r="C198" s="4">
        <v>2</v>
      </c>
      <c r="D198" s="4">
        <v>1407500</v>
      </c>
    </row>
    <row r="199" spans="1:4" x14ac:dyDescent="0.25">
      <c r="A199">
        <v>196</v>
      </c>
      <c r="B199" s="2">
        <v>261</v>
      </c>
      <c r="C199" s="4">
        <v>3</v>
      </c>
      <c r="D199" s="4">
        <v>1398000</v>
      </c>
    </row>
    <row r="200" spans="1:4" x14ac:dyDescent="0.25">
      <c r="A200">
        <v>197</v>
      </c>
      <c r="B200" s="2">
        <v>197</v>
      </c>
      <c r="C200" s="4">
        <v>2</v>
      </c>
      <c r="D200" s="4">
        <v>1393000</v>
      </c>
    </row>
    <row r="201" spans="1:4" x14ac:dyDescent="0.25">
      <c r="A201">
        <v>198</v>
      </c>
      <c r="B201" s="2">
        <v>176</v>
      </c>
      <c r="C201" s="4">
        <v>3</v>
      </c>
      <c r="D201" s="4">
        <v>1382000</v>
      </c>
    </row>
    <row r="202" spans="1:4" x14ac:dyDescent="0.25">
      <c r="A202">
        <v>199</v>
      </c>
      <c r="B202" s="2">
        <v>183</v>
      </c>
      <c r="C202" s="4">
        <v>2</v>
      </c>
      <c r="D202" s="4">
        <v>1372800</v>
      </c>
    </row>
    <row r="203" spans="1:4" x14ac:dyDescent="0.25">
      <c r="A203">
        <v>200</v>
      </c>
      <c r="B203" s="2">
        <v>147</v>
      </c>
      <c r="C203" s="4">
        <v>2</v>
      </c>
      <c r="D203" s="4">
        <v>1366500</v>
      </c>
    </row>
    <row r="204" spans="1:4" x14ac:dyDescent="0.25">
      <c r="A204">
        <v>201</v>
      </c>
      <c r="B204" s="2">
        <v>4</v>
      </c>
      <c r="C204" s="4">
        <v>3</v>
      </c>
      <c r="D204" s="4">
        <v>1361400</v>
      </c>
    </row>
    <row r="205" spans="1:4" x14ac:dyDescent="0.25">
      <c r="A205">
        <v>202</v>
      </c>
      <c r="B205" s="2">
        <v>34</v>
      </c>
      <c r="C205" s="4">
        <v>2</v>
      </c>
      <c r="D205" s="4">
        <v>1358250</v>
      </c>
    </row>
    <row r="206" spans="1:4" x14ac:dyDescent="0.25">
      <c r="A206">
        <v>203</v>
      </c>
      <c r="B206" s="2">
        <v>174</v>
      </c>
      <c r="C206" s="4">
        <v>2</v>
      </c>
      <c r="D206" s="4">
        <v>1336000</v>
      </c>
    </row>
    <row r="207" spans="1:4" x14ac:dyDescent="0.25">
      <c r="A207">
        <v>204</v>
      </c>
      <c r="B207" s="2">
        <v>173</v>
      </c>
      <c r="C207" s="4">
        <v>3</v>
      </c>
      <c r="D207" s="4">
        <v>1327150</v>
      </c>
    </row>
    <row r="208" spans="1:4" x14ac:dyDescent="0.25">
      <c r="A208">
        <v>205</v>
      </c>
      <c r="B208" s="2">
        <v>112</v>
      </c>
      <c r="C208" s="4">
        <v>3</v>
      </c>
      <c r="D208" s="4">
        <v>1265000</v>
      </c>
    </row>
    <row r="209" spans="1:4" x14ac:dyDescent="0.25">
      <c r="A209">
        <v>206</v>
      </c>
      <c r="B209" s="2">
        <v>190</v>
      </c>
      <c r="C209" s="4">
        <v>2</v>
      </c>
      <c r="D209" s="4">
        <v>1258750</v>
      </c>
    </row>
    <row r="210" spans="1:4" x14ac:dyDescent="0.25">
      <c r="A210">
        <v>207</v>
      </c>
      <c r="B210" s="2">
        <v>17</v>
      </c>
      <c r="C210" s="4">
        <v>3</v>
      </c>
      <c r="D210" s="4">
        <v>1249500</v>
      </c>
    </row>
    <row r="211" spans="1:4" x14ac:dyDescent="0.25">
      <c r="A211">
        <v>208</v>
      </c>
      <c r="B211" s="2">
        <v>3</v>
      </c>
      <c r="C211" s="4">
        <v>2</v>
      </c>
      <c r="D211" s="4">
        <v>1245500</v>
      </c>
    </row>
    <row r="212" spans="1:4" x14ac:dyDescent="0.25">
      <c r="A212">
        <v>209</v>
      </c>
      <c r="B212" s="2">
        <v>62</v>
      </c>
      <c r="C212" s="4">
        <v>5</v>
      </c>
      <c r="D212" s="4">
        <v>1198780</v>
      </c>
    </row>
    <row r="213" spans="1:4" x14ac:dyDescent="0.25">
      <c r="A213">
        <v>210</v>
      </c>
      <c r="B213" s="2">
        <v>233</v>
      </c>
      <c r="C213" s="4">
        <v>2</v>
      </c>
      <c r="D213" s="4">
        <v>1127500</v>
      </c>
    </row>
    <row r="214" spans="1:4" x14ac:dyDescent="0.25">
      <c r="A214">
        <v>211</v>
      </c>
      <c r="B214" s="2">
        <v>54</v>
      </c>
      <c r="C214" s="4">
        <v>2</v>
      </c>
      <c r="D214" s="4">
        <v>1120500</v>
      </c>
    </row>
    <row r="215" spans="1:4" x14ac:dyDescent="0.25">
      <c r="A215">
        <v>212</v>
      </c>
      <c r="B215" s="2">
        <v>51</v>
      </c>
      <c r="C215" s="4">
        <v>3</v>
      </c>
      <c r="D215" s="4">
        <v>1104350</v>
      </c>
    </row>
    <row r="216" spans="1:4" x14ac:dyDescent="0.25">
      <c r="A216">
        <v>213</v>
      </c>
      <c r="B216" s="2">
        <v>27</v>
      </c>
      <c r="C216" s="4">
        <v>4</v>
      </c>
      <c r="D216" s="4">
        <v>1043890</v>
      </c>
    </row>
    <row r="217" spans="1:4" x14ac:dyDescent="0.25">
      <c r="A217">
        <v>214</v>
      </c>
      <c r="B217" s="2">
        <v>11</v>
      </c>
      <c r="C217" s="4">
        <v>4</v>
      </c>
      <c r="D217" s="4">
        <v>960000</v>
      </c>
    </row>
    <row r="218" spans="1:4" x14ac:dyDescent="0.25">
      <c r="A218">
        <v>215</v>
      </c>
      <c r="B218" s="2">
        <v>115</v>
      </c>
      <c r="C218" s="4">
        <v>4</v>
      </c>
      <c r="D218" s="4">
        <v>915650</v>
      </c>
    </row>
    <row r="219" spans="1:4" x14ac:dyDescent="0.25">
      <c r="A219">
        <v>216</v>
      </c>
      <c r="B219" s="2">
        <v>151</v>
      </c>
      <c r="C219" s="4">
        <v>2</v>
      </c>
      <c r="D219" s="4">
        <v>914250</v>
      </c>
    </row>
    <row r="220" spans="1:4" x14ac:dyDescent="0.25">
      <c r="A220">
        <v>217</v>
      </c>
      <c r="B220" s="2">
        <v>271</v>
      </c>
      <c r="C220" s="4">
        <v>4</v>
      </c>
      <c r="D220" s="4">
        <v>909750</v>
      </c>
    </row>
    <row r="221" spans="1:4" x14ac:dyDescent="0.25">
      <c r="A221">
        <v>218</v>
      </c>
      <c r="B221" s="2">
        <v>39</v>
      </c>
      <c r="C221" s="4">
        <v>2</v>
      </c>
      <c r="D221" s="4">
        <v>899250</v>
      </c>
    </row>
    <row r="222" spans="1:4" x14ac:dyDescent="0.25">
      <c r="A222">
        <v>219</v>
      </c>
      <c r="B222" s="2">
        <v>124</v>
      </c>
      <c r="C222" s="4">
        <v>2</v>
      </c>
      <c r="D222" s="4">
        <v>865000</v>
      </c>
    </row>
    <row r="223" spans="1:4" x14ac:dyDescent="0.25">
      <c r="A223">
        <v>220</v>
      </c>
      <c r="B223" s="2">
        <v>230</v>
      </c>
      <c r="C223" s="4">
        <v>4</v>
      </c>
      <c r="D223" s="4">
        <v>860000</v>
      </c>
    </row>
    <row r="224" spans="1:4" x14ac:dyDescent="0.25">
      <c r="A224">
        <v>221</v>
      </c>
      <c r="B224" s="2">
        <v>140</v>
      </c>
      <c r="C224" s="4">
        <v>1</v>
      </c>
      <c r="D224" s="4">
        <v>855000</v>
      </c>
    </row>
    <row r="225" spans="1:4" x14ac:dyDescent="0.25">
      <c r="A225">
        <v>222</v>
      </c>
      <c r="B225" s="2">
        <v>251</v>
      </c>
      <c r="C225" s="4">
        <v>4</v>
      </c>
      <c r="D225" s="4">
        <v>844750</v>
      </c>
    </row>
    <row r="226" spans="1:4" x14ac:dyDescent="0.25">
      <c r="A226">
        <v>223</v>
      </c>
      <c r="B226" s="2">
        <v>143</v>
      </c>
      <c r="C226" s="4">
        <v>2</v>
      </c>
      <c r="D226" s="4">
        <v>835000</v>
      </c>
    </row>
    <row r="227" spans="1:4" x14ac:dyDescent="0.25">
      <c r="A227">
        <v>224</v>
      </c>
      <c r="B227" s="2">
        <v>199</v>
      </c>
      <c r="C227" s="4">
        <v>2</v>
      </c>
      <c r="D227" s="4">
        <v>810000</v>
      </c>
    </row>
    <row r="228" spans="1:4" x14ac:dyDescent="0.25">
      <c r="A228">
        <v>225</v>
      </c>
      <c r="B228" s="2">
        <v>213</v>
      </c>
      <c r="C228" s="4">
        <v>4</v>
      </c>
      <c r="D228" s="4">
        <v>766950</v>
      </c>
    </row>
    <row r="229" spans="1:4" x14ac:dyDescent="0.25">
      <c r="A229">
        <v>226</v>
      </c>
      <c r="B229" s="2">
        <v>203</v>
      </c>
      <c r="C229" s="4">
        <v>2</v>
      </c>
      <c r="D229" s="4">
        <v>765000</v>
      </c>
    </row>
    <row r="230" spans="1:4" x14ac:dyDescent="0.25">
      <c r="A230">
        <v>227</v>
      </c>
      <c r="B230" s="2">
        <v>235</v>
      </c>
      <c r="C230" s="4">
        <v>1</v>
      </c>
      <c r="D230" s="4">
        <v>760000</v>
      </c>
    </row>
    <row r="231" spans="1:4" x14ac:dyDescent="0.25">
      <c r="A231">
        <v>228</v>
      </c>
      <c r="B231" s="2">
        <v>15</v>
      </c>
      <c r="C231" s="4">
        <v>3</v>
      </c>
      <c r="D231" s="4">
        <v>749200</v>
      </c>
    </row>
    <row r="232" spans="1:4" x14ac:dyDescent="0.25">
      <c r="A232">
        <v>229</v>
      </c>
      <c r="B232" s="2">
        <v>239</v>
      </c>
      <c r="C232" s="4">
        <v>3</v>
      </c>
      <c r="D232" s="4">
        <v>738610</v>
      </c>
    </row>
    <row r="233" spans="1:4" x14ac:dyDescent="0.25">
      <c r="A233">
        <v>230</v>
      </c>
      <c r="B233" s="2">
        <v>248</v>
      </c>
      <c r="C233" s="4">
        <v>2</v>
      </c>
      <c r="D233" s="4">
        <v>737500</v>
      </c>
    </row>
    <row r="234" spans="1:4" x14ac:dyDescent="0.25">
      <c r="A234">
        <v>231</v>
      </c>
      <c r="B234" s="2">
        <v>250</v>
      </c>
      <c r="C234" s="4">
        <v>2</v>
      </c>
      <c r="D234" s="4">
        <v>715000</v>
      </c>
    </row>
    <row r="235" spans="1:4" x14ac:dyDescent="0.25">
      <c r="A235">
        <v>232</v>
      </c>
      <c r="B235" s="2">
        <v>242</v>
      </c>
      <c r="C235" s="4">
        <v>1</v>
      </c>
      <c r="D235" s="4">
        <v>712500</v>
      </c>
    </row>
    <row r="236" spans="1:4" x14ac:dyDescent="0.25">
      <c r="A236">
        <v>233</v>
      </c>
      <c r="B236" s="2">
        <v>280</v>
      </c>
      <c r="C236" s="4">
        <v>1</v>
      </c>
      <c r="D236" s="4">
        <v>700000</v>
      </c>
    </row>
    <row r="237" spans="1:4" x14ac:dyDescent="0.25">
      <c r="A237">
        <v>234</v>
      </c>
      <c r="B237" s="2">
        <v>223</v>
      </c>
      <c r="C237" s="4">
        <v>1</v>
      </c>
      <c r="D237" s="4">
        <v>665000</v>
      </c>
    </row>
    <row r="238" spans="1:4" x14ac:dyDescent="0.25">
      <c r="A238">
        <v>235</v>
      </c>
      <c r="B238" s="2">
        <v>182</v>
      </c>
      <c r="C238" s="4">
        <v>3</v>
      </c>
      <c r="D238" s="4">
        <v>553500</v>
      </c>
    </row>
    <row r="239" spans="1:4" x14ac:dyDescent="0.25">
      <c r="A239">
        <v>236</v>
      </c>
      <c r="B239" s="2">
        <v>105</v>
      </c>
      <c r="C239" s="4">
        <v>3</v>
      </c>
      <c r="D239" s="4">
        <v>552750</v>
      </c>
    </row>
    <row r="240" spans="1:4" x14ac:dyDescent="0.25">
      <c r="A240">
        <v>237</v>
      </c>
      <c r="B240" s="2">
        <v>226</v>
      </c>
      <c r="C240" s="4">
        <v>2</v>
      </c>
      <c r="D240" s="4">
        <v>462500</v>
      </c>
    </row>
    <row r="241" spans="1:4" x14ac:dyDescent="0.25">
      <c r="A241">
        <v>238</v>
      </c>
      <c r="B241" s="2">
        <v>201</v>
      </c>
      <c r="C241" s="4">
        <v>5</v>
      </c>
      <c r="D241" s="4">
        <v>295140</v>
      </c>
    </row>
    <row r="242" spans="1:4" x14ac:dyDescent="0.25">
      <c r="A242">
        <v>239</v>
      </c>
      <c r="B242" s="2">
        <v>80</v>
      </c>
      <c r="C242" s="4">
        <v>3</v>
      </c>
      <c r="D242" s="4">
        <v>283250</v>
      </c>
    </row>
    <row r="243" spans="1:4" x14ac:dyDescent="0.25">
      <c r="A243">
        <v>240</v>
      </c>
      <c r="B243" s="2">
        <v>276</v>
      </c>
      <c r="C243" s="4">
        <v>2</v>
      </c>
      <c r="D243" s="4">
        <v>268350</v>
      </c>
    </row>
    <row r="244" spans="1:4" x14ac:dyDescent="0.25">
      <c r="A244">
        <v>241</v>
      </c>
      <c r="B244" s="2">
        <v>33</v>
      </c>
      <c r="C244" s="4">
        <v>3</v>
      </c>
      <c r="D244" s="4">
        <v>235000</v>
      </c>
    </row>
    <row r="245" spans="1:4" x14ac:dyDescent="0.25">
      <c r="A245">
        <v>242</v>
      </c>
      <c r="B245" s="2">
        <v>8</v>
      </c>
      <c r="C245" s="4">
        <v>3</v>
      </c>
      <c r="D245" s="4">
        <v>235000</v>
      </c>
    </row>
    <row r="246" spans="1:4" x14ac:dyDescent="0.25">
      <c r="A246">
        <v>243</v>
      </c>
      <c r="B246" s="2">
        <v>195</v>
      </c>
      <c r="C246" s="4">
        <v>3</v>
      </c>
      <c r="D246" s="4">
        <v>233760</v>
      </c>
    </row>
    <row r="247" spans="1:4" x14ac:dyDescent="0.25">
      <c r="A247">
        <v>244</v>
      </c>
      <c r="B247" s="2">
        <v>117</v>
      </c>
      <c r="C247" s="4">
        <v>2</v>
      </c>
      <c r="D247" s="4">
        <v>220000</v>
      </c>
    </row>
    <row r="248" spans="1:4" x14ac:dyDescent="0.25">
      <c r="A248">
        <v>245</v>
      </c>
      <c r="B248" s="2">
        <v>181</v>
      </c>
      <c r="C248" s="4">
        <v>2</v>
      </c>
      <c r="D248" s="4">
        <v>206100</v>
      </c>
    </row>
    <row r="249" spans="1:4" x14ac:dyDescent="0.25">
      <c r="A249">
        <v>246</v>
      </c>
      <c r="B249" s="2">
        <v>260</v>
      </c>
      <c r="C249" s="4">
        <v>3</v>
      </c>
      <c r="D249" s="4">
        <v>192750</v>
      </c>
    </row>
    <row r="250" spans="1:4" x14ac:dyDescent="0.25">
      <c r="A250">
        <v>247</v>
      </c>
      <c r="B250" s="2">
        <v>46</v>
      </c>
      <c r="C250" s="4">
        <v>3</v>
      </c>
      <c r="D250" s="4">
        <v>187200</v>
      </c>
    </row>
    <row r="251" spans="1:4" x14ac:dyDescent="0.25">
      <c r="A251">
        <v>248</v>
      </c>
      <c r="B251" s="2">
        <v>92</v>
      </c>
      <c r="C251" s="4">
        <v>3</v>
      </c>
      <c r="D251" s="4">
        <v>185250</v>
      </c>
    </row>
    <row r="252" spans="1:4" x14ac:dyDescent="0.25">
      <c r="A252">
        <v>249</v>
      </c>
      <c r="B252" s="2">
        <v>244</v>
      </c>
      <c r="C252" s="4">
        <v>4</v>
      </c>
      <c r="D252" s="4">
        <v>169880</v>
      </c>
    </row>
    <row r="253" spans="1:4" x14ac:dyDescent="0.25">
      <c r="A253">
        <v>250</v>
      </c>
      <c r="B253" s="2">
        <v>64</v>
      </c>
      <c r="C253" s="4">
        <v>4</v>
      </c>
      <c r="D253" s="4">
        <v>169000</v>
      </c>
    </row>
    <row r="254" spans="1:4" x14ac:dyDescent="0.25">
      <c r="A254">
        <v>251</v>
      </c>
      <c r="B254" s="2">
        <v>161</v>
      </c>
      <c r="C254" s="4">
        <v>2</v>
      </c>
      <c r="D254" s="4">
        <v>164450</v>
      </c>
    </row>
    <row r="255" spans="1:4" x14ac:dyDescent="0.25">
      <c r="A255">
        <v>252</v>
      </c>
      <c r="B255" s="2">
        <v>111</v>
      </c>
      <c r="C255" s="4">
        <v>1</v>
      </c>
      <c r="D255" s="4">
        <v>163350</v>
      </c>
    </row>
    <row r="256" spans="1:4" x14ac:dyDescent="0.25">
      <c r="A256">
        <v>253</v>
      </c>
      <c r="B256" s="2">
        <v>208</v>
      </c>
      <c r="C256" s="4">
        <v>2</v>
      </c>
      <c r="D256" s="4">
        <v>162250</v>
      </c>
    </row>
    <row r="257" spans="1:4" x14ac:dyDescent="0.25">
      <c r="A257">
        <v>254</v>
      </c>
      <c r="B257" s="2">
        <v>29</v>
      </c>
      <c r="C257" s="4">
        <v>2</v>
      </c>
      <c r="D257" s="4">
        <v>130000</v>
      </c>
    </row>
    <row r="258" spans="1:4" x14ac:dyDescent="0.25">
      <c r="A258">
        <v>255</v>
      </c>
      <c r="B258" s="2">
        <v>163</v>
      </c>
      <c r="C258" s="4">
        <v>2</v>
      </c>
      <c r="D258" s="4">
        <v>128760</v>
      </c>
    </row>
    <row r="259" spans="1:4" x14ac:dyDescent="0.25">
      <c r="A259">
        <v>256</v>
      </c>
      <c r="B259" s="2">
        <v>169</v>
      </c>
      <c r="C259" s="4">
        <v>4</v>
      </c>
      <c r="D259" s="4">
        <v>126050</v>
      </c>
    </row>
    <row r="260" spans="1:4" x14ac:dyDescent="0.25">
      <c r="A260">
        <v>257</v>
      </c>
      <c r="B260" s="2">
        <v>224</v>
      </c>
      <c r="C260" s="4">
        <v>2</v>
      </c>
      <c r="D260" s="4">
        <v>118800</v>
      </c>
    </row>
    <row r="261" spans="1:4" x14ac:dyDescent="0.25">
      <c r="A261">
        <v>258</v>
      </c>
      <c r="B261" s="2">
        <v>24</v>
      </c>
      <c r="C261" s="4">
        <v>2</v>
      </c>
      <c r="D261" s="4">
        <v>118750</v>
      </c>
    </row>
    <row r="262" spans="1:4" x14ac:dyDescent="0.25">
      <c r="A262">
        <v>259</v>
      </c>
      <c r="B262" s="2">
        <v>97</v>
      </c>
      <c r="C262" s="4">
        <v>2</v>
      </c>
      <c r="D262" s="4">
        <v>115000</v>
      </c>
    </row>
    <row r="263" spans="1:4" x14ac:dyDescent="0.25">
      <c r="A263">
        <v>260</v>
      </c>
      <c r="B263" s="2">
        <v>134</v>
      </c>
      <c r="C263" s="4">
        <v>1</v>
      </c>
      <c r="D263" s="4">
        <v>105000</v>
      </c>
    </row>
    <row r="264" spans="1:4" x14ac:dyDescent="0.25">
      <c r="A264">
        <v>261</v>
      </c>
      <c r="B264" s="2">
        <v>214</v>
      </c>
      <c r="C264" s="4">
        <v>3</v>
      </c>
      <c r="D264" s="4">
        <v>83900</v>
      </c>
    </row>
    <row r="265" spans="1:4" x14ac:dyDescent="0.25">
      <c r="A265">
        <v>262</v>
      </c>
      <c r="B265" s="2">
        <v>278</v>
      </c>
      <c r="C265" s="4">
        <v>2</v>
      </c>
      <c r="D265" s="4">
        <v>83700</v>
      </c>
    </row>
    <row r="266" spans="1:4" x14ac:dyDescent="0.25">
      <c r="A266">
        <v>263</v>
      </c>
      <c r="B266" s="2">
        <v>31</v>
      </c>
      <c r="C266" s="4">
        <v>2</v>
      </c>
      <c r="D266" s="4">
        <v>80000</v>
      </c>
    </row>
    <row r="267" spans="1:4" x14ac:dyDescent="0.25">
      <c r="A267">
        <v>264</v>
      </c>
      <c r="B267" s="2">
        <v>198</v>
      </c>
      <c r="C267" s="4">
        <v>1</v>
      </c>
      <c r="D267" s="4">
        <v>70000</v>
      </c>
    </row>
    <row r="268" spans="1:4" x14ac:dyDescent="0.25">
      <c r="A268">
        <v>265</v>
      </c>
      <c r="B268" s="2">
        <v>274</v>
      </c>
      <c r="C268" s="4">
        <v>2</v>
      </c>
      <c r="D268" s="4">
        <v>61750</v>
      </c>
    </row>
    <row r="269" spans="1:4" x14ac:dyDescent="0.25">
      <c r="A269">
        <v>266</v>
      </c>
      <c r="B269" s="2">
        <v>73</v>
      </c>
      <c r="C269" s="4">
        <v>1</v>
      </c>
      <c r="D269" s="4">
        <v>54450</v>
      </c>
    </row>
    <row r="270" spans="1:4" x14ac:dyDescent="0.25">
      <c r="A270">
        <v>267</v>
      </c>
      <c r="B270" s="2">
        <v>154</v>
      </c>
      <c r="C270" s="4">
        <v>2</v>
      </c>
      <c r="D270" s="4">
        <v>48760</v>
      </c>
    </row>
    <row r="271" spans="1:4" x14ac:dyDescent="0.25">
      <c r="A271">
        <v>268</v>
      </c>
      <c r="B271" s="2">
        <v>103</v>
      </c>
      <c r="C271" s="4">
        <v>2</v>
      </c>
      <c r="D271" s="4">
        <v>45600</v>
      </c>
    </row>
    <row r="272" spans="1:4" x14ac:dyDescent="0.25">
      <c r="A272">
        <v>269</v>
      </c>
      <c r="B272" s="2">
        <v>14</v>
      </c>
      <c r="C272" s="4">
        <v>1</v>
      </c>
      <c r="D272" s="4">
        <v>45000</v>
      </c>
    </row>
    <row r="273" spans="1:5" x14ac:dyDescent="0.25">
      <c r="A273">
        <v>270</v>
      </c>
      <c r="B273" s="2">
        <v>218</v>
      </c>
      <c r="C273" s="4">
        <v>2</v>
      </c>
      <c r="D273" s="4">
        <v>39850</v>
      </c>
    </row>
    <row r="274" spans="1:5" x14ac:dyDescent="0.25">
      <c r="A274">
        <v>271</v>
      </c>
      <c r="B274" s="2">
        <v>77</v>
      </c>
      <c r="C274" s="4">
        <v>1</v>
      </c>
      <c r="D274" s="4">
        <v>35000</v>
      </c>
    </row>
    <row r="275" spans="1:5" x14ac:dyDescent="0.25">
      <c r="A275">
        <v>272</v>
      </c>
      <c r="B275" s="2">
        <v>256</v>
      </c>
      <c r="C275" s="4">
        <v>1</v>
      </c>
      <c r="D275" s="4">
        <v>35000</v>
      </c>
    </row>
    <row r="276" spans="1:5" x14ac:dyDescent="0.25">
      <c r="A276">
        <v>273</v>
      </c>
      <c r="B276" s="2">
        <v>194</v>
      </c>
      <c r="C276" s="4">
        <v>1</v>
      </c>
      <c r="D276" s="4">
        <v>35000</v>
      </c>
    </row>
    <row r="277" spans="1:5" x14ac:dyDescent="0.25">
      <c r="A277">
        <v>274</v>
      </c>
      <c r="B277" s="2">
        <v>275</v>
      </c>
      <c r="C277" s="4">
        <v>1</v>
      </c>
      <c r="D277" s="4">
        <v>33250</v>
      </c>
    </row>
    <row r="278" spans="1:5" x14ac:dyDescent="0.25">
      <c r="A278">
        <v>275</v>
      </c>
      <c r="B278" s="2">
        <v>10</v>
      </c>
      <c r="C278" s="4">
        <v>1</v>
      </c>
      <c r="D278" s="4">
        <v>24000</v>
      </c>
    </row>
    <row r="279" spans="1:5" x14ac:dyDescent="0.25">
      <c r="A279">
        <v>276</v>
      </c>
      <c r="B279" s="2">
        <v>273</v>
      </c>
      <c r="C279" s="4">
        <v>1</v>
      </c>
      <c r="D279" s="4">
        <v>24000</v>
      </c>
    </row>
    <row r="280" spans="1:5" x14ac:dyDescent="0.25">
      <c r="B280" s="2" t="s">
        <v>606</v>
      </c>
      <c r="C280" s="4">
        <v>1000</v>
      </c>
      <c r="D280" s="4">
        <v>735059490</v>
      </c>
    </row>
    <row r="283" spans="1:5" x14ac:dyDescent="0.25">
      <c r="C283" t="s">
        <v>661</v>
      </c>
      <c r="D283" s="3">
        <f>GETPIVOTDATA("Suma de Total",$B$3)/GETPIVOTDATA("Cant Ventas",$B$3)</f>
        <v>735059.49</v>
      </c>
    </row>
    <row r="284" spans="1:5" x14ac:dyDescent="0.25">
      <c r="C284" t="s">
        <v>662</v>
      </c>
      <c r="D284" s="3">
        <f>GETPIVOTDATA("Suma de Total",$B$3)/A279</f>
        <v>2663259.0217391304</v>
      </c>
    </row>
    <row r="285" spans="1:5" x14ac:dyDescent="0.25">
      <c r="C285" t="s">
        <v>664</v>
      </c>
      <c r="D285" s="7">
        <f>GETPIVOTDATA("Cant Ventas",$B$3)/A279</f>
        <v>3.6231884057971016</v>
      </c>
    </row>
    <row r="286" spans="1:5" x14ac:dyDescent="0.25">
      <c r="C286" t="s">
        <v>663</v>
      </c>
      <c r="D286" s="3">
        <f>2*D284</f>
        <v>5326518.0434782607</v>
      </c>
      <c r="E286" t="s">
        <v>667</v>
      </c>
    </row>
    <row r="287" spans="1:5" x14ac:dyDescent="0.25">
      <c r="C287" t="s">
        <v>665</v>
      </c>
      <c r="D287" s="6">
        <v>6</v>
      </c>
      <c r="E287" t="s">
        <v>668</v>
      </c>
    </row>
    <row r="288" spans="1:5" x14ac:dyDescent="0.25">
      <c r="C288" t="s">
        <v>666</v>
      </c>
      <c r="D288" s="6">
        <v>2025</v>
      </c>
      <c r="E288" t="s">
        <v>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C7F83-2807-4A24-90F7-8DC339B65BA0}">
  <dimension ref="A3:B76"/>
  <sheetViews>
    <sheetView topLeftCell="A67" workbookViewId="0">
      <selection activeCell="B79" sqref="B79"/>
    </sheetView>
  </sheetViews>
  <sheetFormatPr baseColWidth="10" defaultRowHeight="15" x14ac:dyDescent="0.25"/>
  <cols>
    <col min="1" max="1" width="33.7109375" customWidth="1"/>
    <col min="2" max="2" width="13.42578125" style="3" bestFit="1" customWidth="1"/>
    <col min="3" max="4" width="8" bestFit="1" customWidth="1"/>
    <col min="5" max="6" width="9" bestFit="1" customWidth="1"/>
    <col min="7" max="7" width="8" bestFit="1" customWidth="1"/>
    <col min="8" max="11" width="9" bestFit="1" customWidth="1"/>
    <col min="12" max="13" width="8" bestFit="1" customWidth="1"/>
    <col min="14" max="15" width="9" bestFit="1" customWidth="1"/>
    <col min="16" max="17" width="8" bestFit="1" customWidth="1"/>
    <col min="18" max="21" width="9" bestFit="1" customWidth="1"/>
    <col min="22" max="25" width="8" bestFit="1" customWidth="1"/>
    <col min="26" max="26" width="9" bestFit="1" customWidth="1"/>
    <col min="27" max="27" width="8" bestFit="1" customWidth="1"/>
    <col min="28" max="28" width="9" bestFit="1" customWidth="1"/>
    <col min="29" max="30" width="8" bestFit="1" customWidth="1"/>
    <col min="31" max="32" width="9" bestFit="1" customWidth="1"/>
    <col min="33" max="33" width="8" bestFit="1" customWidth="1"/>
    <col min="34" max="34" width="9" bestFit="1" customWidth="1"/>
    <col min="35" max="36" width="8" bestFit="1" customWidth="1"/>
    <col min="37" max="38" width="9" bestFit="1" customWidth="1"/>
    <col min="39" max="39" width="8" bestFit="1" customWidth="1"/>
    <col min="40" max="42" width="9" bestFit="1" customWidth="1"/>
    <col min="43" max="43" width="8" bestFit="1" customWidth="1"/>
    <col min="44" max="45" width="9" bestFit="1" customWidth="1"/>
    <col min="46" max="49" width="8" bestFit="1" customWidth="1"/>
    <col min="50" max="51" width="9" bestFit="1" customWidth="1"/>
    <col min="52" max="52" width="8" bestFit="1" customWidth="1"/>
    <col min="53" max="57" width="9" bestFit="1" customWidth="1"/>
    <col min="58" max="58" width="8" bestFit="1" customWidth="1"/>
    <col min="59" max="59" width="9" bestFit="1" customWidth="1"/>
    <col min="60" max="62" width="8" bestFit="1" customWidth="1"/>
    <col min="63" max="66" width="9" bestFit="1" customWidth="1"/>
    <col min="67" max="67" width="8" bestFit="1" customWidth="1"/>
    <col min="68" max="69" width="9" bestFit="1" customWidth="1"/>
    <col min="70" max="71" width="8" bestFit="1" customWidth="1"/>
    <col min="72" max="72" width="12.5703125" bestFit="1" customWidth="1"/>
  </cols>
  <sheetData>
    <row r="3" spans="1:2" x14ac:dyDescent="0.25">
      <c r="A3" s="1" t="s">
        <v>674</v>
      </c>
      <c r="B3" t="s">
        <v>657</v>
      </c>
    </row>
    <row r="4" spans="1:2" x14ac:dyDescent="0.25">
      <c r="A4" s="2">
        <v>1</v>
      </c>
      <c r="B4" s="4">
        <v>8870900</v>
      </c>
    </row>
    <row r="5" spans="1:2" x14ac:dyDescent="0.25">
      <c r="A5" s="2">
        <v>2</v>
      </c>
      <c r="B5" s="4">
        <v>9064100</v>
      </c>
    </row>
    <row r="6" spans="1:2" x14ac:dyDescent="0.25">
      <c r="A6" s="2">
        <v>3</v>
      </c>
      <c r="B6" s="4">
        <v>5754950</v>
      </c>
    </row>
    <row r="7" spans="1:2" x14ac:dyDescent="0.25">
      <c r="A7" s="2">
        <v>4</v>
      </c>
      <c r="B7" s="4">
        <v>11278000</v>
      </c>
    </row>
    <row r="8" spans="1:2" x14ac:dyDescent="0.25">
      <c r="A8" s="2">
        <v>5</v>
      </c>
      <c r="B8" s="4">
        <v>11657800</v>
      </c>
    </row>
    <row r="9" spans="1:2" x14ac:dyDescent="0.25">
      <c r="A9" s="2">
        <v>6</v>
      </c>
      <c r="B9" s="4">
        <v>9887200</v>
      </c>
    </row>
    <row r="10" spans="1:2" x14ac:dyDescent="0.25">
      <c r="A10" s="2">
        <v>7</v>
      </c>
      <c r="B10" s="4">
        <v>24750450</v>
      </c>
    </row>
    <row r="11" spans="1:2" x14ac:dyDescent="0.25">
      <c r="A11" s="2">
        <v>8</v>
      </c>
      <c r="B11" s="4">
        <v>16378880</v>
      </c>
    </row>
    <row r="12" spans="1:2" x14ac:dyDescent="0.25">
      <c r="A12" s="2">
        <v>9</v>
      </c>
      <c r="B12" s="4">
        <v>10070770</v>
      </c>
    </row>
    <row r="13" spans="1:2" x14ac:dyDescent="0.25">
      <c r="A13" s="2">
        <v>10</v>
      </c>
      <c r="B13" s="4">
        <v>13047380</v>
      </c>
    </row>
    <row r="14" spans="1:2" x14ac:dyDescent="0.25">
      <c r="A14" s="2">
        <v>11</v>
      </c>
      <c r="B14" s="4">
        <v>4473200</v>
      </c>
    </row>
    <row r="15" spans="1:2" x14ac:dyDescent="0.25">
      <c r="A15" s="2">
        <v>12</v>
      </c>
      <c r="B15" s="4">
        <v>8427050</v>
      </c>
    </row>
    <row r="16" spans="1:2" x14ac:dyDescent="0.25">
      <c r="A16" s="2">
        <v>13</v>
      </c>
      <c r="B16" s="4">
        <v>14013040</v>
      </c>
    </row>
    <row r="17" spans="1:2" x14ac:dyDescent="0.25">
      <c r="A17" s="2">
        <v>14</v>
      </c>
      <c r="B17" s="4">
        <v>15332150</v>
      </c>
    </row>
    <row r="18" spans="1:2" x14ac:dyDescent="0.25">
      <c r="A18" s="2">
        <v>15</v>
      </c>
      <c r="B18" s="4">
        <v>7956500</v>
      </c>
    </row>
    <row r="19" spans="1:2" x14ac:dyDescent="0.25">
      <c r="A19" s="2">
        <v>16</v>
      </c>
      <c r="B19" s="4">
        <v>8545340</v>
      </c>
    </row>
    <row r="20" spans="1:2" x14ac:dyDescent="0.25">
      <c r="A20" s="2">
        <v>17</v>
      </c>
      <c r="B20" s="4">
        <v>12051950</v>
      </c>
    </row>
    <row r="21" spans="1:2" x14ac:dyDescent="0.25">
      <c r="A21" s="2">
        <v>18</v>
      </c>
      <c r="B21" s="4">
        <v>10923900</v>
      </c>
    </row>
    <row r="22" spans="1:2" x14ac:dyDescent="0.25">
      <c r="A22" s="2">
        <v>19</v>
      </c>
      <c r="B22" s="4">
        <v>11392010</v>
      </c>
    </row>
    <row r="23" spans="1:2" x14ac:dyDescent="0.25">
      <c r="A23" s="2">
        <v>20</v>
      </c>
      <c r="B23" s="4">
        <v>12949640</v>
      </c>
    </row>
    <row r="24" spans="1:2" x14ac:dyDescent="0.25">
      <c r="A24" s="2">
        <v>21</v>
      </c>
      <c r="B24" s="4">
        <v>6349960</v>
      </c>
    </row>
    <row r="25" spans="1:2" x14ac:dyDescent="0.25">
      <c r="A25" s="2">
        <v>22</v>
      </c>
      <c r="B25" s="4">
        <v>6295680</v>
      </c>
    </row>
    <row r="26" spans="1:2" x14ac:dyDescent="0.25">
      <c r="A26" s="2">
        <v>23</v>
      </c>
      <c r="B26" s="4">
        <v>6404490</v>
      </c>
    </row>
    <row r="27" spans="1:2" x14ac:dyDescent="0.25">
      <c r="A27" s="2">
        <v>24</v>
      </c>
      <c r="B27" s="4">
        <v>6019350</v>
      </c>
    </row>
    <row r="28" spans="1:2" x14ac:dyDescent="0.25">
      <c r="A28" s="2">
        <v>25</v>
      </c>
      <c r="B28" s="4">
        <v>13289230</v>
      </c>
    </row>
    <row r="29" spans="1:2" x14ac:dyDescent="0.25">
      <c r="A29" s="2">
        <v>26</v>
      </c>
      <c r="B29" s="4">
        <v>5212910</v>
      </c>
    </row>
    <row r="30" spans="1:2" x14ac:dyDescent="0.25">
      <c r="A30" s="2">
        <v>27</v>
      </c>
      <c r="B30" s="4">
        <v>16476750</v>
      </c>
    </row>
    <row r="31" spans="1:2" x14ac:dyDescent="0.25">
      <c r="A31" s="2">
        <v>28</v>
      </c>
      <c r="B31" s="4">
        <v>8688900</v>
      </c>
    </row>
    <row r="32" spans="1:2" x14ac:dyDescent="0.25">
      <c r="A32" s="2">
        <v>29</v>
      </c>
      <c r="B32" s="4">
        <v>5034200</v>
      </c>
    </row>
    <row r="33" spans="1:2" x14ac:dyDescent="0.25">
      <c r="A33" s="2">
        <v>30</v>
      </c>
      <c r="B33" s="4">
        <v>15773750</v>
      </c>
    </row>
    <row r="34" spans="1:2" x14ac:dyDescent="0.25">
      <c r="A34" s="2">
        <v>31</v>
      </c>
      <c r="B34" s="4">
        <v>12216250</v>
      </c>
    </row>
    <row r="35" spans="1:2" x14ac:dyDescent="0.25">
      <c r="A35" s="2">
        <v>32</v>
      </c>
      <c r="B35" s="4">
        <v>4261320</v>
      </c>
    </row>
    <row r="36" spans="1:2" x14ac:dyDescent="0.25">
      <c r="A36" s="2">
        <v>33</v>
      </c>
      <c r="B36" s="4">
        <v>14250300</v>
      </c>
    </row>
    <row r="37" spans="1:2" x14ac:dyDescent="0.25">
      <c r="A37" s="2">
        <v>34</v>
      </c>
      <c r="B37" s="4">
        <v>8184000</v>
      </c>
    </row>
    <row r="38" spans="1:2" x14ac:dyDescent="0.25">
      <c r="A38" s="2">
        <v>35</v>
      </c>
      <c r="B38" s="4">
        <v>5746540</v>
      </c>
    </row>
    <row r="39" spans="1:2" x14ac:dyDescent="0.25">
      <c r="A39" s="2">
        <v>36</v>
      </c>
      <c r="B39" s="4">
        <v>10390290</v>
      </c>
    </row>
    <row r="40" spans="1:2" x14ac:dyDescent="0.25">
      <c r="A40" s="2">
        <v>37</v>
      </c>
      <c r="B40" s="4">
        <v>15473750</v>
      </c>
    </row>
    <row r="41" spans="1:2" x14ac:dyDescent="0.25">
      <c r="A41" s="2">
        <v>38</v>
      </c>
      <c r="B41" s="4">
        <v>1726780</v>
      </c>
    </row>
    <row r="42" spans="1:2" x14ac:dyDescent="0.25">
      <c r="A42" s="2">
        <v>39</v>
      </c>
      <c r="B42" s="4">
        <v>14744330</v>
      </c>
    </row>
    <row r="43" spans="1:2" x14ac:dyDescent="0.25">
      <c r="A43" s="2">
        <v>40</v>
      </c>
      <c r="B43" s="4">
        <v>18593750</v>
      </c>
    </row>
    <row r="44" spans="1:2" x14ac:dyDescent="0.25">
      <c r="A44" s="2">
        <v>41</v>
      </c>
      <c r="B44" s="4">
        <v>16901450</v>
      </c>
    </row>
    <row r="45" spans="1:2" x14ac:dyDescent="0.25">
      <c r="A45" s="2">
        <v>42</v>
      </c>
      <c r="B45" s="4">
        <v>8333210</v>
      </c>
    </row>
    <row r="46" spans="1:2" x14ac:dyDescent="0.25">
      <c r="A46" s="2">
        <v>43</v>
      </c>
      <c r="B46" s="4">
        <v>13599000</v>
      </c>
    </row>
    <row r="47" spans="1:2" x14ac:dyDescent="0.25">
      <c r="A47" s="2">
        <v>44</v>
      </c>
      <c r="B47" s="4">
        <v>12481750</v>
      </c>
    </row>
    <row r="48" spans="1:2" x14ac:dyDescent="0.25">
      <c r="A48" s="2">
        <v>45</v>
      </c>
      <c r="B48" s="4">
        <v>4847900</v>
      </c>
    </row>
    <row r="49" spans="1:2" x14ac:dyDescent="0.25">
      <c r="A49" s="2">
        <v>46</v>
      </c>
      <c r="B49" s="4">
        <v>6979850</v>
      </c>
    </row>
    <row r="50" spans="1:2" x14ac:dyDescent="0.25">
      <c r="A50" s="2">
        <v>47</v>
      </c>
      <c r="B50" s="4">
        <v>8831700</v>
      </c>
    </row>
    <row r="51" spans="1:2" x14ac:dyDescent="0.25">
      <c r="A51" s="2">
        <v>48</v>
      </c>
      <c r="B51" s="4">
        <v>9869640</v>
      </c>
    </row>
    <row r="52" spans="1:2" x14ac:dyDescent="0.25">
      <c r="A52" s="2">
        <v>49</v>
      </c>
      <c r="B52" s="4">
        <v>12815850</v>
      </c>
    </row>
    <row r="53" spans="1:2" x14ac:dyDescent="0.25">
      <c r="A53" s="2">
        <v>50</v>
      </c>
      <c r="B53" s="4">
        <v>11703660</v>
      </c>
    </row>
    <row r="54" spans="1:2" x14ac:dyDescent="0.25">
      <c r="A54" s="2">
        <v>51</v>
      </c>
      <c r="B54" s="4">
        <v>5955760</v>
      </c>
    </row>
    <row r="55" spans="1:2" x14ac:dyDescent="0.25">
      <c r="A55" s="2">
        <v>52</v>
      </c>
      <c r="B55" s="4">
        <v>13904550</v>
      </c>
    </row>
    <row r="56" spans="1:2" x14ac:dyDescent="0.25">
      <c r="A56" s="2">
        <v>53</v>
      </c>
      <c r="B56" s="4">
        <v>14343660</v>
      </c>
    </row>
    <row r="57" spans="1:2" x14ac:dyDescent="0.25">
      <c r="A57" s="2">
        <v>54</v>
      </c>
      <c r="B57" s="4">
        <v>13720850</v>
      </c>
    </row>
    <row r="58" spans="1:2" x14ac:dyDescent="0.25">
      <c r="A58" s="2">
        <v>55</v>
      </c>
      <c r="B58" s="4">
        <v>11607000</v>
      </c>
    </row>
    <row r="59" spans="1:2" x14ac:dyDescent="0.25">
      <c r="A59" s="2">
        <v>56</v>
      </c>
      <c r="B59" s="4">
        <v>11216500</v>
      </c>
    </row>
    <row r="60" spans="1:2" x14ac:dyDescent="0.25">
      <c r="A60" s="2">
        <v>57</v>
      </c>
      <c r="B60" s="4">
        <v>9499680</v>
      </c>
    </row>
    <row r="61" spans="1:2" x14ac:dyDescent="0.25">
      <c r="A61" s="2">
        <v>58</v>
      </c>
      <c r="B61" s="4">
        <v>10131020</v>
      </c>
    </row>
    <row r="62" spans="1:2" x14ac:dyDescent="0.25">
      <c r="A62" s="2">
        <v>59</v>
      </c>
      <c r="B62" s="4">
        <v>6750100</v>
      </c>
    </row>
    <row r="63" spans="1:2" x14ac:dyDescent="0.25">
      <c r="A63" s="2">
        <v>60</v>
      </c>
      <c r="B63" s="4">
        <v>9635390</v>
      </c>
    </row>
    <row r="64" spans="1:2" x14ac:dyDescent="0.25">
      <c r="A64" s="2">
        <v>61</v>
      </c>
      <c r="B64" s="4">
        <v>2009300</v>
      </c>
    </row>
    <row r="65" spans="1:2" x14ac:dyDescent="0.25">
      <c r="A65" s="2">
        <v>62</v>
      </c>
      <c r="B65" s="4">
        <v>12061000</v>
      </c>
    </row>
    <row r="66" spans="1:2" x14ac:dyDescent="0.25">
      <c r="A66" s="2">
        <v>63</v>
      </c>
      <c r="B66" s="4">
        <v>14468950</v>
      </c>
    </row>
    <row r="67" spans="1:2" x14ac:dyDescent="0.25">
      <c r="A67" s="2">
        <v>64</v>
      </c>
      <c r="B67" s="4">
        <v>11635740</v>
      </c>
    </row>
    <row r="68" spans="1:2" x14ac:dyDescent="0.25">
      <c r="A68" s="2">
        <v>65</v>
      </c>
      <c r="B68" s="4">
        <v>12758350</v>
      </c>
    </row>
    <row r="69" spans="1:2" x14ac:dyDescent="0.25">
      <c r="A69" s="2">
        <v>66</v>
      </c>
      <c r="B69" s="4">
        <v>7448940</v>
      </c>
    </row>
    <row r="70" spans="1:2" x14ac:dyDescent="0.25">
      <c r="A70" s="2">
        <v>67</v>
      </c>
      <c r="B70" s="4">
        <v>10468000</v>
      </c>
    </row>
    <row r="71" spans="1:2" x14ac:dyDescent="0.25">
      <c r="A71" s="2">
        <v>68</v>
      </c>
      <c r="B71" s="4">
        <v>13093750</v>
      </c>
    </row>
    <row r="72" spans="1:2" x14ac:dyDescent="0.25">
      <c r="A72" s="2">
        <v>69</v>
      </c>
      <c r="B72" s="4">
        <v>9049000</v>
      </c>
    </row>
    <row r="73" spans="1:2" x14ac:dyDescent="0.25">
      <c r="A73" s="2">
        <v>70</v>
      </c>
      <c r="B73" s="4">
        <v>6980200</v>
      </c>
    </row>
    <row r="74" spans="1:2" x14ac:dyDescent="0.25">
      <c r="A74" s="2" t="s">
        <v>606</v>
      </c>
      <c r="B74" s="4">
        <v>735059490</v>
      </c>
    </row>
    <row r="76" spans="1:2" x14ac:dyDescent="0.25">
      <c r="A76" t="s">
        <v>670</v>
      </c>
      <c r="B76" s="3">
        <f>GETPIVOTDATA("Total",$A$3)/A73</f>
        <v>10500849.857142856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0441-A099-4696-8941-89610BD2EDB8}">
  <dimension ref="A2:Q27"/>
  <sheetViews>
    <sheetView tabSelected="1" workbookViewId="0">
      <selection activeCell="J29" sqref="J29"/>
    </sheetView>
  </sheetViews>
  <sheetFormatPr baseColWidth="10" defaultRowHeight="15" x14ac:dyDescent="0.25"/>
  <cols>
    <col min="1" max="1" width="17.5703125" bestFit="1" customWidth="1"/>
    <col min="2" max="3" width="13.42578125" bestFit="1" customWidth="1"/>
    <col min="11" max="11" width="17.5703125" bestFit="1" customWidth="1"/>
    <col min="12" max="12" width="22.42578125" bestFit="1" customWidth="1"/>
    <col min="13" max="13" width="8" bestFit="1" customWidth="1"/>
    <col min="14" max="14" width="12.140625" bestFit="1" customWidth="1"/>
    <col min="15" max="15" width="10.5703125" bestFit="1" customWidth="1"/>
    <col min="16" max="16" width="9.5703125" bestFit="1" customWidth="1"/>
    <col min="17" max="17" width="12.5703125" bestFit="1" customWidth="1"/>
    <col min="18" max="1011" width="10.42578125" bestFit="1" customWidth="1"/>
    <col min="1012" max="1012" width="12.5703125" bestFit="1" customWidth="1"/>
  </cols>
  <sheetData>
    <row r="2" spans="1:12" x14ac:dyDescent="0.25">
      <c r="K2" s="1" t="s">
        <v>605</v>
      </c>
      <c r="L2" t="s">
        <v>657</v>
      </c>
    </row>
    <row r="3" spans="1:12" x14ac:dyDescent="0.25">
      <c r="A3" s="1" t="s">
        <v>605</v>
      </c>
      <c r="B3" t="s">
        <v>657</v>
      </c>
      <c r="K3" s="2" t="s">
        <v>671</v>
      </c>
      <c r="L3" s="4">
        <v>285426030</v>
      </c>
    </row>
    <row r="4" spans="1:12" x14ac:dyDescent="0.25">
      <c r="A4" s="2" t="s">
        <v>24</v>
      </c>
      <c r="B4" s="4">
        <v>9494800</v>
      </c>
      <c r="K4" s="2" t="s">
        <v>672</v>
      </c>
      <c r="L4" s="4">
        <v>249251250</v>
      </c>
    </row>
    <row r="5" spans="1:12" x14ac:dyDescent="0.25">
      <c r="A5" s="2" t="s">
        <v>151</v>
      </c>
      <c r="B5" s="4">
        <v>9270250</v>
      </c>
      <c r="K5" s="2" t="s">
        <v>673</v>
      </c>
      <c r="L5" s="4">
        <v>200382210</v>
      </c>
    </row>
    <row r="6" spans="1:12" x14ac:dyDescent="0.25">
      <c r="A6" s="2" t="s">
        <v>31</v>
      </c>
      <c r="B6" s="4">
        <v>454535000</v>
      </c>
      <c r="K6" s="2" t="s">
        <v>606</v>
      </c>
      <c r="L6" s="4">
        <v>735059490</v>
      </c>
    </row>
    <row r="7" spans="1:12" x14ac:dyDescent="0.25">
      <c r="A7" s="2" t="s">
        <v>53</v>
      </c>
      <c r="B7" s="4">
        <v>254433000</v>
      </c>
    </row>
    <row r="8" spans="1:12" x14ac:dyDescent="0.25">
      <c r="A8" s="2" t="s">
        <v>57</v>
      </c>
      <c r="B8" s="4">
        <v>7326440</v>
      </c>
    </row>
    <row r="9" spans="1:12" x14ac:dyDescent="0.25">
      <c r="A9" s="2" t="s">
        <v>606</v>
      </c>
      <c r="B9" s="4">
        <v>735059490</v>
      </c>
    </row>
    <row r="18" spans="1:17" x14ac:dyDescent="0.25">
      <c r="A18" s="1" t="s">
        <v>605</v>
      </c>
      <c r="B18" t="s">
        <v>657</v>
      </c>
    </row>
    <row r="19" spans="1:17" x14ac:dyDescent="0.25">
      <c r="A19" s="2" t="s">
        <v>43</v>
      </c>
      <c r="B19" s="4">
        <v>85520220</v>
      </c>
      <c r="K19" s="1" t="s">
        <v>657</v>
      </c>
      <c r="L19" s="1" t="s">
        <v>658</v>
      </c>
    </row>
    <row r="20" spans="1:17" x14ac:dyDescent="0.25">
      <c r="A20" s="2" t="s">
        <v>28</v>
      </c>
      <c r="B20" s="4">
        <v>181098090</v>
      </c>
      <c r="K20" s="1" t="s">
        <v>605</v>
      </c>
      <c r="L20" t="s">
        <v>24</v>
      </c>
      <c r="M20" t="s">
        <v>151</v>
      </c>
      <c r="N20" t="s">
        <v>31</v>
      </c>
      <c r="O20" t="s">
        <v>53</v>
      </c>
      <c r="P20" t="s">
        <v>57</v>
      </c>
      <c r="Q20" t="s">
        <v>606</v>
      </c>
    </row>
    <row r="21" spans="1:17" x14ac:dyDescent="0.25">
      <c r="A21" s="2" t="s">
        <v>85</v>
      </c>
      <c r="B21" s="4">
        <v>12999200</v>
      </c>
      <c r="K21" s="2" t="s">
        <v>671</v>
      </c>
      <c r="L21" s="4">
        <v>3208550</v>
      </c>
      <c r="M21" s="4">
        <v>3773000</v>
      </c>
      <c r="N21" s="4">
        <v>183239000</v>
      </c>
      <c r="O21" s="4">
        <v>93109500</v>
      </c>
      <c r="P21" s="4">
        <v>2095980</v>
      </c>
      <c r="Q21" s="4">
        <v>285426030</v>
      </c>
    </row>
    <row r="22" spans="1:17" x14ac:dyDescent="0.25">
      <c r="A22" s="2" t="s">
        <v>21</v>
      </c>
      <c r="B22" s="4">
        <v>56226390</v>
      </c>
      <c r="K22" s="2" t="s">
        <v>672</v>
      </c>
      <c r="L22" s="4">
        <v>3645050</v>
      </c>
      <c r="M22" s="4">
        <v>3590400</v>
      </c>
      <c r="N22" s="4">
        <v>156499000</v>
      </c>
      <c r="O22" s="4">
        <v>82540500</v>
      </c>
      <c r="P22" s="4">
        <v>2976300</v>
      </c>
      <c r="Q22" s="4">
        <v>249251250</v>
      </c>
    </row>
    <row r="23" spans="1:17" x14ac:dyDescent="0.25">
      <c r="A23" s="2" t="s">
        <v>77</v>
      </c>
      <c r="B23" s="4">
        <v>85864070</v>
      </c>
      <c r="K23" s="2" t="s">
        <v>673</v>
      </c>
      <c r="L23" s="4">
        <v>2641200</v>
      </c>
      <c r="M23" s="4">
        <v>1906850</v>
      </c>
      <c r="N23" s="4">
        <v>114797000</v>
      </c>
      <c r="O23" s="4">
        <v>78783000</v>
      </c>
      <c r="P23" s="4">
        <v>2254160</v>
      </c>
      <c r="Q23" s="4">
        <v>200382210</v>
      </c>
    </row>
    <row r="24" spans="1:17" x14ac:dyDescent="0.25">
      <c r="A24" s="2" t="s">
        <v>272</v>
      </c>
      <c r="B24" s="4">
        <v>70904250</v>
      </c>
      <c r="K24" s="2" t="s">
        <v>606</v>
      </c>
      <c r="L24" s="4">
        <v>9494800</v>
      </c>
      <c r="M24" s="4">
        <v>9270250</v>
      </c>
      <c r="N24" s="4">
        <v>454535000</v>
      </c>
      <c r="O24" s="4">
        <v>254433000</v>
      </c>
      <c r="P24" s="4">
        <v>7326440</v>
      </c>
      <c r="Q24" s="4">
        <v>735059490</v>
      </c>
    </row>
    <row r="25" spans="1:17" x14ac:dyDescent="0.25">
      <c r="A25" s="2" t="s">
        <v>109</v>
      </c>
      <c r="B25" s="4">
        <v>84316910</v>
      </c>
    </row>
    <row r="26" spans="1:17" x14ac:dyDescent="0.25">
      <c r="A26" s="2" t="s">
        <v>37</v>
      </c>
      <c r="B26" s="4">
        <v>158130360</v>
      </c>
    </row>
    <row r="27" spans="1:17" x14ac:dyDescent="0.25">
      <c r="A27" s="2" t="s">
        <v>606</v>
      </c>
      <c r="B27" s="4">
        <v>735059490</v>
      </c>
    </row>
  </sheetData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F87472-7647-40CE-B3AD-40A297EE1F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DataVentas</vt:lpstr>
      <vt:lpstr>Clientes</vt:lpstr>
      <vt:lpstr>Vendedores</vt:lpstr>
      <vt:lpstr>Indicadores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Cristian  Labra Castro</cp:lastModifiedBy>
  <dcterms:created xsi:type="dcterms:W3CDTF">2015-06-05T18:19:34Z</dcterms:created>
  <dcterms:modified xsi:type="dcterms:W3CDTF">2026-01-22T23:30:58Z</dcterms:modified>
</cp:coreProperties>
</file>